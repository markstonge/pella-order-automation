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grambsch\Downloads\"/>
    </mc:Choice>
  </mc:AlternateContent>
  <xr:revisionPtr revIDLastSave="0" documentId="8_{8BECFF29-8DB4-4CCC-81FD-04ABC9DBDD0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amb-BOM" sheetId="1" r:id="rId1"/>
    <sheet name="Sheet1" sheetId="4" r:id="rId2"/>
    <sheet name="Lineal-BOM" sheetId="3" state="hidden" r:id="rId3"/>
  </sheets>
  <definedNames>
    <definedName name="_xlnm._FilterDatabase" localSheetId="0" hidden="1">'Jamb-BOM'!$T$18:$AT$258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" i="1" l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19" i="1"/>
  <c r="AC21" i="1" l="1"/>
  <c r="AC23" i="1" l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F51" i="1"/>
  <c r="N51" i="1"/>
  <c r="F52" i="1"/>
  <c r="N52" i="1"/>
  <c r="F53" i="1"/>
  <c r="N53" i="1"/>
  <c r="F54" i="1"/>
  <c r="N54" i="1"/>
  <c r="F55" i="1"/>
  <c r="N55" i="1"/>
  <c r="F56" i="1"/>
  <c r="N56" i="1"/>
  <c r="F57" i="1"/>
  <c r="N57" i="1"/>
  <c r="F58" i="1"/>
  <c r="N58" i="1"/>
  <c r="F59" i="1"/>
  <c r="N59" i="1"/>
  <c r="F60" i="1"/>
  <c r="N60" i="1"/>
  <c r="F61" i="1"/>
  <c r="N61" i="1"/>
  <c r="F62" i="1"/>
  <c r="N62" i="1"/>
  <c r="F63" i="1"/>
  <c r="N63" i="1"/>
  <c r="F64" i="1"/>
  <c r="N64" i="1"/>
  <c r="F65" i="1"/>
  <c r="N65" i="1"/>
  <c r="F66" i="1"/>
  <c r="N66" i="1"/>
  <c r="F67" i="1"/>
  <c r="N67" i="1"/>
  <c r="F68" i="1"/>
  <c r="N68" i="1"/>
  <c r="F69" i="1"/>
  <c r="N69" i="1"/>
  <c r="F70" i="1"/>
  <c r="N70" i="1"/>
  <c r="F71" i="1"/>
  <c r="N71" i="1"/>
  <c r="F72" i="1"/>
  <c r="N72" i="1"/>
  <c r="F73" i="1"/>
  <c r="N73" i="1"/>
  <c r="F74" i="1"/>
  <c r="N74" i="1"/>
  <c r="F75" i="1"/>
  <c r="N75" i="1"/>
  <c r="F76" i="1"/>
  <c r="N76" i="1"/>
  <c r="F77" i="1"/>
  <c r="N77" i="1"/>
  <c r="F78" i="1"/>
  <c r="N78" i="1"/>
  <c r="F79" i="1"/>
  <c r="N79" i="1"/>
  <c r="F80" i="1"/>
  <c r="N80" i="1"/>
  <c r="F81" i="1"/>
  <c r="N81" i="1"/>
  <c r="F82" i="1"/>
  <c r="N82" i="1"/>
  <c r="F83" i="1"/>
  <c r="N83" i="1"/>
  <c r="F84" i="1"/>
  <c r="N84" i="1"/>
  <c r="F85" i="1"/>
  <c r="N85" i="1"/>
  <c r="F86" i="1"/>
  <c r="N86" i="1"/>
  <c r="F87" i="1"/>
  <c r="N87" i="1"/>
  <c r="F88" i="1"/>
  <c r="N88" i="1"/>
  <c r="F89" i="1"/>
  <c r="N89" i="1"/>
  <c r="F90" i="1"/>
  <c r="N90" i="1"/>
  <c r="F91" i="1"/>
  <c r="N91" i="1"/>
  <c r="F92" i="1"/>
  <c r="N92" i="1"/>
  <c r="F93" i="1"/>
  <c r="N93" i="1"/>
  <c r="F94" i="1"/>
  <c r="N94" i="1"/>
  <c r="F95" i="1"/>
  <c r="N95" i="1"/>
  <c r="F96" i="1"/>
  <c r="N96" i="1"/>
  <c r="F97" i="1"/>
  <c r="N97" i="1"/>
  <c r="F98" i="1"/>
  <c r="N98" i="1"/>
  <c r="F99" i="1"/>
  <c r="N99" i="1"/>
  <c r="F100" i="1"/>
  <c r="N100" i="1"/>
  <c r="F101" i="1"/>
  <c r="N101" i="1"/>
  <c r="F102" i="1"/>
  <c r="N102" i="1"/>
  <c r="F103" i="1"/>
  <c r="N103" i="1"/>
  <c r="F104" i="1"/>
  <c r="N104" i="1"/>
  <c r="F105" i="1"/>
  <c r="N105" i="1"/>
  <c r="F106" i="1"/>
  <c r="N106" i="1"/>
  <c r="F107" i="1"/>
  <c r="N107" i="1"/>
  <c r="F108" i="1"/>
  <c r="N108" i="1"/>
  <c r="F109" i="1"/>
  <c r="N109" i="1"/>
  <c r="F110" i="1"/>
  <c r="N110" i="1"/>
  <c r="F111" i="1"/>
  <c r="N111" i="1"/>
  <c r="F112" i="1"/>
  <c r="N112" i="1"/>
  <c r="F113" i="1"/>
  <c r="N113" i="1"/>
  <c r="F114" i="1"/>
  <c r="N114" i="1"/>
  <c r="F115" i="1"/>
  <c r="N115" i="1"/>
  <c r="F116" i="1"/>
  <c r="N116" i="1"/>
  <c r="F117" i="1"/>
  <c r="N117" i="1"/>
  <c r="F118" i="1"/>
  <c r="N118" i="1"/>
  <c r="F119" i="1"/>
  <c r="N119" i="1"/>
  <c r="F120" i="1"/>
  <c r="N120" i="1"/>
  <c r="F121" i="1"/>
  <c r="N121" i="1"/>
  <c r="F122" i="1"/>
  <c r="N122" i="1"/>
  <c r="F123" i="1"/>
  <c r="N123" i="1"/>
  <c r="F124" i="1"/>
  <c r="N124" i="1"/>
  <c r="F125" i="1"/>
  <c r="N125" i="1"/>
  <c r="F126" i="1"/>
  <c r="N126" i="1"/>
  <c r="F127" i="1"/>
  <c r="N127" i="1"/>
  <c r="F128" i="1"/>
  <c r="N128" i="1"/>
  <c r="F129" i="1"/>
  <c r="N129" i="1"/>
  <c r="F130" i="1"/>
  <c r="N130" i="1"/>
  <c r="F131" i="1"/>
  <c r="N131" i="1"/>
  <c r="F132" i="1"/>
  <c r="N132" i="1"/>
  <c r="F133" i="1"/>
  <c r="N133" i="1"/>
  <c r="F134" i="1"/>
  <c r="N134" i="1"/>
  <c r="F135" i="1"/>
  <c r="N135" i="1"/>
  <c r="F136" i="1"/>
  <c r="N136" i="1"/>
  <c r="F137" i="1"/>
  <c r="N137" i="1"/>
  <c r="F138" i="1"/>
  <c r="N138" i="1"/>
  <c r="F139" i="1"/>
  <c r="N139" i="1"/>
  <c r="F140" i="1"/>
  <c r="N140" i="1"/>
  <c r="F141" i="1"/>
  <c r="N141" i="1"/>
  <c r="F142" i="1"/>
  <c r="N142" i="1"/>
  <c r="F143" i="1"/>
  <c r="N143" i="1"/>
  <c r="F144" i="1"/>
  <c r="N144" i="1"/>
  <c r="F145" i="1"/>
  <c r="N145" i="1"/>
  <c r="F146" i="1"/>
  <c r="N146" i="1"/>
  <c r="F147" i="1"/>
  <c r="N147" i="1"/>
  <c r="F148" i="1"/>
  <c r="N148" i="1"/>
  <c r="F149" i="1"/>
  <c r="N149" i="1"/>
  <c r="F150" i="1"/>
  <c r="N150" i="1"/>
  <c r="F151" i="1"/>
  <c r="N151" i="1"/>
  <c r="F152" i="1"/>
  <c r="N152" i="1"/>
  <c r="F153" i="1"/>
  <c r="N153" i="1"/>
  <c r="F154" i="1"/>
  <c r="N154" i="1"/>
  <c r="F155" i="1"/>
  <c r="N155" i="1"/>
  <c r="F156" i="1"/>
  <c r="N156" i="1"/>
  <c r="F157" i="1"/>
  <c r="N157" i="1"/>
  <c r="F158" i="1"/>
  <c r="N158" i="1"/>
  <c r="F159" i="1"/>
  <c r="N159" i="1"/>
  <c r="F160" i="1"/>
  <c r="N160" i="1"/>
  <c r="F161" i="1"/>
  <c r="N161" i="1"/>
  <c r="F162" i="1"/>
  <c r="N162" i="1"/>
  <c r="F163" i="1"/>
  <c r="N163" i="1"/>
  <c r="F164" i="1"/>
  <c r="N164" i="1"/>
  <c r="F165" i="1"/>
  <c r="N165" i="1"/>
  <c r="F166" i="1"/>
  <c r="N166" i="1"/>
  <c r="F167" i="1"/>
  <c r="N167" i="1"/>
  <c r="F168" i="1"/>
  <c r="N168" i="1"/>
  <c r="F169" i="1"/>
  <c r="N169" i="1"/>
  <c r="F170" i="1"/>
  <c r="N170" i="1"/>
  <c r="F171" i="1"/>
  <c r="N171" i="1"/>
  <c r="F172" i="1"/>
  <c r="N172" i="1"/>
  <c r="F173" i="1"/>
  <c r="N173" i="1"/>
  <c r="F174" i="1"/>
  <c r="N174" i="1"/>
  <c r="F175" i="1"/>
  <c r="N175" i="1"/>
  <c r="F176" i="1"/>
  <c r="N176" i="1"/>
  <c r="F177" i="1"/>
  <c r="N177" i="1"/>
  <c r="F178" i="1"/>
  <c r="N178" i="1"/>
  <c r="F179" i="1"/>
  <c r="N179" i="1"/>
  <c r="F180" i="1"/>
  <c r="N180" i="1"/>
  <c r="F181" i="1"/>
  <c r="N181" i="1"/>
  <c r="F182" i="1"/>
  <c r="N182" i="1"/>
  <c r="F183" i="1"/>
  <c r="N183" i="1"/>
  <c r="F184" i="1"/>
  <c r="N184" i="1"/>
  <c r="F185" i="1"/>
  <c r="N185" i="1"/>
  <c r="F186" i="1"/>
  <c r="N186" i="1"/>
  <c r="F187" i="1"/>
  <c r="N187" i="1"/>
  <c r="F188" i="1"/>
  <c r="N188" i="1"/>
  <c r="F189" i="1"/>
  <c r="N189" i="1"/>
  <c r="F190" i="1"/>
  <c r="N190" i="1"/>
  <c r="F191" i="1"/>
  <c r="N191" i="1"/>
  <c r="F192" i="1"/>
  <c r="N192" i="1"/>
  <c r="F193" i="1"/>
  <c r="N193" i="1"/>
  <c r="F194" i="1"/>
  <c r="N194" i="1"/>
  <c r="F195" i="1"/>
  <c r="N195" i="1"/>
  <c r="F196" i="1"/>
  <c r="N196" i="1"/>
  <c r="F197" i="1"/>
  <c r="N197" i="1"/>
  <c r="F198" i="1"/>
  <c r="N198" i="1"/>
  <c r="F199" i="1"/>
  <c r="N199" i="1"/>
  <c r="F200" i="1"/>
  <c r="N200" i="1"/>
  <c r="F201" i="1"/>
  <c r="N201" i="1"/>
  <c r="F202" i="1"/>
  <c r="N202" i="1"/>
  <c r="F203" i="1"/>
  <c r="N203" i="1"/>
  <c r="F204" i="1"/>
  <c r="N204" i="1"/>
  <c r="F205" i="1"/>
  <c r="N205" i="1"/>
  <c r="F206" i="1"/>
  <c r="N206" i="1"/>
  <c r="F207" i="1"/>
  <c r="N207" i="1"/>
  <c r="F208" i="1"/>
  <c r="N208" i="1"/>
  <c r="F209" i="1"/>
  <c r="N209" i="1"/>
  <c r="F210" i="1"/>
  <c r="N210" i="1"/>
  <c r="F211" i="1"/>
  <c r="N211" i="1"/>
  <c r="F212" i="1"/>
  <c r="N212" i="1"/>
  <c r="F213" i="1"/>
  <c r="N213" i="1"/>
  <c r="F214" i="1"/>
  <c r="N214" i="1"/>
  <c r="F215" i="1"/>
  <c r="N215" i="1"/>
  <c r="F216" i="1"/>
  <c r="N216" i="1"/>
  <c r="F217" i="1"/>
  <c r="N217" i="1"/>
  <c r="F218" i="1"/>
  <c r="N218" i="1"/>
  <c r="F219" i="1"/>
  <c r="N219" i="1"/>
  <c r="F220" i="1"/>
  <c r="N220" i="1"/>
  <c r="F221" i="1"/>
  <c r="N221" i="1"/>
  <c r="F222" i="1"/>
  <c r="N222" i="1"/>
  <c r="F223" i="1"/>
  <c r="N223" i="1"/>
  <c r="F224" i="1"/>
  <c r="N224" i="1"/>
  <c r="F225" i="1"/>
  <c r="N225" i="1"/>
  <c r="F226" i="1"/>
  <c r="N226" i="1"/>
  <c r="F227" i="1"/>
  <c r="N227" i="1"/>
  <c r="F228" i="1"/>
  <c r="N228" i="1"/>
  <c r="F229" i="1"/>
  <c r="N229" i="1"/>
  <c r="F230" i="1"/>
  <c r="N230" i="1"/>
  <c r="F231" i="1"/>
  <c r="N231" i="1"/>
  <c r="F232" i="1"/>
  <c r="N232" i="1"/>
  <c r="F233" i="1"/>
  <c r="N233" i="1"/>
  <c r="F234" i="1"/>
  <c r="N234" i="1"/>
  <c r="F235" i="1"/>
  <c r="N235" i="1"/>
  <c r="F236" i="1"/>
  <c r="N236" i="1"/>
  <c r="F237" i="1"/>
  <c r="N237" i="1"/>
  <c r="F238" i="1"/>
  <c r="N238" i="1"/>
  <c r="F239" i="1"/>
  <c r="N239" i="1"/>
  <c r="F240" i="1"/>
  <c r="N240" i="1"/>
  <c r="F241" i="1"/>
  <c r="N241" i="1"/>
  <c r="F242" i="1"/>
  <c r="N242" i="1"/>
  <c r="F243" i="1"/>
  <c r="N243" i="1"/>
  <c r="F244" i="1"/>
  <c r="N244" i="1"/>
  <c r="F245" i="1"/>
  <c r="N245" i="1"/>
  <c r="F246" i="1"/>
  <c r="N246" i="1"/>
  <c r="F247" i="1"/>
  <c r="N247" i="1"/>
  <c r="F248" i="1"/>
  <c r="N248" i="1"/>
  <c r="F249" i="1"/>
  <c r="N249" i="1"/>
  <c r="F250" i="1"/>
  <c r="N250" i="1"/>
  <c r="F251" i="1"/>
  <c r="N251" i="1"/>
  <c r="F252" i="1"/>
  <c r="N252" i="1"/>
  <c r="F253" i="1"/>
  <c r="N253" i="1"/>
  <c r="F254" i="1"/>
  <c r="N254" i="1"/>
  <c r="F255" i="1"/>
  <c r="N255" i="1"/>
  <c r="F256" i="1"/>
  <c r="N256" i="1"/>
  <c r="F257" i="1"/>
  <c r="N257" i="1"/>
  <c r="F258" i="1"/>
  <c r="N258" i="1"/>
  <c r="AE29" i="1" l="1"/>
  <c r="AC30" i="1"/>
  <c r="AC31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E20" i="1"/>
  <c r="AE21" i="1"/>
  <c r="AE22" i="1"/>
  <c r="AE23" i="1"/>
  <c r="AE24" i="1"/>
  <c r="AE25" i="1"/>
  <c r="AE26" i="1"/>
  <c r="AE27" i="1"/>
  <c r="AE28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C22" i="1"/>
  <c r="AC25" i="1"/>
  <c r="AC26" i="1"/>
  <c r="AC29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19" i="1"/>
  <c r="AF19" i="1"/>
  <c r="AE19" i="1"/>
  <c r="AB19" i="1"/>
  <c r="AA19" i="1"/>
  <c r="X19" i="1"/>
  <c r="V19" i="1"/>
  <c r="AK978" i="1" l="1"/>
  <c r="AJ978" i="1"/>
  <c r="AI978" i="1"/>
  <c r="AK977" i="1"/>
  <c r="AJ977" i="1"/>
  <c r="AI977" i="1"/>
  <c r="AK976" i="1"/>
  <c r="AJ976" i="1"/>
  <c r="AI976" i="1"/>
  <c r="AK975" i="1"/>
  <c r="AJ975" i="1"/>
  <c r="AI975" i="1"/>
  <c r="AK974" i="1"/>
  <c r="AJ974" i="1"/>
  <c r="AI974" i="1"/>
  <c r="AK973" i="1"/>
  <c r="AJ973" i="1"/>
  <c r="AI973" i="1"/>
  <c r="AK972" i="1"/>
  <c r="AJ972" i="1"/>
  <c r="AI972" i="1"/>
  <c r="AK971" i="1"/>
  <c r="AJ971" i="1"/>
  <c r="AI971" i="1"/>
  <c r="AK970" i="1"/>
  <c r="AJ970" i="1"/>
  <c r="AI970" i="1"/>
  <c r="AK969" i="1"/>
  <c r="AJ969" i="1"/>
  <c r="AI969" i="1"/>
  <c r="AK968" i="1"/>
  <c r="AJ968" i="1"/>
  <c r="AI968" i="1"/>
  <c r="AK967" i="1"/>
  <c r="AJ967" i="1"/>
  <c r="AI967" i="1"/>
  <c r="AK966" i="1"/>
  <c r="AJ966" i="1"/>
  <c r="AI966" i="1"/>
  <c r="AK965" i="1"/>
  <c r="AJ965" i="1"/>
  <c r="AI965" i="1"/>
  <c r="AK964" i="1"/>
  <c r="AJ964" i="1"/>
  <c r="AI964" i="1"/>
  <c r="AK963" i="1"/>
  <c r="AJ963" i="1"/>
  <c r="AI963" i="1"/>
  <c r="AK962" i="1"/>
  <c r="AJ962" i="1"/>
  <c r="AI962" i="1"/>
  <c r="AK961" i="1"/>
  <c r="AJ961" i="1"/>
  <c r="AI961" i="1"/>
  <c r="AK960" i="1"/>
  <c r="AJ960" i="1"/>
  <c r="AI960" i="1"/>
  <c r="AK959" i="1"/>
  <c r="AJ959" i="1"/>
  <c r="AI959" i="1"/>
  <c r="AK958" i="1"/>
  <c r="AJ958" i="1"/>
  <c r="AI958" i="1"/>
  <c r="AK957" i="1"/>
  <c r="AJ957" i="1"/>
  <c r="AI957" i="1"/>
  <c r="AK956" i="1"/>
  <c r="AJ956" i="1"/>
  <c r="AI956" i="1"/>
  <c r="AK955" i="1"/>
  <c r="AJ955" i="1"/>
  <c r="AI955" i="1"/>
  <c r="AK954" i="1"/>
  <c r="AJ954" i="1"/>
  <c r="AI954" i="1"/>
  <c r="AK953" i="1"/>
  <c r="AJ953" i="1"/>
  <c r="AI953" i="1"/>
  <c r="AK952" i="1"/>
  <c r="AJ952" i="1"/>
  <c r="AI952" i="1"/>
  <c r="AK951" i="1"/>
  <c r="AJ951" i="1"/>
  <c r="AI951" i="1"/>
  <c r="AK950" i="1"/>
  <c r="AJ950" i="1"/>
  <c r="AI950" i="1"/>
  <c r="AK949" i="1"/>
  <c r="AJ949" i="1"/>
  <c r="AI949" i="1"/>
  <c r="AK948" i="1"/>
  <c r="AJ948" i="1"/>
  <c r="AI948" i="1"/>
  <c r="AK947" i="1"/>
  <c r="AJ947" i="1"/>
  <c r="AI947" i="1"/>
  <c r="AK946" i="1"/>
  <c r="AJ946" i="1"/>
  <c r="AI946" i="1"/>
  <c r="AK945" i="1"/>
  <c r="AJ945" i="1"/>
  <c r="AI945" i="1"/>
  <c r="AK944" i="1"/>
  <c r="AJ944" i="1"/>
  <c r="AI944" i="1"/>
  <c r="AK943" i="1"/>
  <c r="AJ943" i="1"/>
  <c r="AI943" i="1"/>
  <c r="AK942" i="1"/>
  <c r="AJ942" i="1"/>
  <c r="AI942" i="1"/>
  <c r="AK941" i="1"/>
  <c r="AJ941" i="1"/>
  <c r="AI941" i="1"/>
  <c r="AK940" i="1"/>
  <c r="AJ940" i="1"/>
  <c r="AI940" i="1"/>
  <c r="AK939" i="1"/>
  <c r="AJ939" i="1"/>
  <c r="AI939" i="1"/>
  <c r="AK938" i="1"/>
  <c r="AJ938" i="1"/>
  <c r="AI938" i="1"/>
  <c r="AK937" i="1"/>
  <c r="AJ937" i="1"/>
  <c r="AI937" i="1"/>
  <c r="AK936" i="1"/>
  <c r="AJ936" i="1"/>
  <c r="AI936" i="1"/>
  <c r="AK935" i="1"/>
  <c r="AJ935" i="1"/>
  <c r="AI935" i="1"/>
  <c r="AK934" i="1"/>
  <c r="AJ934" i="1"/>
  <c r="AI934" i="1"/>
  <c r="AK933" i="1"/>
  <c r="AJ933" i="1"/>
  <c r="AI933" i="1"/>
  <c r="AK932" i="1"/>
  <c r="AJ932" i="1"/>
  <c r="AI932" i="1"/>
  <c r="AK931" i="1"/>
  <c r="AJ931" i="1"/>
  <c r="AI931" i="1"/>
  <c r="AK930" i="1"/>
  <c r="AJ930" i="1"/>
  <c r="AI930" i="1"/>
  <c r="AK929" i="1"/>
  <c r="AJ929" i="1"/>
  <c r="AI929" i="1"/>
  <c r="AK928" i="1"/>
  <c r="AJ928" i="1"/>
  <c r="AI928" i="1"/>
  <c r="AK927" i="1"/>
  <c r="AJ927" i="1"/>
  <c r="AI927" i="1"/>
  <c r="AK926" i="1"/>
  <c r="AJ926" i="1"/>
  <c r="AI926" i="1"/>
  <c r="AK925" i="1"/>
  <c r="AJ925" i="1"/>
  <c r="AI925" i="1"/>
  <c r="AK924" i="1"/>
  <c r="AJ924" i="1"/>
  <c r="AI924" i="1"/>
  <c r="AK923" i="1"/>
  <c r="AJ923" i="1"/>
  <c r="AI923" i="1"/>
  <c r="AK922" i="1"/>
  <c r="AJ922" i="1"/>
  <c r="AI922" i="1"/>
  <c r="AK921" i="1"/>
  <c r="AJ921" i="1"/>
  <c r="AI921" i="1"/>
  <c r="AK920" i="1"/>
  <c r="AJ920" i="1"/>
  <c r="AI920" i="1"/>
  <c r="AK919" i="1"/>
  <c r="AJ919" i="1"/>
  <c r="AI919" i="1"/>
  <c r="AK918" i="1"/>
  <c r="AJ918" i="1"/>
  <c r="AI918" i="1"/>
  <c r="AK917" i="1"/>
  <c r="AJ917" i="1"/>
  <c r="AI917" i="1"/>
  <c r="AK916" i="1"/>
  <c r="AJ916" i="1"/>
  <c r="AI916" i="1"/>
  <c r="AK915" i="1"/>
  <c r="AJ915" i="1"/>
  <c r="AI915" i="1"/>
  <c r="AK914" i="1"/>
  <c r="AJ914" i="1"/>
  <c r="AI914" i="1"/>
  <c r="AK913" i="1"/>
  <c r="AJ913" i="1"/>
  <c r="AI913" i="1"/>
  <c r="AK912" i="1"/>
  <c r="AJ912" i="1"/>
  <c r="AI912" i="1"/>
  <c r="AK911" i="1"/>
  <c r="AJ911" i="1"/>
  <c r="AI911" i="1"/>
  <c r="AK910" i="1"/>
  <c r="AJ910" i="1"/>
  <c r="AI910" i="1"/>
  <c r="AK909" i="1"/>
  <c r="AJ909" i="1"/>
  <c r="AI909" i="1"/>
  <c r="AK908" i="1"/>
  <c r="AJ908" i="1"/>
  <c r="AI908" i="1"/>
  <c r="AK907" i="1"/>
  <c r="AJ907" i="1"/>
  <c r="AI907" i="1"/>
  <c r="AK906" i="1"/>
  <c r="AJ906" i="1"/>
  <c r="AI906" i="1"/>
  <c r="AK905" i="1"/>
  <c r="AJ905" i="1"/>
  <c r="AI905" i="1"/>
  <c r="AK904" i="1"/>
  <c r="AJ904" i="1"/>
  <c r="AI904" i="1"/>
  <c r="AK903" i="1"/>
  <c r="AJ903" i="1"/>
  <c r="AI903" i="1"/>
  <c r="AK902" i="1"/>
  <c r="AJ902" i="1"/>
  <c r="AI902" i="1"/>
  <c r="AK901" i="1"/>
  <c r="AJ901" i="1"/>
  <c r="AI901" i="1"/>
  <c r="AK900" i="1"/>
  <c r="AJ900" i="1"/>
  <c r="AI900" i="1"/>
  <c r="AK899" i="1"/>
  <c r="AJ899" i="1"/>
  <c r="AI899" i="1"/>
  <c r="AK898" i="1"/>
  <c r="AJ898" i="1"/>
  <c r="AI898" i="1"/>
  <c r="AK897" i="1"/>
  <c r="AJ897" i="1"/>
  <c r="AI897" i="1"/>
  <c r="AK896" i="1"/>
  <c r="AJ896" i="1"/>
  <c r="AI896" i="1"/>
  <c r="AK895" i="1"/>
  <c r="AJ895" i="1"/>
  <c r="AI895" i="1"/>
  <c r="AK894" i="1"/>
  <c r="AJ894" i="1"/>
  <c r="AI894" i="1"/>
  <c r="AK893" i="1"/>
  <c r="AJ893" i="1"/>
  <c r="AI893" i="1"/>
  <c r="AK892" i="1"/>
  <c r="AJ892" i="1"/>
  <c r="AI892" i="1"/>
  <c r="AK891" i="1"/>
  <c r="AJ891" i="1"/>
  <c r="AI891" i="1"/>
  <c r="AK890" i="1"/>
  <c r="AJ890" i="1"/>
  <c r="AI890" i="1"/>
  <c r="AK889" i="1"/>
  <c r="AJ889" i="1"/>
  <c r="AI889" i="1"/>
  <c r="AK888" i="1"/>
  <c r="AJ888" i="1"/>
  <c r="AI888" i="1"/>
  <c r="AK887" i="1"/>
  <c r="AJ887" i="1"/>
  <c r="AI887" i="1"/>
  <c r="AK886" i="1"/>
  <c r="AJ886" i="1"/>
  <c r="AI886" i="1"/>
  <c r="AK885" i="1"/>
  <c r="AJ885" i="1"/>
  <c r="AI885" i="1"/>
  <c r="AK884" i="1"/>
  <c r="AJ884" i="1"/>
  <c r="AI884" i="1"/>
  <c r="AK883" i="1"/>
  <c r="AJ883" i="1"/>
  <c r="AI883" i="1"/>
  <c r="AK882" i="1"/>
  <c r="AJ882" i="1"/>
  <c r="AI882" i="1"/>
  <c r="AK881" i="1"/>
  <c r="AJ881" i="1"/>
  <c r="AI881" i="1"/>
  <c r="AK880" i="1"/>
  <c r="AJ880" i="1"/>
  <c r="AI880" i="1"/>
  <c r="AK879" i="1"/>
  <c r="AJ879" i="1"/>
  <c r="AI879" i="1"/>
  <c r="AK878" i="1"/>
  <c r="AJ878" i="1"/>
  <c r="AI878" i="1"/>
  <c r="AK877" i="1"/>
  <c r="AJ877" i="1"/>
  <c r="AI877" i="1"/>
  <c r="AK876" i="1"/>
  <c r="AJ876" i="1"/>
  <c r="AI876" i="1"/>
  <c r="AK875" i="1"/>
  <c r="AJ875" i="1"/>
  <c r="AI875" i="1"/>
  <c r="AK874" i="1"/>
  <c r="AJ874" i="1"/>
  <c r="AI874" i="1"/>
  <c r="AK873" i="1"/>
  <c r="AJ873" i="1"/>
  <c r="AI873" i="1"/>
  <c r="AK872" i="1"/>
  <c r="AJ872" i="1"/>
  <c r="AI872" i="1"/>
  <c r="AK871" i="1"/>
  <c r="AJ871" i="1"/>
  <c r="AI871" i="1"/>
  <c r="AK870" i="1"/>
  <c r="AJ870" i="1"/>
  <c r="AI870" i="1"/>
  <c r="AK869" i="1"/>
  <c r="AJ869" i="1"/>
  <c r="AI869" i="1"/>
  <c r="AK868" i="1"/>
  <c r="AJ868" i="1"/>
  <c r="AI868" i="1"/>
  <c r="AK867" i="1"/>
  <c r="AJ867" i="1"/>
  <c r="AI867" i="1"/>
  <c r="AK866" i="1"/>
  <c r="AJ866" i="1"/>
  <c r="AI866" i="1"/>
  <c r="AK865" i="1"/>
  <c r="AJ865" i="1"/>
  <c r="AI865" i="1"/>
  <c r="AK864" i="1"/>
  <c r="AJ864" i="1"/>
  <c r="AI864" i="1"/>
  <c r="AK863" i="1"/>
  <c r="AJ863" i="1"/>
  <c r="AI863" i="1"/>
  <c r="AK862" i="1"/>
  <c r="AJ862" i="1"/>
  <c r="AI862" i="1"/>
  <c r="AK861" i="1"/>
  <c r="AJ861" i="1"/>
  <c r="AI861" i="1"/>
  <c r="AK860" i="1"/>
  <c r="AJ860" i="1"/>
  <c r="AI860" i="1"/>
  <c r="AK859" i="1"/>
  <c r="AJ859" i="1"/>
  <c r="AI859" i="1"/>
  <c r="AK858" i="1"/>
  <c r="AJ858" i="1"/>
  <c r="AI858" i="1"/>
  <c r="AK857" i="1"/>
  <c r="AJ857" i="1"/>
  <c r="AI857" i="1"/>
  <c r="AK856" i="1"/>
  <c r="AJ856" i="1"/>
  <c r="AI856" i="1"/>
  <c r="AK855" i="1"/>
  <c r="AJ855" i="1"/>
  <c r="AI855" i="1"/>
  <c r="AK854" i="1"/>
  <c r="AJ854" i="1"/>
  <c r="AI854" i="1"/>
  <c r="AK853" i="1"/>
  <c r="AJ853" i="1"/>
  <c r="AI853" i="1"/>
  <c r="AK852" i="1"/>
  <c r="AJ852" i="1"/>
  <c r="AI852" i="1"/>
  <c r="AK851" i="1"/>
  <c r="AJ851" i="1"/>
  <c r="AI851" i="1"/>
  <c r="AK850" i="1"/>
  <c r="AJ850" i="1"/>
  <c r="AI850" i="1"/>
  <c r="AK849" i="1"/>
  <c r="AJ849" i="1"/>
  <c r="AI849" i="1"/>
  <c r="AK848" i="1"/>
  <c r="AJ848" i="1"/>
  <c r="AI848" i="1"/>
  <c r="AK847" i="1"/>
  <c r="AJ847" i="1"/>
  <c r="AI847" i="1"/>
  <c r="AK846" i="1"/>
  <c r="AJ846" i="1"/>
  <c r="AI846" i="1"/>
  <c r="AK845" i="1"/>
  <c r="AJ845" i="1"/>
  <c r="AI845" i="1"/>
  <c r="AK844" i="1"/>
  <c r="AJ844" i="1"/>
  <c r="AI844" i="1"/>
  <c r="AK843" i="1"/>
  <c r="AJ843" i="1"/>
  <c r="AI843" i="1"/>
  <c r="AK842" i="1"/>
  <c r="AJ842" i="1"/>
  <c r="AI842" i="1"/>
  <c r="AK841" i="1"/>
  <c r="AJ841" i="1"/>
  <c r="AI841" i="1"/>
  <c r="AK840" i="1"/>
  <c r="AJ840" i="1"/>
  <c r="AI840" i="1"/>
  <c r="AK839" i="1"/>
  <c r="AJ839" i="1"/>
  <c r="AI839" i="1"/>
  <c r="AK838" i="1"/>
  <c r="AJ838" i="1"/>
  <c r="AI838" i="1"/>
  <c r="AK837" i="1"/>
  <c r="AJ837" i="1"/>
  <c r="AI837" i="1"/>
  <c r="AK836" i="1"/>
  <c r="AJ836" i="1"/>
  <c r="AI836" i="1"/>
  <c r="AK835" i="1"/>
  <c r="AJ835" i="1"/>
  <c r="AI835" i="1"/>
  <c r="AK834" i="1"/>
  <c r="AJ834" i="1"/>
  <c r="AI834" i="1"/>
  <c r="AK833" i="1"/>
  <c r="AJ833" i="1"/>
  <c r="AI833" i="1"/>
  <c r="AK832" i="1"/>
  <c r="AJ832" i="1"/>
  <c r="AI832" i="1"/>
  <c r="AK831" i="1"/>
  <c r="AJ831" i="1"/>
  <c r="AI831" i="1"/>
  <c r="AK830" i="1"/>
  <c r="AJ830" i="1"/>
  <c r="AI830" i="1"/>
  <c r="AK829" i="1"/>
  <c r="AJ829" i="1"/>
  <c r="AI829" i="1"/>
  <c r="AK828" i="1"/>
  <c r="AJ828" i="1"/>
  <c r="AI828" i="1"/>
  <c r="AK827" i="1"/>
  <c r="AJ827" i="1"/>
  <c r="AI827" i="1"/>
  <c r="AK826" i="1"/>
  <c r="AJ826" i="1"/>
  <c r="AI826" i="1"/>
  <c r="AK825" i="1"/>
  <c r="AJ825" i="1"/>
  <c r="AI825" i="1"/>
  <c r="AK824" i="1"/>
  <c r="AJ824" i="1"/>
  <c r="AI824" i="1"/>
  <c r="AK823" i="1"/>
  <c r="AJ823" i="1"/>
  <c r="AI823" i="1"/>
  <c r="AK822" i="1"/>
  <c r="AJ822" i="1"/>
  <c r="AI822" i="1"/>
  <c r="AK821" i="1"/>
  <c r="AJ821" i="1"/>
  <c r="AI821" i="1"/>
  <c r="AK820" i="1"/>
  <c r="AJ820" i="1"/>
  <c r="AI820" i="1"/>
  <c r="AK819" i="1"/>
  <c r="AJ819" i="1"/>
  <c r="AI819" i="1"/>
  <c r="AK818" i="1"/>
  <c r="AJ818" i="1"/>
  <c r="AI818" i="1"/>
  <c r="AK817" i="1"/>
  <c r="AJ817" i="1"/>
  <c r="AI817" i="1"/>
  <c r="AK816" i="1"/>
  <c r="AJ816" i="1"/>
  <c r="AI816" i="1"/>
  <c r="AK815" i="1"/>
  <c r="AJ815" i="1"/>
  <c r="AI815" i="1"/>
  <c r="AK814" i="1"/>
  <c r="AJ814" i="1"/>
  <c r="AI814" i="1"/>
  <c r="AK813" i="1"/>
  <c r="AJ813" i="1"/>
  <c r="AI813" i="1"/>
  <c r="AK812" i="1"/>
  <c r="AJ812" i="1"/>
  <c r="AI812" i="1"/>
  <c r="AK811" i="1"/>
  <c r="AJ811" i="1"/>
  <c r="AI811" i="1"/>
  <c r="AK810" i="1"/>
  <c r="AJ810" i="1"/>
  <c r="AI810" i="1"/>
  <c r="AK809" i="1"/>
  <c r="AJ809" i="1"/>
  <c r="AI809" i="1"/>
  <c r="AK808" i="1"/>
  <c r="AJ808" i="1"/>
  <c r="AI808" i="1"/>
  <c r="AK807" i="1"/>
  <c r="AJ807" i="1"/>
  <c r="AI807" i="1"/>
  <c r="AK806" i="1"/>
  <c r="AJ806" i="1"/>
  <c r="AI806" i="1"/>
  <c r="AK805" i="1"/>
  <c r="AJ805" i="1"/>
  <c r="AI805" i="1"/>
  <c r="AK804" i="1"/>
  <c r="AJ804" i="1"/>
  <c r="AI804" i="1"/>
  <c r="AK803" i="1"/>
  <c r="AJ803" i="1"/>
  <c r="AI803" i="1"/>
  <c r="AK802" i="1"/>
  <c r="AJ802" i="1"/>
  <c r="AI802" i="1"/>
  <c r="AK801" i="1"/>
  <c r="AJ801" i="1"/>
  <c r="AI801" i="1"/>
  <c r="AK800" i="1"/>
  <c r="AJ800" i="1"/>
  <c r="AI800" i="1"/>
  <c r="AK799" i="1"/>
  <c r="AJ799" i="1"/>
  <c r="AI799" i="1"/>
  <c r="AK798" i="1"/>
  <c r="AJ798" i="1"/>
  <c r="AI798" i="1"/>
  <c r="AK797" i="1"/>
  <c r="AJ797" i="1"/>
  <c r="AI797" i="1"/>
  <c r="AK796" i="1"/>
  <c r="AJ796" i="1"/>
  <c r="AI796" i="1"/>
  <c r="AK795" i="1"/>
  <c r="AJ795" i="1"/>
  <c r="AI795" i="1"/>
  <c r="AK794" i="1"/>
  <c r="AJ794" i="1"/>
  <c r="AI794" i="1"/>
  <c r="AK793" i="1"/>
  <c r="AJ793" i="1"/>
  <c r="AI793" i="1"/>
  <c r="AK792" i="1"/>
  <c r="AJ792" i="1"/>
  <c r="AI792" i="1"/>
  <c r="AK791" i="1"/>
  <c r="AJ791" i="1"/>
  <c r="AI791" i="1"/>
  <c r="AK790" i="1"/>
  <c r="AJ790" i="1"/>
  <c r="AI790" i="1"/>
  <c r="AK789" i="1"/>
  <c r="AJ789" i="1"/>
  <c r="AI789" i="1"/>
  <c r="AK788" i="1"/>
  <c r="AJ788" i="1"/>
  <c r="AI788" i="1"/>
  <c r="AK787" i="1"/>
  <c r="AJ787" i="1"/>
  <c r="AI787" i="1"/>
  <c r="AK786" i="1"/>
  <c r="AJ786" i="1"/>
  <c r="AI786" i="1"/>
  <c r="AK785" i="1"/>
  <c r="AJ785" i="1"/>
  <c r="AI785" i="1"/>
  <c r="AK784" i="1"/>
  <c r="AJ784" i="1"/>
  <c r="AI784" i="1"/>
  <c r="AK783" i="1"/>
  <c r="AJ783" i="1"/>
  <c r="AI783" i="1"/>
  <c r="AK782" i="1"/>
  <c r="AJ782" i="1"/>
  <c r="AI782" i="1"/>
  <c r="AK781" i="1"/>
  <c r="AJ781" i="1"/>
  <c r="AI781" i="1"/>
  <c r="AK780" i="1"/>
  <c r="AJ780" i="1"/>
  <c r="AI780" i="1"/>
  <c r="AK779" i="1"/>
  <c r="AJ779" i="1"/>
  <c r="AI779" i="1"/>
  <c r="AK778" i="1"/>
  <c r="AJ778" i="1"/>
  <c r="AI778" i="1"/>
  <c r="AK777" i="1"/>
  <c r="AJ777" i="1"/>
  <c r="AI777" i="1"/>
  <c r="AK776" i="1"/>
  <c r="AJ776" i="1"/>
  <c r="AI776" i="1"/>
  <c r="AK775" i="1"/>
  <c r="AJ775" i="1"/>
  <c r="AI775" i="1"/>
  <c r="AK774" i="1"/>
  <c r="AJ774" i="1"/>
  <c r="AI774" i="1"/>
  <c r="AK773" i="1"/>
  <c r="AJ773" i="1"/>
  <c r="AI773" i="1"/>
  <c r="AK772" i="1"/>
  <c r="AJ772" i="1"/>
  <c r="AI772" i="1"/>
  <c r="AK771" i="1"/>
  <c r="AJ771" i="1"/>
  <c r="AI771" i="1"/>
  <c r="AK770" i="1"/>
  <c r="AJ770" i="1"/>
  <c r="AI770" i="1"/>
  <c r="AK769" i="1"/>
  <c r="AJ769" i="1"/>
  <c r="AI769" i="1"/>
  <c r="AK768" i="1"/>
  <c r="AJ768" i="1"/>
  <c r="AI768" i="1"/>
  <c r="AK767" i="1"/>
  <c r="AJ767" i="1"/>
  <c r="AI767" i="1"/>
  <c r="AK766" i="1"/>
  <c r="AJ766" i="1"/>
  <c r="AI766" i="1"/>
  <c r="AK765" i="1"/>
  <c r="AJ765" i="1"/>
  <c r="AI765" i="1"/>
  <c r="AK764" i="1"/>
  <c r="AJ764" i="1"/>
  <c r="AI764" i="1"/>
  <c r="AK763" i="1"/>
  <c r="AJ763" i="1"/>
  <c r="AI763" i="1"/>
  <c r="AK762" i="1"/>
  <c r="AJ762" i="1"/>
  <c r="AI762" i="1"/>
  <c r="AK761" i="1"/>
  <c r="AJ761" i="1"/>
  <c r="AI761" i="1"/>
  <c r="AK760" i="1"/>
  <c r="AJ760" i="1"/>
  <c r="AI760" i="1"/>
  <c r="AK759" i="1"/>
  <c r="AJ759" i="1"/>
  <c r="AI759" i="1"/>
  <c r="AK758" i="1"/>
  <c r="AJ758" i="1"/>
  <c r="AI758" i="1"/>
  <c r="AK757" i="1"/>
  <c r="AJ757" i="1"/>
  <c r="AI757" i="1"/>
  <c r="AK756" i="1"/>
  <c r="AJ756" i="1"/>
  <c r="AI756" i="1"/>
  <c r="AK755" i="1"/>
  <c r="AJ755" i="1"/>
  <c r="AI755" i="1"/>
  <c r="AK754" i="1"/>
  <c r="AJ754" i="1"/>
  <c r="AI754" i="1"/>
  <c r="AK753" i="1"/>
  <c r="AJ753" i="1"/>
  <c r="AI753" i="1"/>
  <c r="AK752" i="1"/>
  <c r="AJ752" i="1"/>
  <c r="AI752" i="1"/>
  <c r="AK751" i="1"/>
  <c r="AJ751" i="1"/>
  <c r="AI751" i="1"/>
  <c r="AK750" i="1"/>
  <c r="AJ750" i="1"/>
  <c r="AI750" i="1"/>
  <c r="AK749" i="1"/>
  <c r="AJ749" i="1"/>
  <c r="AI749" i="1"/>
  <c r="AK748" i="1"/>
  <c r="AJ748" i="1"/>
  <c r="AI748" i="1"/>
  <c r="AK747" i="1"/>
  <c r="AJ747" i="1"/>
  <c r="AI747" i="1"/>
  <c r="AK746" i="1"/>
  <c r="AJ746" i="1"/>
  <c r="AI746" i="1"/>
  <c r="AK745" i="1"/>
  <c r="AJ745" i="1"/>
  <c r="AI745" i="1"/>
  <c r="AK744" i="1"/>
  <c r="AJ744" i="1"/>
  <c r="AI744" i="1"/>
  <c r="AK743" i="1"/>
  <c r="AJ743" i="1"/>
  <c r="AI743" i="1"/>
  <c r="AK742" i="1"/>
  <c r="AJ742" i="1"/>
  <c r="AI742" i="1"/>
  <c r="AK741" i="1"/>
  <c r="AJ741" i="1"/>
  <c r="AI741" i="1"/>
  <c r="AK740" i="1"/>
  <c r="AJ740" i="1"/>
  <c r="AI740" i="1"/>
  <c r="AK739" i="1"/>
  <c r="AJ739" i="1"/>
  <c r="AI739" i="1"/>
  <c r="AK738" i="1"/>
  <c r="AJ738" i="1"/>
  <c r="AI738" i="1"/>
  <c r="AK737" i="1"/>
  <c r="AJ737" i="1"/>
  <c r="AI737" i="1"/>
  <c r="AK736" i="1"/>
  <c r="AJ736" i="1"/>
  <c r="AI736" i="1"/>
  <c r="AK735" i="1"/>
  <c r="AJ735" i="1"/>
  <c r="AI735" i="1"/>
  <c r="AK734" i="1"/>
  <c r="AJ734" i="1"/>
  <c r="AI734" i="1"/>
  <c r="AK733" i="1"/>
  <c r="AJ733" i="1"/>
  <c r="AI733" i="1"/>
  <c r="AK732" i="1"/>
  <c r="AJ732" i="1"/>
  <c r="AI732" i="1"/>
  <c r="AK731" i="1"/>
  <c r="AJ731" i="1"/>
  <c r="AI731" i="1"/>
  <c r="AK730" i="1"/>
  <c r="AJ730" i="1"/>
  <c r="AI730" i="1"/>
  <c r="AK729" i="1"/>
  <c r="AJ729" i="1"/>
  <c r="AI729" i="1"/>
  <c r="AK728" i="1"/>
  <c r="AJ728" i="1"/>
  <c r="AI728" i="1"/>
  <c r="AK727" i="1"/>
  <c r="AJ727" i="1"/>
  <c r="AI727" i="1"/>
  <c r="AK726" i="1"/>
  <c r="AJ726" i="1"/>
  <c r="AI726" i="1"/>
  <c r="AK725" i="1"/>
  <c r="AJ725" i="1"/>
  <c r="AI725" i="1"/>
  <c r="AK724" i="1"/>
  <c r="AJ724" i="1"/>
  <c r="AI724" i="1"/>
  <c r="AK723" i="1"/>
  <c r="AJ723" i="1"/>
  <c r="AI723" i="1"/>
  <c r="AK722" i="1"/>
  <c r="AJ722" i="1"/>
  <c r="AI722" i="1"/>
  <c r="AK721" i="1"/>
  <c r="AJ721" i="1"/>
  <c r="AI721" i="1"/>
  <c r="AK720" i="1"/>
  <c r="AJ720" i="1"/>
  <c r="AI720" i="1"/>
  <c r="AK719" i="1"/>
  <c r="AJ719" i="1"/>
  <c r="AI719" i="1"/>
  <c r="AK718" i="1"/>
  <c r="AJ718" i="1"/>
  <c r="AI718" i="1"/>
  <c r="AK717" i="1"/>
  <c r="AJ717" i="1"/>
  <c r="AI717" i="1"/>
  <c r="AK716" i="1"/>
  <c r="AJ716" i="1"/>
  <c r="AI716" i="1"/>
  <c r="AK715" i="1"/>
  <c r="AJ715" i="1"/>
  <c r="AI715" i="1"/>
  <c r="AK714" i="1"/>
  <c r="AJ714" i="1"/>
  <c r="AI714" i="1"/>
  <c r="AK713" i="1"/>
  <c r="AJ713" i="1"/>
  <c r="AI713" i="1"/>
  <c r="AK712" i="1"/>
  <c r="AJ712" i="1"/>
  <c r="AI712" i="1"/>
  <c r="AK711" i="1"/>
  <c r="AJ711" i="1"/>
  <c r="AI711" i="1"/>
  <c r="AK710" i="1"/>
  <c r="AJ710" i="1"/>
  <c r="AI710" i="1"/>
  <c r="AK709" i="1"/>
  <c r="AJ709" i="1"/>
  <c r="AI709" i="1"/>
  <c r="AK708" i="1"/>
  <c r="AJ708" i="1"/>
  <c r="AI708" i="1"/>
  <c r="AK707" i="1"/>
  <c r="AJ707" i="1"/>
  <c r="AI707" i="1"/>
  <c r="AK706" i="1"/>
  <c r="AJ706" i="1"/>
  <c r="AI706" i="1"/>
  <c r="AK705" i="1"/>
  <c r="AJ705" i="1"/>
  <c r="AI705" i="1"/>
  <c r="AK704" i="1"/>
  <c r="AJ704" i="1"/>
  <c r="AI704" i="1"/>
  <c r="AK703" i="1"/>
  <c r="AJ703" i="1"/>
  <c r="AI703" i="1"/>
  <c r="AK702" i="1"/>
  <c r="AJ702" i="1"/>
  <c r="AI702" i="1"/>
  <c r="AK701" i="1"/>
  <c r="AJ701" i="1"/>
  <c r="AI701" i="1"/>
  <c r="AK700" i="1"/>
  <c r="AJ700" i="1"/>
  <c r="AI700" i="1"/>
  <c r="AK699" i="1"/>
  <c r="AJ699" i="1"/>
  <c r="AI699" i="1"/>
  <c r="AK698" i="1"/>
  <c r="AJ698" i="1"/>
  <c r="AI698" i="1"/>
  <c r="AK697" i="1"/>
  <c r="AJ697" i="1"/>
  <c r="AI697" i="1"/>
  <c r="AK696" i="1"/>
  <c r="AJ696" i="1"/>
  <c r="AI696" i="1"/>
  <c r="AK695" i="1"/>
  <c r="AJ695" i="1"/>
  <c r="AI695" i="1"/>
  <c r="AK694" i="1"/>
  <c r="AJ694" i="1"/>
  <c r="AI694" i="1"/>
  <c r="AK693" i="1"/>
  <c r="AJ693" i="1"/>
  <c r="AI693" i="1"/>
  <c r="AK692" i="1"/>
  <c r="AJ692" i="1"/>
  <c r="AI692" i="1"/>
  <c r="AK691" i="1"/>
  <c r="AJ691" i="1"/>
  <c r="AI691" i="1"/>
  <c r="AK690" i="1"/>
  <c r="AJ690" i="1"/>
  <c r="AI690" i="1"/>
  <c r="AK689" i="1"/>
  <c r="AJ689" i="1"/>
  <c r="AI689" i="1"/>
  <c r="AK688" i="1"/>
  <c r="AJ688" i="1"/>
  <c r="AI688" i="1"/>
  <c r="AK687" i="1"/>
  <c r="AJ687" i="1"/>
  <c r="AI687" i="1"/>
  <c r="AK686" i="1"/>
  <c r="AJ686" i="1"/>
  <c r="AI686" i="1"/>
  <c r="AK685" i="1"/>
  <c r="AJ685" i="1"/>
  <c r="AI685" i="1"/>
  <c r="AK684" i="1"/>
  <c r="AJ684" i="1"/>
  <c r="AI684" i="1"/>
  <c r="AK683" i="1"/>
  <c r="AJ683" i="1"/>
  <c r="AI683" i="1"/>
  <c r="AK682" i="1"/>
  <c r="AJ682" i="1"/>
  <c r="AI682" i="1"/>
  <c r="AK681" i="1"/>
  <c r="AJ681" i="1"/>
  <c r="AI681" i="1"/>
  <c r="AK680" i="1"/>
  <c r="AJ680" i="1"/>
  <c r="AI680" i="1"/>
  <c r="AK679" i="1"/>
  <c r="AJ679" i="1"/>
  <c r="AI679" i="1"/>
  <c r="AK678" i="1"/>
  <c r="AJ678" i="1"/>
  <c r="AI678" i="1"/>
  <c r="AK677" i="1"/>
  <c r="AJ677" i="1"/>
  <c r="AI677" i="1"/>
  <c r="AK676" i="1"/>
  <c r="AJ676" i="1"/>
  <c r="AI676" i="1"/>
  <c r="AK675" i="1"/>
  <c r="AJ675" i="1"/>
  <c r="AI675" i="1"/>
  <c r="AK674" i="1"/>
  <c r="AJ674" i="1"/>
  <c r="AI674" i="1"/>
  <c r="AK673" i="1"/>
  <c r="AJ673" i="1"/>
  <c r="AI673" i="1"/>
  <c r="AK672" i="1"/>
  <c r="AJ672" i="1"/>
  <c r="AI672" i="1"/>
  <c r="AK671" i="1"/>
  <c r="AJ671" i="1"/>
  <c r="AI671" i="1"/>
  <c r="AK670" i="1"/>
  <c r="AJ670" i="1"/>
  <c r="AI670" i="1"/>
  <c r="AK669" i="1"/>
  <c r="AJ669" i="1"/>
  <c r="AI669" i="1"/>
  <c r="AK668" i="1"/>
  <c r="AJ668" i="1"/>
  <c r="AI668" i="1"/>
  <c r="AK667" i="1"/>
  <c r="AJ667" i="1"/>
  <c r="AI667" i="1"/>
  <c r="AK666" i="1"/>
  <c r="AJ666" i="1"/>
  <c r="AI666" i="1"/>
  <c r="AK665" i="1"/>
  <c r="AJ665" i="1"/>
  <c r="AI665" i="1"/>
  <c r="AK664" i="1"/>
  <c r="AJ664" i="1"/>
  <c r="AI664" i="1"/>
  <c r="AK663" i="1"/>
  <c r="AJ663" i="1"/>
  <c r="AI663" i="1"/>
  <c r="AK662" i="1"/>
  <c r="AJ662" i="1"/>
  <c r="AI662" i="1"/>
  <c r="AK661" i="1"/>
  <c r="AJ661" i="1"/>
  <c r="AI661" i="1"/>
  <c r="AK660" i="1"/>
  <c r="AJ660" i="1"/>
  <c r="AI660" i="1"/>
  <c r="AK659" i="1"/>
  <c r="AJ659" i="1"/>
  <c r="AI659" i="1"/>
  <c r="AK658" i="1"/>
  <c r="AJ658" i="1"/>
  <c r="AI658" i="1"/>
  <c r="AK657" i="1"/>
  <c r="AJ657" i="1"/>
  <c r="AI657" i="1"/>
  <c r="AK656" i="1"/>
  <c r="AJ656" i="1"/>
  <c r="AI656" i="1"/>
  <c r="AK655" i="1"/>
  <c r="AJ655" i="1"/>
  <c r="AI655" i="1"/>
  <c r="AK654" i="1"/>
  <c r="AJ654" i="1"/>
  <c r="AI654" i="1"/>
  <c r="AK653" i="1"/>
  <c r="AJ653" i="1"/>
  <c r="AI653" i="1"/>
  <c r="AK652" i="1"/>
  <c r="AJ652" i="1"/>
  <c r="AI652" i="1"/>
  <c r="AK651" i="1"/>
  <c r="AJ651" i="1"/>
  <c r="AI651" i="1"/>
  <c r="AK650" i="1"/>
  <c r="AJ650" i="1"/>
  <c r="AI650" i="1"/>
  <c r="AK649" i="1"/>
  <c r="AJ649" i="1"/>
  <c r="AI649" i="1"/>
  <c r="AK648" i="1"/>
  <c r="AJ648" i="1"/>
  <c r="AI648" i="1"/>
  <c r="AK647" i="1"/>
  <c r="AJ647" i="1"/>
  <c r="AI647" i="1"/>
  <c r="AK646" i="1"/>
  <c r="AJ646" i="1"/>
  <c r="AI646" i="1"/>
  <c r="AK645" i="1"/>
  <c r="AJ645" i="1"/>
  <c r="AI645" i="1"/>
  <c r="AK644" i="1"/>
  <c r="AJ644" i="1"/>
  <c r="AI644" i="1"/>
  <c r="AK643" i="1"/>
  <c r="AJ643" i="1"/>
  <c r="AI643" i="1"/>
  <c r="AK642" i="1"/>
  <c r="AJ642" i="1"/>
  <c r="AI642" i="1"/>
  <c r="AK641" i="1"/>
  <c r="AJ641" i="1"/>
  <c r="AI641" i="1"/>
  <c r="AK640" i="1"/>
  <c r="AJ640" i="1"/>
  <c r="AI640" i="1"/>
  <c r="AK639" i="1"/>
  <c r="AJ639" i="1"/>
  <c r="AI639" i="1"/>
  <c r="AK638" i="1"/>
  <c r="AJ638" i="1"/>
  <c r="AI638" i="1"/>
  <c r="AK637" i="1"/>
  <c r="AJ637" i="1"/>
  <c r="AI637" i="1"/>
  <c r="AK636" i="1"/>
  <c r="AJ636" i="1"/>
  <c r="AI636" i="1"/>
  <c r="AK635" i="1"/>
  <c r="AJ635" i="1"/>
  <c r="AI635" i="1"/>
  <c r="AK634" i="1"/>
  <c r="AJ634" i="1"/>
  <c r="AI634" i="1"/>
  <c r="AK633" i="1"/>
  <c r="AJ633" i="1"/>
  <c r="AI633" i="1"/>
  <c r="AK632" i="1"/>
  <c r="AJ632" i="1"/>
  <c r="AI632" i="1"/>
  <c r="AK631" i="1"/>
  <c r="AJ631" i="1"/>
  <c r="AI631" i="1"/>
  <c r="AK630" i="1"/>
  <c r="AJ630" i="1"/>
  <c r="AI630" i="1"/>
  <c r="AK629" i="1"/>
  <c r="AJ629" i="1"/>
  <c r="AI629" i="1"/>
  <c r="AK628" i="1"/>
  <c r="AJ628" i="1"/>
  <c r="AI628" i="1"/>
  <c r="AK627" i="1"/>
  <c r="AJ627" i="1"/>
  <c r="AI627" i="1"/>
  <c r="AK626" i="1"/>
  <c r="AJ626" i="1"/>
  <c r="AI626" i="1"/>
  <c r="AK625" i="1"/>
  <c r="AJ625" i="1"/>
  <c r="AI625" i="1"/>
  <c r="AK624" i="1"/>
  <c r="AJ624" i="1"/>
  <c r="AI624" i="1"/>
  <c r="AK623" i="1"/>
  <c r="AJ623" i="1"/>
  <c r="AI623" i="1"/>
  <c r="AK622" i="1"/>
  <c r="AJ622" i="1"/>
  <c r="AI622" i="1"/>
  <c r="AK621" i="1"/>
  <c r="AJ621" i="1"/>
  <c r="AI621" i="1"/>
  <c r="AK620" i="1"/>
  <c r="AJ620" i="1"/>
  <c r="AI620" i="1"/>
  <c r="AK619" i="1"/>
  <c r="AJ619" i="1"/>
  <c r="AI619" i="1"/>
  <c r="AK618" i="1"/>
  <c r="AJ618" i="1"/>
  <c r="AI618" i="1"/>
  <c r="AK617" i="1"/>
  <c r="AJ617" i="1"/>
  <c r="AI617" i="1"/>
  <c r="AK616" i="1"/>
  <c r="AJ616" i="1"/>
  <c r="AI616" i="1"/>
  <c r="AK615" i="1"/>
  <c r="AJ615" i="1"/>
  <c r="AI615" i="1"/>
  <c r="AK614" i="1"/>
  <c r="AJ614" i="1"/>
  <c r="AI614" i="1"/>
  <c r="AK613" i="1"/>
  <c r="AJ613" i="1"/>
  <c r="AI613" i="1"/>
  <c r="AK612" i="1"/>
  <c r="AJ612" i="1"/>
  <c r="AI612" i="1"/>
  <c r="AK611" i="1"/>
  <c r="AJ611" i="1"/>
  <c r="AI611" i="1"/>
  <c r="AK610" i="1"/>
  <c r="AJ610" i="1"/>
  <c r="AI610" i="1"/>
  <c r="AK609" i="1"/>
  <c r="AJ609" i="1"/>
  <c r="AI609" i="1"/>
  <c r="AK608" i="1"/>
  <c r="AJ608" i="1"/>
  <c r="AI608" i="1"/>
  <c r="AK607" i="1"/>
  <c r="AJ607" i="1"/>
  <c r="AI607" i="1"/>
  <c r="AK606" i="1"/>
  <c r="AJ606" i="1"/>
  <c r="AI606" i="1"/>
  <c r="AK605" i="1"/>
  <c r="AJ605" i="1"/>
  <c r="AI605" i="1"/>
  <c r="AK604" i="1"/>
  <c r="AJ604" i="1"/>
  <c r="AI604" i="1"/>
  <c r="AK603" i="1"/>
  <c r="AJ603" i="1"/>
  <c r="AI603" i="1"/>
  <c r="AK602" i="1"/>
  <c r="AJ602" i="1"/>
  <c r="AI602" i="1"/>
  <c r="AK601" i="1"/>
  <c r="AJ601" i="1"/>
  <c r="AI601" i="1"/>
  <c r="AK600" i="1"/>
  <c r="AJ600" i="1"/>
  <c r="AI600" i="1"/>
  <c r="AK599" i="1"/>
  <c r="AJ599" i="1"/>
  <c r="AI599" i="1"/>
  <c r="AK598" i="1"/>
  <c r="AJ598" i="1"/>
  <c r="AI598" i="1"/>
  <c r="AK597" i="1"/>
  <c r="AJ597" i="1"/>
  <c r="AI597" i="1"/>
  <c r="AK596" i="1"/>
  <c r="AJ596" i="1"/>
  <c r="AI596" i="1"/>
  <c r="AK595" i="1"/>
  <c r="AJ595" i="1"/>
  <c r="AI595" i="1"/>
  <c r="AK594" i="1"/>
  <c r="AJ594" i="1"/>
  <c r="AI594" i="1"/>
  <c r="AK593" i="1"/>
  <c r="AJ593" i="1"/>
  <c r="AI593" i="1"/>
  <c r="AK592" i="1"/>
  <c r="AJ592" i="1"/>
  <c r="AI592" i="1"/>
  <c r="AK591" i="1"/>
  <c r="AJ591" i="1"/>
  <c r="AI591" i="1"/>
  <c r="AK590" i="1"/>
  <c r="AJ590" i="1"/>
  <c r="AI590" i="1"/>
  <c r="AK589" i="1"/>
  <c r="AJ589" i="1"/>
  <c r="AI589" i="1"/>
  <c r="AK588" i="1"/>
  <c r="AJ588" i="1"/>
  <c r="AI588" i="1"/>
  <c r="AK587" i="1"/>
  <c r="AJ587" i="1"/>
  <c r="AI587" i="1"/>
  <c r="AK586" i="1"/>
  <c r="AJ586" i="1"/>
  <c r="AI586" i="1"/>
  <c r="AK585" i="1"/>
  <c r="AJ585" i="1"/>
  <c r="AI585" i="1"/>
  <c r="AK584" i="1"/>
  <c r="AJ584" i="1"/>
  <c r="AI584" i="1"/>
  <c r="AK583" i="1"/>
  <c r="AJ583" i="1"/>
  <c r="AI583" i="1"/>
  <c r="AK582" i="1"/>
  <c r="AJ582" i="1"/>
  <c r="AI582" i="1"/>
  <c r="AK581" i="1"/>
  <c r="AJ581" i="1"/>
  <c r="AI581" i="1"/>
  <c r="AK580" i="1"/>
  <c r="AJ580" i="1"/>
  <c r="AI580" i="1"/>
  <c r="AK579" i="1"/>
  <c r="AJ579" i="1"/>
  <c r="AI579" i="1"/>
  <c r="AK578" i="1"/>
  <c r="AJ578" i="1"/>
  <c r="AI578" i="1"/>
  <c r="AK577" i="1"/>
  <c r="AJ577" i="1"/>
  <c r="AI577" i="1"/>
  <c r="AK576" i="1"/>
  <c r="AJ576" i="1"/>
  <c r="AI576" i="1"/>
  <c r="AK575" i="1"/>
  <c r="AJ575" i="1"/>
  <c r="AI575" i="1"/>
  <c r="AK574" i="1"/>
  <c r="AJ574" i="1"/>
  <c r="AI574" i="1"/>
  <c r="AK573" i="1"/>
  <c r="AJ573" i="1"/>
  <c r="AI573" i="1"/>
  <c r="AK572" i="1"/>
  <c r="AJ572" i="1"/>
  <c r="AI572" i="1"/>
  <c r="AK571" i="1"/>
  <c r="AJ571" i="1"/>
  <c r="AI571" i="1"/>
  <c r="AK570" i="1"/>
  <c r="AJ570" i="1"/>
  <c r="AI570" i="1"/>
  <c r="AK569" i="1"/>
  <c r="AJ569" i="1"/>
  <c r="AI569" i="1"/>
  <c r="AK568" i="1"/>
  <c r="AJ568" i="1"/>
  <c r="AI568" i="1"/>
  <c r="AK567" i="1"/>
  <c r="AJ567" i="1"/>
  <c r="AI567" i="1"/>
  <c r="AK566" i="1"/>
  <c r="AJ566" i="1"/>
  <c r="AI566" i="1"/>
  <c r="AK565" i="1"/>
  <c r="AJ565" i="1"/>
  <c r="AI565" i="1"/>
  <c r="AK564" i="1"/>
  <c r="AJ564" i="1"/>
  <c r="AI564" i="1"/>
  <c r="AK563" i="1"/>
  <c r="AJ563" i="1"/>
  <c r="AI563" i="1"/>
  <c r="AK562" i="1"/>
  <c r="AJ562" i="1"/>
  <c r="AI562" i="1"/>
  <c r="AK561" i="1"/>
  <c r="AJ561" i="1"/>
  <c r="AI561" i="1"/>
  <c r="AK560" i="1"/>
  <c r="AJ560" i="1"/>
  <c r="AI560" i="1"/>
  <c r="AK559" i="1"/>
  <c r="AJ559" i="1"/>
  <c r="AI559" i="1"/>
  <c r="AK558" i="1"/>
  <c r="AJ558" i="1"/>
  <c r="AI558" i="1"/>
  <c r="AK557" i="1"/>
  <c r="AJ557" i="1"/>
  <c r="AI557" i="1"/>
  <c r="AK556" i="1"/>
  <c r="AJ556" i="1"/>
  <c r="AI556" i="1"/>
  <c r="AK555" i="1"/>
  <c r="AJ555" i="1"/>
  <c r="AI555" i="1"/>
  <c r="AK554" i="1"/>
  <c r="AJ554" i="1"/>
  <c r="AI554" i="1"/>
  <c r="AK553" i="1"/>
  <c r="AJ553" i="1"/>
  <c r="AI553" i="1"/>
  <c r="AK552" i="1"/>
  <c r="AJ552" i="1"/>
  <c r="AI552" i="1"/>
  <c r="AK551" i="1"/>
  <c r="AJ551" i="1"/>
  <c r="AI551" i="1"/>
  <c r="AK550" i="1"/>
  <c r="AJ550" i="1"/>
  <c r="AI550" i="1"/>
  <c r="AK549" i="1"/>
  <c r="AJ549" i="1"/>
  <c r="AI549" i="1"/>
  <c r="AK548" i="1"/>
  <c r="AJ548" i="1"/>
  <c r="AI548" i="1"/>
  <c r="AK547" i="1"/>
  <c r="AJ547" i="1"/>
  <c r="AI547" i="1"/>
  <c r="AK546" i="1"/>
  <c r="AJ546" i="1"/>
  <c r="AI546" i="1"/>
  <c r="AK545" i="1"/>
  <c r="AJ545" i="1"/>
  <c r="AI545" i="1"/>
  <c r="AK544" i="1"/>
  <c r="AJ544" i="1"/>
  <c r="AI544" i="1"/>
  <c r="AK543" i="1"/>
  <c r="AJ543" i="1"/>
  <c r="AI543" i="1"/>
  <c r="AK542" i="1"/>
  <c r="AJ542" i="1"/>
  <c r="AI542" i="1"/>
  <c r="AK541" i="1"/>
  <c r="AJ541" i="1"/>
  <c r="AI541" i="1"/>
  <c r="AK540" i="1"/>
  <c r="AJ540" i="1"/>
  <c r="AI540" i="1"/>
  <c r="AK539" i="1"/>
  <c r="AJ539" i="1"/>
  <c r="AI539" i="1"/>
  <c r="AK538" i="1"/>
  <c r="AJ538" i="1"/>
  <c r="AI538" i="1"/>
  <c r="AK537" i="1"/>
  <c r="AJ537" i="1"/>
  <c r="AI537" i="1"/>
  <c r="AK536" i="1"/>
  <c r="AJ536" i="1"/>
  <c r="AI536" i="1"/>
  <c r="AK535" i="1"/>
  <c r="AJ535" i="1"/>
  <c r="AI535" i="1"/>
  <c r="AK534" i="1"/>
  <c r="AJ534" i="1"/>
  <c r="AI534" i="1"/>
  <c r="AK533" i="1"/>
  <c r="AJ533" i="1"/>
  <c r="AI533" i="1"/>
  <c r="AK532" i="1"/>
  <c r="AJ532" i="1"/>
  <c r="AI532" i="1"/>
  <c r="AK531" i="1"/>
  <c r="AJ531" i="1"/>
  <c r="AI531" i="1"/>
  <c r="AK530" i="1"/>
  <c r="AJ530" i="1"/>
  <c r="AI530" i="1"/>
  <c r="AK529" i="1"/>
  <c r="AJ529" i="1"/>
  <c r="AI529" i="1"/>
  <c r="AK528" i="1"/>
  <c r="AJ528" i="1"/>
  <c r="AI528" i="1"/>
  <c r="AK527" i="1"/>
  <c r="AJ527" i="1"/>
  <c r="AI527" i="1"/>
  <c r="AK526" i="1"/>
  <c r="AJ526" i="1"/>
  <c r="AI526" i="1"/>
  <c r="AK525" i="1"/>
  <c r="AJ525" i="1"/>
  <c r="AI525" i="1"/>
  <c r="AK524" i="1"/>
  <c r="AJ524" i="1"/>
  <c r="AI524" i="1"/>
  <c r="AK523" i="1"/>
  <c r="AJ523" i="1"/>
  <c r="AI523" i="1"/>
  <c r="AK522" i="1"/>
  <c r="AJ522" i="1"/>
  <c r="AI522" i="1"/>
  <c r="AK521" i="1"/>
  <c r="AJ521" i="1"/>
  <c r="AI521" i="1"/>
  <c r="AK520" i="1"/>
  <c r="AJ520" i="1"/>
  <c r="AI520" i="1"/>
  <c r="AK519" i="1"/>
  <c r="AJ519" i="1"/>
  <c r="AI519" i="1"/>
  <c r="AK518" i="1"/>
  <c r="AJ518" i="1"/>
  <c r="AI518" i="1"/>
  <c r="AK517" i="1"/>
  <c r="AJ517" i="1"/>
  <c r="AI517" i="1"/>
  <c r="AK516" i="1"/>
  <c r="AJ516" i="1"/>
  <c r="AI516" i="1"/>
  <c r="AK515" i="1"/>
  <c r="AJ515" i="1"/>
  <c r="AI515" i="1"/>
  <c r="AK514" i="1"/>
  <c r="AJ514" i="1"/>
  <c r="AI514" i="1"/>
  <c r="AK513" i="1"/>
  <c r="AJ513" i="1"/>
  <c r="AI513" i="1"/>
  <c r="AK512" i="1"/>
  <c r="AJ512" i="1"/>
  <c r="AI512" i="1"/>
  <c r="AK511" i="1"/>
  <c r="AJ511" i="1"/>
  <c r="AI511" i="1"/>
  <c r="AK510" i="1"/>
  <c r="AJ510" i="1"/>
  <c r="AI510" i="1"/>
  <c r="AK509" i="1"/>
  <c r="AJ509" i="1"/>
  <c r="AI509" i="1"/>
  <c r="AK508" i="1"/>
  <c r="AJ508" i="1"/>
  <c r="AI508" i="1"/>
  <c r="AK507" i="1"/>
  <c r="AJ507" i="1"/>
  <c r="AI507" i="1"/>
  <c r="AK506" i="1"/>
  <c r="AJ506" i="1"/>
  <c r="AI506" i="1"/>
  <c r="AK505" i="1"/>
  <c r="AJ505" i="1"/>
  <c r="AI505" i="1"/>
  <c r="AK504" i="1"/>
  <c r="AJ504" i="1"/>
  <c r="AI504" i="1"/>
  <c r="AK503" i="1"/>
  <c r="AJ503" i="1"/>
  <c r="AI503" i="1"/>
  <c r="AK502" i="1"/>
  <c r="AJ502" i="1"/>
  <c r="AI502" i="1"/>
  <c r="AK501" i="1"/>
  <c r="AJ501" i="1"/>
  <c r="AI501" i="1"/>
  <c r="AK500" i="1"/>
  <c r="AJ500" i="1"/>
  <c r="AI500" i="1"/>
  <c r="AK499" i="1"/>
  <c r="AJ499" i="1"/>
  <c r="AI499" i="1"/>
  <c r="AK498" i="1"/>
  <c r="AJ498" i="1"/>
  <c r="AI498" i="1"/>
  <c r="AK497" i="1"/>
  <c r="AJ497" i="1"/>
  <c r="AI497" i="1"/>
  <c r="AK496" i="1"/>
  <c r="AJ496" i="1"/>
  <c r="AI496" i="1"/>
  <c r="AK495" i="1"/>
  <c r="AJ495" i="1"/>
  <c r="AI495" i="1"/>
  <c r="AK494" i="1"/>
  <c r="AJ494" i="1"/>
  <c r="AI494" i="1"/>
  <c r="AK493" i="1"/>
  <c r="AJ493" i="1"/>
  <c r="AI493" i="1"/>
  <c r="AK492" i="1"/>
  <c r="AJ492" i="1"/>
  <c r="AI492" i="1"/>
  <c r="AK491" i="1"/>
  <c r="AJ491" i="1"/>
  <c r="AI491" i="1"/>
  <c r="AK490" i="1"/>
  <c r="AJ490" i="1"/>
  <c r="AI490" i="1"/>
  <c r="AK489" i="1"/>
  <c r="AJ489" i="1"/>
  <c r="AI489" i="1"/>
  <c r="AK488" i="1"/>
  <c r="AJ488" i="1"/>
  <c r="AI488" i="1"/>
  <c r="AK487" i="1"/>
  <c r="AJ487" i="1"/>
  <c r="AI487" i="1"/>
  <c r="AK486" i="1"/>
  <c r="AJ486" i="1"/>
  <c r="AI486" i="1"/>
  <c r="AK485" i="1"/>
  <c r="AJ485" i="1"/>
  <c r="AI485" i="1"/>
  <c r="AK484" i="1"/>
  <c r="AJ484" i="1"/>
  <c r="AI484" i="1"/>
  <c r="AK483" i="1"/>
  <c r="AJ483" i="1"/>
  <c r="AI483" i="1"/>
  <c r="AK482" i="1"/>
  <c r="AJ482" i="1"/>
  <c r="AI482" i="1"/>
  <c r="AK481" i="1"/>
  <c r="AJ481" i="1"/>
  <c r="AI481" i="1"/>
  <c r="AK480" i="1"/>
  <c r="AJ480" i="1"/>
  <c r="AI480" i="1"/>
  <c r="AK479" i="1"/>
  <c r="AJ479" i="1"/>
  <c r="AI479" i="1"/>
  <c r="AK478" i="1"/>
  <c r="AJ478" i="1"/>
  <c r="AI478" i="1"/>
  <c r="AK477" i="1"/>
  <c r="AJ477" i="1"/>
  <c r="AI477" i="1"/>
  <c r="AK476" i="1"/>
  <c r="AJ476" i="1"/>
  <c r="AI476" i="1"/>
  <c r="AK475" i="1"/>
  <c r="AJ475" i="1"/>
  <c r="AI475" i="1"/>
  <c r="AK474" i="1"/>
  <c r="AJ474" i="1"/>
  <c r="AI474" i="1"/>
  <c r="AK473" i="1"/>
  <c r="AJ473" i="1"/>
  <c r="AI473" i="1"/>
  <c r="AK472" i="1"/>
  <c r="AJ472" i="1"/>
  <c r="AI472" i="1"/>
  <c r="AK471" i="1"/>
  <c r="AJ471" i="1"/>
  <c r="AI471" i="1"/>
  <c r="AK470" i="1"/>
  <c r="AJ470" i="1"/>
  <c r="AI470" i="1"/>
  <c r="AK469" i="1"/>
  <c r="AJ469" i="1"/>
  <c r="AI469" i="1"/>
  <c r="AK468" i="1"/>
  <c r="AJ468" i="1"/>
  <c r="AI468" i="1"/>
  <c r="AK467" i="1"/>
  <c r="AJ467" i="1"/>
  <c r="AI467" i="1"/>
  <c r="AK466" i="1"/>
  <c r="AJ466" i="1"/>
  <c r="AI466" i="1"/>
  <c r="AK465" i="1"/>
  <c r="AJ465" i="1"/>
  <c r="AI465" i="1"/>
  <c r="AK464" i="1"/>
  <c r="AJ464" i="1"/>
  <c r="AI464" i="1"/>
  <c r="AK463" i="1"/>
  <c r="AJ463" i="1"/>
  <c r="AI463" i="1"/>
  <c r="AK462" i="1"/>
  <c r="AJ462" i="1"/>
  <c r="AI462" i="1"/>
  <c r="AK461" i="1"/>
  <c r="AJ461" i="1"/>
  <c r="AI461" i="1"/>
  <c r="AK460" i="1"/>
  <c r="AJ460" i="1"/>
  <c r="AI460" i="1"/>
  <c r="AK459" i="1"/>
  <c r="AJ459" i="1"/>
  <c r="AI459" i="1"/>
  <c r="AK458" i="1"/>
  <c r="AJ458" i="1"/>
  <c r="AI458" i="1"/>
  <c r="AK457" i="1"/>
  <c r="AJ457" i="1"/>
  <c r="AI457" i="1"/>
  <c r="AK456" i="1"/>
  <c r="AJ456" i="1"/>
  <c r="AI456" i="1"/>
  <c r="AK455" i="1"/>
  <c r="AJ455" i="1"/>
  <c r="AI455" i="1"/>
  <c r="AK454" i="1"/>
  <c r="AJ454" i="1"/>
  <c r="AI454" i="1"/>
  <c r="AK453" i="1"/>
  <c r="AJ453" i="1"/>
  <c r="AI453" i="1"/>
  <c r="AK452" i="1"/>
  <c r="AJ452" i="1"/>
  <c r="AI452" i="1"/>
  <c r="AK451" i="1"/>
  <c r="AJ451" i="1"/>
  <c r="AI451" i="1"/>
  <c r="AK450" i="1"/>
  <c r="AJ450" i="1"/>
  <c r="AI450" i="1"/>
  <c r="AK449" i="1"/>
  <c r="AJ449" i="1"/>
  <c r="AI449" i="1"/>
  <c r="AK448" i="1"/>
  <c r="AJ448" i="1"/>
  <c r="AI448" i="1"/>
  <c r="AK447" i="1"/>
  <c r="AJ447" i="1"/>
  <c r="AI447" i="1"/>
  <c r="AK446" i="1"/>
  <c r="AJ446" i="1"/>
  <c r="AI446" i="1"/>
  <c r="AK445" i="1"/>
  <c r="AJ445" i="1"/>
  <c r="AI445" i="1"/>
  <c r="AK444" i="1"/>
  <c r="AJ444" i="1"/>
  <c r="AI444" i="1"/>
  <c r="AK443" i="1"/>
  <c r="AJ443" i="1"/>
  <c r="AI443" i="1"/>
  <c r="AK442" i="1"/>
  <c r="AJ442" i="1"/>
  <c r="AI442" i="1"/>
  <c r="AK441" i="1"/>
  <c r="AJ441" i="1"/>
  <c r="AI441" i="1"/>
  <c r="AK440" i="1"/>
  <c r="AJ440" i="1"/>
  <c r="AI440" i="1"/>
  <c r="AK439" i="1"/>
  <c r="AJ439" i="1"/>
  <c r="AI439" i="1"/>
  <c r="AK438" i="1"/>
  <c r="AJ438" i="1"/>
  <c r="AI438" i="1"/>
  <c r="AK437" i="1"/>
  <c r="AJ437" i="1"/>
  <c r="AI437" i="1"/>
  <c r="AK436" i="1"/>
  <c r="AJ436" i="1"/>
  <c r="AI436" i="1"/>
  <c r="AK435" i="1"/>
  <c r="AJ435" i="1"/>
  <c r="AI435" i="1"/>
  <c r="AK434" i="1"/>
  <c r="AJ434" i="1"/>
  <c r="AI434" i="1"/>
  <c r="AK433" i="1"/>
  <c r="AJ433" i="1"/>
  <c r="AI433" i="1"/>
  <c r="AK432" i="1"/>
  <c r="AJ432" i="1"/>
  <c r="AI432" i="1"/>
  <c r="AK431" i="1"/>
  <c r="AJ431" i="1"/>
  <c r="AI431" i="1"/>
  <c r="AK430" i="1"/>
  <c r="AJ430" i="1"/>
  <c r="AI430" i="1"/>
  <c r="AK429" i="1"/>
  <c r="AJ429" i="1"/>
  <c r="AI429" i="1"/>
  <c r="AK428" i="1"/>
  <c r="AJ428" i="1"/>
  <c r="AI428" i="1"/>
  <c r="AK427" i="1"/>
  <c r="AJ427" i="1"/>
  <c r="AI427" i="1"/>
  <c r="AK426" i="1"/>
  <c r="AJ426" i="1"/>
  <c r="AI426" i="1"/>
  <c r="AK425" i="1"/>
  <c r="AJ425" i="1"/>
  <c r="AI425" i="1"/>
  <c r="AK424" i="1"/>
  <c r="AJ424" i="1"/>
  <c r="AI424" i="1"/>
  <c r="AK423" i="1"/>
  <c r="AJ423" i="1"/>
  <c r="AI423" i="1"/>
  <c r="AK422" i="1"/>
  <c r="AJ422" i="1"/>
  <c r="AI422" i="1"/>
  <c r="AK421" i="1"/>
  <c r="AJ421" i="1"/>
  <c r="AI421" i="1"/>
  <c r="AK420" i="1"/>
  <c r="AJ420" i="1"/>
  <c r="AI420" i="1"/>
  <c r="AK419" i="1"/>
  <c r="AJ419" i="1"/>
  <c r="AI419" i="1"/>
  <c r="AK418" i="1"/>
  <c r="AJ418" i="1"/>
  <c r="AI418" i="1"/>
  <c r="AK417" i="1"/>
  <c r="AJ417" i="1"/>
  <c r="AI417" i="1"/>
  <c r="AK416" i="1"/>
  <c r="AJ416" i="1"/>
  <c r="AI416" i="1"/>
  <c r="AK415" i="1"/>
  <c r="AJ415" i="1"/>
  <c r="AI415" i="1"/>
  <c r="AK414" i="1"/>
  <c r="AJ414" i="1"/>
  <c r="AI414" i="1"/>
  <c r="AK413" i="1"/>
  <c r="AJ413" i="1"/>
  <c r="AI413" i="1"/>
  <c r="AK412" i="1"/>
  <c r="AJ412" i="1"/>
  <c r="AI412" i="1"/>
  <c r="AK411" i="1"/>
  <c r="AJ411" i="1"/>
  <c r="AI411" i="1"/>
  <c r="AK410" i="1"/>
  <c r="AJ410" i="1"/>
  <c r="AI410" i="1"/>
  <c r="AK409" i="1"/>
  <c r="AJ409" i="1"/>
  <c r="AI409" i="1"/>
  <c r="AK408" i="1"/>
  <c r="AJ408" i="1"/>
  <c r="AI408" i="1"/>
  <c r="AK407" i="1"/>
  <c r="AJ407" i="1"/>
  <c r="AI407" i="1"/>
  <c r="AK406" i="1"/>
  <c r="AJ406" i="1"/>
  <c r="AI406" i="1"/>
  <c r="AK405" i="1"/>
  <c r="AJ405" i="1"/>
  <c r="AI405" i="1"/>
  <c r="AK404" i="1"/>
  <c r="AJ404" i="1"/>
  <c r="AI404" i="1"/>
  <c r="AK403" i="1"/>
  <c r="AJ403" i="1"/>
  <c r="AI403" i="1"/>
  <c r="AK402" i="1"/>
  <c r="AJ402" i="1"/>
  <c r="AI402" i="1"/>
  <c r="AK401" i="1"/>
  <c r="AJ401" i="1"/>
  <c r="AI401" i="1"/>
  <c r="AK400" i="1"/>
  <c r="AJ400" i="1"/>
  <c r="AI400" i="1"/>
  <c r="AK399" i="1"/>
  <c r="AJ399" i="1"/>
  <c r="AI399" i="1"/>
  <c r="AK398" i="1"/>
  <c r="AJ398" i="1"/>
  <c r="AI398" i="1"/>
  <c r="AK397" i="1"/>
  <c r="AJ397" i="1"/>
  <c r="AI397" i="1"/>
  <c r="AK396" i="1"/>
  <c r="AJ396" i="1"/>
  <c r="AI396" i="1"/>
  <c r="AK395" i="1"/>
  <c r="AJ395" i="1"/>
  <c r="AI395" i="1"/>
  <c r="AK394" i="1"/>
  <c r="AJ394" i="1"/>
  <c r="AI394" i="1"/>
  <c r="AK393" i="1"/>
  <c r="AJ393" i="1"/>
  <c r="AI393" i="1"/>
  <c r="AK392" i="1"/>
  <c r="AJ392" i="1"/>
  <c r="AI392" i="1"/>
  <c r="AK391" i="1"/>
  <c r="AJ391" i="1"/>
  <c r="AI391" i="1"/>
  <c r="AK390" i="1"/>
  <c r="AJ390" i="1"/>
  <c r="AI390" i="1"/>
  <c r="AK389" i="1"/>
  <c r="AJ389" i="1"/>
  <c r="AI389" i="1"/>
  <c r="AK388" i="1"/>
  <c r="AJ388" i="1"/>
  <c r="AI388" i="1"/>
  <c r="AK387" i="1"/>
  <c r="AJ387" i="1"/>
  <c r="AI387" i="1"/>
  <c r="AK386" i="1"/>
  <c r="AJ386" i="1"/>
  <c r="AI386" i="1"/>
  <c r="AK385" i="1"/>
  <c r="AJ385" i="1"/>
  <c r="AI385" i="1"/>
  <c r="AK384" i="1"/>
  <c r="AJ384" i="1"/>
  <c r="AI384" i="1"/>
  <c r="AK383" i="1"/>
  <c r="AJ383" i="1"/>
  <c r="AI383" i="1"/>
  <c r="AK382" i="1"/>
  <c r="AJ382" i="1"/>
  <c r="AI382" i="1"/>
  <c r="AK381" i="1"/>
  <c r="AJ381" i="1"/>
  <c r="AI381" i="1"/>
  <c r="AK380" i="1"/>
  <c r="AJ380" i="1"/>
  <c r="AI380" i="1"/>
  <c r="AK379" i="1"/>
  <c r="AJ379" i="1"/>
  <c r="AI379" i="1"/>
  <c r="AK378" i="1"/>
  <c r="AJ378" i="1"/>
  <c r="AI378" i="1"/>
  <c r="AK377" i="1"/>
  <c r="AJ377" i="1"/>
  <c r="AI377" i="1"/>
  <c r="AK376" i="1"/>
  <c r="AJ376" i="1"/>
  <c r="AI376" i="1"/>
  <c r="AK375" i="1"/>
  <c r="AJ375" i="1"/>
  <c r="AI375" i="1"/>
  <c r="AK374" i="1"/>
  <c r="AJ374" i="1"/>
  <c r="AI374" i="1"/>
  <c r="AK373" i="1"/>
  <c r="AJ373" i="1"/>
  <c r="AI373" i="1"/>
  <c r="AK372" i="1"/>
  <c r="AJ372" i="1"/>
  <c r="AI372" i="1"/>
  <c r="AK371" i="1"/>
  <c r="AJ371" i="1"/>
  <c r="AI371" i="1"/>
  <c r="AK370" i="1"/>
  <c r="AJ370" i="1"/>
  <c r="AI370" i="1"/>
  <c r="AK369" i="1"/>
  <c r="AJ369" i="1"/>
  <c r="AI369" i="1"/>
  <c r="AK368" i="1"/>
  <c r="AJ368" i="1"/>
  <c r="AI368" i="1"/>
  <c r="AK367" i="1"/>
  <c r="AJ367" i="1"/>
  <c r="AI367" i="1"/>
  <c r="AK366" i="1"/>
  <c r="AJ366" i="1"/>
  <c r="AI366" i="1"/>
  <c r="AK365" i="1"/>
  <c r="AJ365" i="1"/>
  <c r="AI365" i="1"/>
  <c r="AK364" i="1"/>
  <c r="AJ364" i="1"/>
  <c r="AI364" i="1"/>
  <c r="AK363" i="1"/>
  <c r="AJ363" i="1"/>
  <c r="AI363" i="1"/>
  <c r="AK362" i="1"/>
  <c r="AJ362" i="1"/>
  <c r="AI362" i="1"/>
  <c r="AK361" i="1"/>
  <c r="AJ361" i="1"/>
  <c r="AI361" i="1"/>
  <c r="AK360" i="1"/>
  <c r="AJ360" i="1"/>
  <c r="AI360" i="1"/>
  <c r="AK359" i="1"/>
  <c r="AJ359" i="1"/>
  <c r="AI359" i="1"/>
  <c r="AK358" i="1"/>
  <c r="AJ358" i="1"/>
  <c r="AI358" i="1"/>
  <c r="AK357" i="1"/>
  <c r="AJ357" i="1"/>
  <c r="AI357" i="1"/>
  <c r="AK356" i="1"/>
  <c r="AJ356" i="1"/>
  <c r="AI356" i="1"/>
  <c r="AK355" i="1"/>
  <c r="AJ355" i="1"/>
  <c r="AI355" i="1"/>
  <c r="AK354" i="1"/>
  <c r="AJ354" i="1"/>
  <c r="AI354" i="1"/>
  <c r="AK353" i="1"/>
  <c r="AJ353" i="1"/>
  <c r="AI353" i="1"/>
  <c r="AK352" i="1"/>
  <c r="AJ352" i="1"/>
  <c r="AI352" i="1"/>
  <c r="AK351" i="1"/>
  <c r="AJ351" i="1"/>
  <c r="AI351" i="1"/>
  <c r="AK350" i="1"/>
  <c r="AJ350" i="1"/>
  <c r="AI350" i="1"/>
  <c r="AK349" i="1"/>
  <c r="AJ349" i="1"/>
  <c r="AI349" i="1"/>
  <c r="AK348" i="1"/>
  <c r="AJ348" i="1"/>
  <c r="AI348" i="1"/>
  <c r="AK347" i="1"/>
  <c r="AJ347" i="1"/>
  <c r="AI347" i="1"/>
  <c r="AK346" i="1"/>
  <c r="AJ346" i="1"/>
  <c r="AI346" i="1"/>
  <c r="AK345" i="1"/>
  <c r="AJ345" i="1"/>
  <c r="AI345" i="1"/>
  <c r="AK344" i="1"/>
  <c r="AJ344" i="1"/>
  <c r="AI344" i="1"/>
  <c r="AK343" i="1"/>
  <c r="AJ343" i="1"/>
  <c r="AI343" i="1"/>
  <c r="AK342" i="1"/>
  <c r="AJ342" i="1"/>
  <c r="AI342" i="1"/>
  <c r="AK341" i="1"/>
  <c r="AJ341" i="1"/>
  <c r="AI341" i="1"/>
  <c r="AK340" i="1"/>
  <c r="AJ340" i="1"/>
  <c r="AI340" i="1"/>
  <c r="AK339" i="1"/>
  <c r="AJ339" i="1"/>
  <c r="AI339" i="1"/>
  <c r="AK338" i="1"/>
  <c r="AJ338" i="1"/>
  <c r="AI338" i="1"/>
  <c r="AK337" i="1"/>
  <c r="AJ337" i="1"/>
  <c r="AI337" i="1"/>
  <c r="AK336" i="1"/>
  <c r="AJ336" i="1"/>
  <c r="AI336" i="1"/>
  <c r="AK335" i="1"/>
  <c r="AJ335" i="1"/>
  <c r="AI335" i="1"/>
  <c r="AK334" i="1"/>
  <c r="AJ334" i="1"/>
  <c r="AI334" i="1"/>
  <c r="AK333" i="1"/>
  <c r="AJ333" i="1"/>
  <c r="AI333" i="1"/>
  <c r="AK332" i="1"/>
  <c r="AJ332" i="1"/>
  <c r="AI332" i="1"/>
  <c r="AK331" i="1"/>
  <c r="AJ331" i="1"/>
  <c r="AI331" i="1"/>
  <c r="AK330" i="1"/>
  <c r="AJ330" i="1"/>
  <c r="AI330" i="1"/>
  <c r="AK329" i="1"/>
  <c r="AJ329" i="1"/>
  <c r="AI329" i="1"/>
  <c r="AK328" i="1"/>
  <c r="AJ328" i="1"/>
  <c r="AI328" i="1"/>
  <c r="AK327" i="1"/>
  <c r="AJ327" i="1"/>
  <c r="AI327" i="1"/>
  <c r="AK326" i="1"/>
  <c r="AJ326" i="1"/>
  <c r="AI326" i="1"/>
  <c r="AK325" i="1"/>
  <c r="AJ325" i="1"/>
  <c r="AI325" i="1"/>
  <c r="AK324" i="1"/>
  <c r="AJ324" i="1"/>
  <c r="AI324" i="1"/>
  <c r="AK323" i="1"/>
  <c r="AJ323" i="1"/>
  <c r="AI323" i="1"/>
  <c r="AK322" i="1"/>
  <c r="AJ322" i="1"/>
  <c r="AI322" i="1"/>
  <c r="AK321" i="1"/>
  <c r="AJ321" i="1"/>
  <c r="AI321" i="1"/>
  <c r="AK320" i="1"/>
  <c r="AJ320" i="1"/>
  <c r="AI320" i="1"/>
  <c r="AK319" i="1"/>
  <c r="AJ319" i="1"/>
  <c r="AI319" i="1"/>
  <c r="AK318" i="1"/>
  <c r="AJ318" i="1"/>
  <c r="AI318" i="1"/>
  <c r="AK317" i="1"/>
  <c r="AJ317" i="1"/>
  <c r="AI317" i="1"/>
  <c r="AK316" i="1"/>
  <c r="AJ316" i="1"/>
  <c r="AI316" i="1"/>
  <c r="AK315" i="1"/>
  <c r="AJ315" i="1"/>
  <c r="AI315" i="1"/>
  <c r="AK314" i="1"/>
  <c r="AJ314" i="1"/>
  <c r="AI314" i="1"/>
  <c r="AK313" i="1"/>
  <c r="AJ313" i="1"/>
  <c r="AI313" i="1"/>
  <c r="AK312" i="1"/>
  <c r="AJ312" i="1"/>
  <c r="AI312" i="1"/>
  <c r="AK311" i="1"/>
  <c r="AJ311" i="1"/>
  <c r="AI311" i="1"/>
  <c r="AK310" i="1"/>
  <c r="AJ310" i="1"/>
  <c r="AI310" i="1"/>
  <c r="AK309" i="1"/>
  <c r="AJ309" i="1"/>
  <c r="AI309" i="1"/>
  <c r="AK308" i="1"/>
  <c r="AJ308" i="1"/>
  <c r="AI308" i="1"/>
  <c r="AK307" i="1"/>
  <c r="AJ307" i="1"/>
  <c r="AI307" i="1"/>
  <c r="AK306" i="1"/>
  <c r="AJ306" i="1"/>
  <c r="AI306" i="1"/>
  <c r="AK305" i="1"/>
  <c r="AJ305" i="1"/>
  <c r="AI305" i="1"/>
  <c r="AK304" i="1"/>
  <c r="AJ304" i="1"/>
  <c r="AI304" i="1"/>
  <c r="AK303" i="1"/>
  <c r="AJ303" i="1"/>
  <c r="AI303" i="1"/>
  <c r="AK302" i="1"/>
  <c r="AJ302" i="1"/>
  <c r="AI302" i="1"/>
  <c r="AK301" i="1"/>
  <c r="AJ301" i="1"/>
  <c r="AI301" i="1"/>
  <c r="AK300" i="1"/>
  <c r="AJ300" i="1"/>
  <c r="AI300" i="1"/>
  <c r="AK299" i="1"/>
  <c r="AJ299" i="1"/>
  <c r="AI299" i="1"/>
  <c r="AK298" i="1"/>
  <c r="AJ298" i="1"/>
  <c r="AI298" i="1"/>
  <c r="AK297" i="1"/>
  <c r="AJ297" i="1"/>
  <c r="AI297" i="1"/>
  <c r="AK296" i="1"/>
  <c r="AJ296" i="1"/>
  <c r="AI296" i="1"/>
  <c r="AK295" i="1"/>
  <c r="AJ295" i="1"/>
  <c r="AI295" i="1"/>
  <c r="AK294" i="1"/>
  <c r="AJ294" i="1"/>
  <c r="AI294" i="1"/>
  <c r="AK293" i="1"/>
  <c r="AJ293" i="1"/>
  <c r="AI293" i="1"/>
  <c r="AK292" i="1"/>
  <c r="AJ292" i="1"/>
  <c r="AI292" i="1"/>
  <c r="AK291" i="1"/>
  <c r="AJ291" i="1"/>
  <c r="AI291" i="1"/>
  <c r="AK290" i="1"/>
  <c r="AJ290" i="1"/>
  <c r="AI290" i="1"/>
  <c r="AK289" i="1"/>
  <c r="AJ289" i="1"/>
  <c r="AI289" i="1"/>
  <c r="AK288" i="1"/>
  <c r="AJ288" i="1"/>
  <c r="AI288" i="1"/>
  <c r="AK287" i="1"/>
  <c r="AJ287" i="1"/>
  <c r="AI287" i="1"/>
  <c r="AK286" i="1"/>
  <c r="AJ286" i="1"/>
  <c r="AI286" i="1"/>
  <c r="AK285" i="1"/>
  <c r="AJ285" i="1"/>
  <c r="AI285" i="1"/>
  <c r="AK284" i="1"/>
  <c r="AJ284" i="1"/>
  <c r="AI284" i="1"/>
  <c r="AK283" i="1"/>
  <c r="AJ283" i="1"/>
  <c r="AI283" i="1"/>
  <c r="AK282" i="1"/>
  <c r="AJ282" i="1"/>
  <c r="AI282" i="1"/>
  <c r="AK281" i="1"/>
  <c r="AJ281" i="1"/>
  <c r="AI281" i="1"/>
  <c r="AK280" i="1"/>
  <c r="AJ280" i="1"/>
  <c r="AI280" i="1"/>
  <c r="AK279" i="1"/>
  <c r="AJ279" i="1"/>
  <c r="AI279" i="1"/>
  <c r="AK278" i="1"/>
  <c r="AJ278" i="1"/>
  <c r="AI278" i="1"/>
  <c r="AK277" i="1"/>
  <c r="AJ277" i="1"/>
  <c r="AI277" i="1"/>
  <c r="AK276" i="1"/>
  <c r="AJ276" i="1"/>
  <c r="AI276" i="1"/>
  <c r="AK275" i="1"/>
  <c r="AJ275" i="1"/>
  <c r="AI275" i="1"/>
  <c r="AK274" i="1"/>
  <c r="AJ274" i="1"/>
  <c r="AI274" i="1"/>
  <c r="AK273" i="1"/>
  <c r="AJ273" i="1"/>
  <c r="AI273" i="1"/>
  <c r="AK272" i="1"/>
  <c r="AJ272" i="1"/>
  <c r="AI272" i="1"/>
  <c r="AK271" i="1"/>
  <c r="AJ271" i="1"/>
  <c r="AI271" i="1"/>
  <c r="AK270" i="1"/>
  <c r="AJ270" i="1"/>
  <c r="AI270" i="1"/>
  <c r="AK269" i="1"/>
  <c r="AJ269" i="1"/>
  <c r="AI269" i="1"/>
  <c r="AK268" i="1"/>
  <c r="AJ268" i="1"/>
  <c r="AI268" i="1"/>
  <c r="AK267" i="1"/>
  <c r="AJ267" i="1"/>
  <c r="AI267" i="1"/>
  <c r="AK266" i="1"/>
  <c r="AJ266" i="1"/>
  <c r="AI266" i="1"/>
  <c r="AK265" i="1"/>
  <c r="AJ265" i="1"/>
  <c r="AI265" i="1"/>
  <c r="AK264" i="1"/>
  <c r="AJ264" i="1"/>
  <c r="AI264" i="1"/>
  <c r="AK263" i="1"/>
  <c r="AJ263" i="1"/>
  <c r="AI263" i="1"/>
  <c r="AK262" i="1"/>
  <c r="AJ262" i="1"/>
  <c r="AI262" i="1"/>
  <c r="AK261" i="1"/>
  <c r="AJ261" i="1"/>
  <c r="AI261" i="1"/>
  <c r="AK260" i="1"/>
  <c r="AJ260" i="1"/>
  <c r="AI260" i="1"/>
  <c r="AK259" i="1"/>
  <c r="AJ259" i="1"/>
  <c r="AI259" i="1"/>
  <c r="E246" i="4" l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E401" i="4" s="1"/>
  <c r="E402" i="4" s="1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E481" i="4" s="1"/>
  <c r="E482" i="4" s="1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E501" i="4" s="1"/>
  <c r="E502" i="4" s="1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E521" i="4" s="1"/>
  <c r="E522" i="4" s="1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E541" i="4" s="1"/>
  <c r="E542" i="4" s="1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E561" i="4" s="1"/>
  <c r="E562" i="4" s="1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E581" i="4" s="1"/>
  <c r="E582" i="4" s="1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E601" i="4" s="1"/>
  <c r="E602" i="4" s="1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E621" i="4" s="1"/>
  <c r="E622" i="4" s="1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E641" i="4" s="1"/>
  <c r="E642" i="4" s="1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E661" i="4" s="1"/>
  <c r="E662" i="4" s="1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E681" i="4" s="1"/>
  <c r="E682" i="4" s="1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E701" i="4" s="1"/>
  <c r="E702" i="4" s="1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E721" i="4" s="1"/>
  <c r="E722" i="4" s="1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E741" i="4" s="1"/>
  <c r="E742" i="4" s="1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E761" i="4" s="1"/>
  <c r="E762" i="4" s="1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E781" i="4" s="1"/>
  <c r="E782" i="4" s="1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E801" i="4" s="1"/>
  <c r="E802" i="4" s="1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E821" i="4" s="1"/>
  <c r="E822" i="4" s="1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E841" i="4" s="1"/>
  <c r="E842" i="4" s="1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E861" i="4" s="1"/>
  <c r="E862" i="4" s="1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E881" i="4" s="1"/>
  <c r="E882" i="4" s="1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E901" i="4" s="1"/>
  <c r="E902" i="4" s="1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E921" i="4" s="1"/>
  <c r="E922" i="4" s="1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E941" i="4" s="1"/>
  <c r="E942" i="4" s="1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E961" i="4" s="1"/>
  <c r="E962" i="4" s="1"/>
  <c r="E963" i="4" s="1"/>
  <c r="E964" i="4" s="1"/>
  <c r="E245" i="4"/>
  <c r="U978" i="1"/>
  <c r="T978" i="1"/>
  <c r="U977" i="1"/>
  <c r="T977" i="1"/>
  <c r="U976" i="1"/>
  <c r="T976" i="1"/>
  <c r="U975" i="1"/>
  <c r="T975" i="1"/>
  <c r="U974" i="1"/>
  <c r="T974" i="1"/>
  <c r="U973" i="1"/>
  <c r="T973" i="1"/>
  <c r="U972" i="1"/>
  <c r="T972" i="1"/>
  <c r="U971" i="1"/>
  <c r="T971" i="1"/>
  <c r="U970" i="1"/>
  <c r="T970" i="1"/>
  <c r="U969" i="1"/>
  <c r="T969" i="1"/>
  <c r="U968" i="1"/>
  <c r="T968" i="1"/>
  <c r="U967" i="1"/>
  <c r="T967" i="1"/>
  <c r="U966" i="1"/>
  <c r="T966" i="1"/>
  <c r="U965" i="1"/>
  <c r="T965" i="1"/>
  <c r="U964" i="1"/>
  <c r="T964" i="1"/>
  <c r="U963" i="1"/>
  <c r="T963" i="1"/>
  <c r="U962" i="1"/>
  <c r="T962" i="1"/>
  <c r="U961" i="1"/>
  <c r="T961" i="1"/>
  <c r="U960" i="1"/>
  <c r="T960" i="1"/>
  <c r="U959" i="1"/>
  <c r="T959" i="1"/>
  <c r="U958" i="1"/>
  <c r="T958" i="1"/>
  <c r="U957" i="1"/>
  <c r="T957" i="1"/>
  <c r="U956" i="1"/>
  <c r="T956" i="1"/>
  <c r="U955" i="1"/>
  <c r="T955" i="1"/>
  <c r="U954" i="1"/>
  <c r="T954" i="1"/>
  <c r="U953" i="1"/>
  <c r="T953" i="1"/>
  <c r="U952" i="1"/>
  <c r="T952" i="1"/>
  <c r="U951" i="1"/>
  <c r="T951" i="1"/>
  <c r="U950" i="1"/>
  <c r="T950" i="1"/>
  <c r="U949" i="1"/>
  <c r="T949" i="1"/>
  <c r="U948" i="1"/>
  <c r="T948" i="1"/>
  <c r="U947" i="1"/>
  <c r="T947" i="1"/>
  <c r="U946" i="1"/>
  <c r="T946" i="1"/>
  <c r="U945" i="1"/>
  <c r="T945" i="1"/>
  <c r="U944" i="1"/>
  <c r="T944" i="1"/>
  <c r="U943" i="1"/>
  <c r="T943" i="1"/>
  <c r="U942" i="1"/>
  <c r="T942" i="1"/>
  <c r="U941" i="1"/>
  <c r="T941" i="1"/>
  <c r="U940" i="1"/>
  <c r="T940" i="1"/>
  <c r="U939" i="1"/>
  <c r="T939" i="1"/>
  <c r="U938" i="1"/>
  <c r="T938" i="1"/>
  <c r="U937" i="1"/>
  <c r="T937" i="1"/>
  <c r="U936" i="1"/>
  <c r="T936" i="1"/>
  <c r="U935" i="1"/>
  <c r="T935" i="1"/>
  <c r="U934" i="1"/>
  <c r="T934" i="1"/>
  <c r="U933" i="1"/>
  <c r="T933" i="1"/>
  <c r="U932" i="1"/>
  <c r="T932" i="1"/>
  <c r="U931" i="1"/>
  <c r="T931" i="1"/>
  <c r="U930" i="1"/>
  <c r="T930" i="1"/>
  <c r="U929" i="1"/>
  <c r="T929" i="1"/>
  <c r="U928" i="1"/>
  <c r="T928" i="1"/>
  <c r="U927" i="1"/>
  <c r="T927" i="1"/>
  <c r="U926" i="1"/>
  <c r="T926" i="1"/>
  <c r="U925" i="1"/>
  <c r="T925" i="1"/>
  <c r="U924" i="1"/>
  <c r="T924" i="1"/>
  <c r="U923" i="1"/>
  <c r="T923" i="1"/>
  <c r="U922" i="1"/>
  <c r="T922" i="1"/>
  <c r="U921" i="1"/>
  <c r="T921" i="1"/>
  <c r="U920" i="1"/>
  <c r="T920" i="1"/>
  <c r="U919" i="1"/>
  <c r="T919" i="1"/>
  <c r="U918" i="1"/>
  <c r="T918" i="1"/>
  <c r="U917" i="1"/>
  <c r="T917" i="1"/>
  <c r="U916" i="1"/>
  <c r="T916" i="1"/>
  <c r="U915" i="1"/>
  <c r="T915" i="1"/>
  <c r="U914" i="1"/>
  <c r="T914" i="1"/>
  <c r="U913" i="1"/>
  <c r="T913" i="1"/>
  <c r="U912" i="1"/>
  <c r="T912" i="1"/>
  <c r="U911" i="1"/>
  <c r="T911" i="1"/>
  <c r="U910" i="1"/>
  <c r="T910" i="1"/>
  <c r="U909" i="1"/>
  <c r="T909" i="1"/>
  <c r="U908" i="1"/>
  <c r="T908" i="1"/>
  <c r="U907" i="1"/>
  <c r="T907" i="1"/>
  <c r="U906" i="1"/>
  <c r="T906" i="1"/>
  <c r="U905" i="1"/>
  <c r="T905" i="1"/>
  <c r="U904" i="1"/>
  <c r="T904" i="1"/>
  <c r="U903" i="1"/>
  <c r="T903" i="1"/>
  <c r="U902" i="1"/>
  <c r="T902" i="1"/>
  <c r="U901" i="1"/>
  <c r="T901" i="1"/>
  <c r="U900" i="1"/>
  <c r="T900" i="1"/>
  <c r="U899" i="1"/>
  <c r="T899" i="1"/>
  <c r="U898" i="1"/>
  <c r="T898" i="1"/>
  <c r="U897" i="1"/>
  <c r="T897" i="1"/>
  <c r="U896" i="1"/>
  <c r="T896" i="1"/>
  <c r="U895" i="1"/>
  <c r="T895" i="1"/>
  <c r="U894" i="1"/>
  <c r="T894" i="1"/>
  <c r="U893" i="1"/>
  <c r="T893" i="1"/>
  <c r="U892" i="1"/>
  <c r="T892" i="1"/>
  <c r="U891" i="1"/>
  <c r="T891" i="1"/>
  <c r="U890" i="1"/>
  <c r="T890" i="1"/>
  <c r="U889" i="1"/>
  <c r="T889" i="1"/>
  <c r="U888" i="1"/>
  <c r="T888" i="1"/>
  <c r="U887" i="1"/>
  <c r="T887" i="1"/>
  <c r="U886" i="1"/>
  <c r="T886" i="1"/>
  <c r="U885" i="1"/>
  <c r="T885" i="1"/>
  <c r="U884" i="1"/>
  <c r="T884" i="1"/>
  <c r="U883" i="1"/>
  <c r="T883" i="1"/>
  <c r="U882" i="1"/>
  <c r="T882" i="1"/>
  <c r="U881" i="1"/>
  <c r="T881" i="1"/>
  <c r="U880" i="1"/>
  <c r="T880" i="1"/>
  <c r="U879" i="1"/>
  <c r="T879" i="1"/>
  <c r="U878" i="1"/>
  <c r="T878" i="1"/>
  <c r="U877" i="1"/>
  <c r="T877" i="1"/>
  <c r="U876" i="1"/>
  <c r="T876" i="1"/>
  <c r="U875" i="1"/>
  <c r="T875" i="1"/>
  <c r="U874" i="1"/>
  <c r="T874" i="1"/>
  <c r="U873" i="1"/>
  <c r="T873" i="1"/>
  <c r="U872" i="1"/>
  <c r="T872" i="1"/>
  <c r="U871" i="1"/>
  <c r="T871" i="1"/>
  <c r="U870" i="1"/>
  <c r="T870" i="1"/>
  <c r="U869" i="1"/>
  <c r="T869" i="1"/>
  <c r="U868" i="1"/>
  <c r="T868" i="1"/>
  <c r="U867" i="1"/>
  <c r="T867" i="1"/>
  <c r="U866" i="1"/>
  <c r="T866" i="1"/>
  <c r="U865" i="1"/>
  <c r="T865" i="1"/>
  <c r="U864" i="1"/>
  <c r="T864" i="1"/>
  <c r="U863" i="1"/>
  <c r="T863" i="1"/>
  <c r="U862" i="1"/>
  <c r="T862" i="1"/>
  <c r="U861" i="1"/>
  <c r="T861" i="1"/>
  <c r="U860" i="1"/>
  <c r="T860" i="1"/>
  <c r="U859" i="1"/>
  <c r="T859" i="1"/>
  <c r="U858" i="1"/>
  <c r="T858" i="1"/>
  <c r="U857" i="1"/>
  <c r="T857" i="1"/>
  <c r="U856" i="1"/>
  <c r="T856" i="1"/>
  <c r="U855" i="1"/>
  <c r="T855" i="1"/>
  <c r="U854" i="1"/>
  <c r="T854" i="1"/>
  <c r="U853" i="1"/>
  <c r="T853" i="1"/>
  <c r="U852" i="1"/>
  <c r="T852" i="1"/>
  <c r="U851" i="1"/>
  <c r="T851" i="1"/>
  <c r="U850" i="1"/>
  <c r="T850" i="1"/>
  <c r="U849" i="1"/>
  <c r="T849" i="1"/>
  <c r="U848" i="1"/>
  <c r="T848" i="1"/>
  <c r="U847" i="1"/>
  <c r="T847" i="1"/>
  <c r="U846" i="1"/>
  <c r="T846" i="1"/>
  <c r="U845" i="1"/>
  <c r="T845" i="1"/>
  <c r="U844" i="1"/>
  <c r="T844" i="1"/>
  <c r="U843" i="1"/>
  <c r="T843" i="1"/>
  <c r="U842" i="1"/>
  <c r="T842" i="1"/>
  <c r="U841" i="1"/>
  <c r="T841" i="1"/>
  <c r="U840" i="1"/>
  <c r="T840" i="1"/>
  <c r="U839" i="1"/>
  <c r="T839" i="1"/>
  <c r="U838" i="1"/>
  <c r="T838" i="1"/>
  <c r="U837" i="1"/>
  <c r="T837" i="1"/>
  <c r="U836" i="1"/>
  <c r="T836" i="1"/>
  <c r="U835" i="1"/>
  <c r="T835" i="1"/>
  <c r="U834" i="1"/>
  <c r="T834" i="1"/>
  <c r="U833" i="1"/>
  <c r="T833" i="1"/>
  <c r="U832" i="1"/>
  <c r="T832" i="1"/>
  <c r="U831" i="1"/>
  <c r="T831" i="1"/>
  <c r="U830" i="1"/>
  <c r="T830" i="1"/>
  <c r="U829" i="1"/>
  <c r="T829" i="1"/>
  <c r="U828" i="1"/>
  <c r="T828" i="1"/>
  <c r="U827" i="1"/>
  <c r="T827" i="1"/>
  <c r="U826" i="1"/>
  <c r="T826" i="1"/>
  <c r="U825" i="1"/>
  <c r="T825" i="1"/>
  <c r="U824" i="1"/>
  <c r="T824" i="1"/>
  <c r="U823" i="1"/>
  <c r="T823" i="1"/>
  <c r="U822" i="1"/>
  <c r="T822" i="1"/>
  <c r="U821" i="1"/>
  <c r="T821" i="1"/>
  <c r="U820" i="1"/>
  <c r="T820" i="1"/>
  <c r="U819" i="1"/>
  <c r="T819" i="1"/>
  <c r="U818" i="1"/>
  <c r="T818" i="1"/>
  <c r="U817" i="1"/>
  <c r="T817" i="1"/>
  <c r="U816" i="1"/>
  <c r="T816" i="1"/>
  <c r="U815" i="1"/>
  <c r="T815" i="1"/>
  <c r="U814" i="1"/>
  <c r="T814" i="1"/>
  <c r="U813" i="1"/>
  <c r="T813" i="1"/>
  <c r="U812" i="1"/>
  <c r="T812" i="1"/>
  <c r="U811" i="1"/>
  <c r="T811" i="1"/>
  <c r="U810" i="1"/>
  <c r="T810" i="1"/>
  <c r="U809" i="1"/>
  <c r="T809" i="1"/>
  <c r="U808" i="1"/>
  <c r="T808" i="1"/>
  <c r="U807" i="1"/>
  <c r="T807" i="1"/>
  <c r="U806" i="1"/>
  <c r="T806" i="1"/>
  <c r="U805" i="1"/>
  <c r="T805" i="1"/>
  <c r="U804" i="1"/>
  <c r="T804" i="1"/>
  <c r="U803" i="1"/>
  <c r="T803" i="1"/>
  <c r="U802" i="1"/>
  <c r="T802" i="1"/>
  <c r="U801" i="1"/>
  <c r="T801" i="1"/>
  <c r="U800" i="1"/>
  <c r="T800" i="1"/>
  <c r="U799" i="1"/>
  <c r="T799" i="1"/>
  <c r="U798" i="1"/>
  <c r="T798" i="1"/>
  <c r="U797" i="1"/>
  <c r="T797" i="1"/>
  <c r="U796" i="1"/>
  <c r="T796" i="1"/>
  <c r="U795" i="1"/>
  <c r="T795" i="1"/>
  <c r="U794" i="1"/>
  <c r="T794" i="1"/>
  <c r="U793" i="1"/>
  <c r="T793" i="1"/>
  <c r="U792" i="1"/>
  <c r="T792" i="1"/>
  <c r="U791" i="1"/>
  <c r="T791" i="1"/>
  <c r="U790" i="1"/>
  <c r="T790" i="1"/>
  <c r="U789" i="1"/>
  <c r="T789" i="1"/>
  <c r="U788" i="1"/>
  <c r="T788" i="1"/>
  <c r="U787" i="1"/>
  <c r="T787" i="1"/>
  <c r="U786" i="1"/>
  <c r="T786" i="1"/>
  <c r="U785" i="1"/>
  <c r="T785" i="1"/>
  <c r="U784" i="1"/>
  <c r="T784" i="1"/>
  <c r="U783" i="1"/>
  <c r="T783" i="1"/>
  <c r="U782" i="1"/>
  <c r="T782" i="1"/>
  <c r="U781" i="1"/>
  <c r="T781" i="1"/>
  <c r="U780" i="1"/>
  <c r="T780" i="1"/>
  <c r="U779" i="1"/>
  <c r="T779" i="1"/>
  <c r="U778" i="1"/>
  <c r="T778" i="1"/>
  <c r="U777" i="1"/>
  <c r="T777" i="1"/>
  <c r="U776" i="1"/>
  <c r="T776" i="1"/>
  <c r="U775" i="1"/>
  <c r="T775" i="1"/>
  <c r="U774" i="1"/>
  <c r="T774" i="1"/>
  <c r="U773" i="1"/>
  <c r="T773" i="1"/>
  <c r="U772" i="1"/>
  <c r="T772" i="1"/>
  <c r="U771" i="1"/>
  <c r="T771" i="1"/>
  <c r="U770" i="1"/>
  <c r="T770" i="1"/>
  <c r="U769" i="1"/>
  <c r="T769" i="1"/>
  <c r="U768" i="1"/>
  <c r="T768" i="1"/>
  <c r="U767" i="1"/>
  <c r="T767" i="1"/>
  <c r="U766" i="1"/>
  <c r="T766" i="1"/>
  <c r="U765" i="1"/>
  <c r="T765" i="1"/>
  <c r="U764" i="1"/>
  <c r="T764" i="1"/>
  <c r="U763" i="1"/>
  <c r="T763" i="1"/>
  <c r="U762" i="1"/>
  <c r="T762" i="1"/>
  <c r="U761" i="1"/>
  <c r="T761" i="1"/>
  <c r="U760" i="1"/>
  <c r="T760" i="1"/>
  <c r="U759" i="1"/>
  <c r="T759" i="1"/>
  <c r="U758" i="1"/>
  <c r="T758" i="1"/>
  <c r="U757" i="1"/>
  <c r="T757" i="1"/>
  <c r="U756" i="1"/>
  <c r="T756" i="1"/>
  <c r="U755" i="1"/>
  <c r="T755" i="1"/>
  <c r="U754" i="1"/>
  <c r="T754" i="1"/>
  <c r="U753" i="1"/>
  <c r="T753" i="1"/>
  <c r="U752" i="1"/>
  <c r="T752" i="1"/>
  <c r="U751" i="1"/>
  <c r="T751" i="1"/>
  <c r="U750" i="1"/>
  <c r="T750" i="1"/>
  <c r="U749" i="1"/>
  <c r="T749" i="1"/>
  <c r="U748" i="1"/>
  <c r="T748" i="1"/>
  <c r="U747" i="1"/>
  <c r="T747" i="1"/>
  <c r="U746" i="1"/>
  <c r="T746" i="1"/>
  <c r="U745" i="1"/>
  <c r="T745" i="1"/>
  <c r="U744" i="1"/>
  <c r="T744" i="1"/>
  <c r="U743" i="1"/>
  <c r="T743" i="1"/>
  <c r="U742" i="1"/>
  <c r="T742" i="1"/>
  <c r="U741" i="1"/>
  <c r="T741" i="1"/>
  <c r="U740" i="1"/>
  <c r="T740" i="1"/>
  <c r="U739" i="1"/>
  <c r="T739" i="1"/>
  <c r="U738" i="1"/>
  <c r="T738" i="1"/>
  <c r="U737" i="1"/>
  <c r="T737" i="1"/>
  <c r="U736" i="1"/>
  <c r="T736" i="1"/>
  <c r="U735" i="1"/>
  <c r="T735" i="1"/>
  <c r="U734" i="1"/>
  <c r="T734" i="1"/>
  <c r="U733" i="1"/>
  <c r="T733" i="1"/>
  <c r="U732" i="1"/>
  <c r="T732" i="1"/>
  <c r="U731" i="1"/>
  <c r="T731" i="1"/>
  <c r="U730" i="1"/>
  <c r="T730" i="1"/>
  <c r="U729" i="1"/>
  <c r="T729" i="1"/>
  <c r="U728" i="1"/>
  <c r="T728" i="1"/>
  <c r="U727" i="1"/>
  <c r="T727" i="1"/>
  <c r="U726" i="1"/>
  <c r="T726" i="1"/>
  <c r="U725" i="1"/>
  <c r="T725" i="1"/>
  <c r="U724" i="1"/>
  <c r="T724" i="1"/>
  <c r="U723" i="1"/>
  <c r="T723" i="1"/>
  <c r="U722" i="1"/>
  <c r="T722" i="1"/>
  <c r="U721" i="1"/>
  <c r="T721" i="1"/>
  <c r="U720" i="1"/>
  <c r="T720" i="1"/>
  <c r="U719" i="1"/>
  <c r="T719" i="1"/>
  <c r="U718" i="1"/>
  <c r="T718" i="1"/>
  <c r="U717" i="1"/>
  <c r="T717" i="1"/>
  <c r="U716" i="1"/>
  <c r="T716" i="1"/>
  <c r="U715" i="1"/>
  <c r="T715" i="1"/>
  <c r="U714" i="1"/>
  <c r="T714" i="1"/>
  <c r="U713" i="1"/>
  <c r="T713" i="1"/>
  <c r="U712" i="1"/>
  <c r="T712" i="1"/>
  <c r="U711" i="1"/>
  <c r="T711" i="1"/>
  <c r="U710" i="1"/>
  <c r="T710" i="1"/>
  <c r="U709" i="1"/>
  <c r="T709" i="1"/>
  <c r="U708" i="1"/>
  <c r="T708" i="1"/>
  <c r="U707" i="1"/>
  <c r="T707" i="1"/>
  <c r="U706" i="1"/>
  <c r="T706" i="1"/>
  <c r="U705" i="1"/>
  <c r="T705" i="1"/>
  <c r="U704" i="1"/>
  <c r="T704" i="1"/>
  <c r="U703" i="1"/>
  <c r="T703" i="1"/>
  <c r="U702" i="1"/>
  <c r="T702" i="1"/>
  <c r="U701" i="1"/>
  <c r="T701" i="1"/>
  <c r="U700" i="1"/>
  <c r="T700" i="1"/>
  <c r="U699" i="1"/>
  <c r="T699" i="1"/>
  <c r="U698" i="1"/>
  <c r="T698" i="1"/>
  <c r="U697" i="1"/>
  <c r="T697" i="1"/>
  <c r="U696" i="1"/>
  <c r="T696" i="1"/>
  <c r="U695" i="1"/>
  <c r="T695" i="1"/>
  <c r="U694" i="1"/>
  <c r="T694" i="1"/>
  <c r="U693" i="1"/>
  <c r="T693" i="1"/>
  <c r="U692" i="1"/>
  <c r="T692" i="1"/>
  <c r="U691" i="1"/>
  <c r="T691" i="1"/>
  <c r="U690" i="1"/>
  <c r="T690" i="1"/>
  <c r="U689" i="1"/>
  <c r="T689" i="1"/>
  <c r="U688" i="1"/>
  <c r="T688" i="1"/>
  <c r="U687" i="1"/>
  <c r="T687" i="1"/>
  <c r="U686" i="1"/>
  <c r="T686" i="1"/>
  <c r="U685" i="1"/>
  <c r="T685" i="1"/>
  <c r="U684" i="1"/>
  <c r="T684" i="1"/>
  <c r="U683" i="1"/>
  <c r="T683" i="1"/>
  <c r="U682" i="1"/>
  <c r="T682" i="1"/>
  <c r="U681" i="1"/>
  <c r="T681" i="1"/>
  <c r="U680" i="1"/>
  <c r="T680" i="1"/>
  <c r="U679" i="1"/>
  <c r="T679" i="1"/>
  <c r="U678" i="1"/>
  <c r="T678" i="1"/>
  <c r="U677" i="1"/>
  <c r="T677" i="1"/>
  <c r="U676" i="1"/>
  <c r="T676" i="1"/>
  <c r="U675" i="1"/>
  <c r="T675" i="1"/>
  <c r="U674" i="1"/>
  <c r="T674" i="1"/>
  <c r="U673" i="1"/>
  <c r="T673" i="1"/>
  <c r="U672" i="1"/>
  <c r="T672" i="1"/>
  <c r="U671" i="1"/>
  <c r="T671" i="1"/>
  <c r="U670" i="1"/>
  <c r="T670" i="1"/>
  <c r="U669" i="1"/>
  <c r="T669" i="1"/>
  <c r="U668" i="1"/>
  <c r="T668" i="1"/>
  <c r="U667" i="1"/>
  <c r="T667" i="1"/>
  <c r="U666" i="1"/>
  <c r="T666" i="1"/>
  <c r="U665" i="1"/>
  <c r="T665" i="1"/>
  <c r="U664" i="1"/>
  <c r="T664" i="1"/>
  <c r="U663" i="1"/>
  <c r="T663" i="1"/>
  <c r="U662" i="1"/>
  <c r="T662" i="1"/>
  <c r="U661" i="1"/>
  <c r="T661" i="1"/>
  <c r="U660" i="1"/>
  <c r="T660" i="1"/>
  <c r="U659" i="1"/>
  <c r="T659" i="1"/>
  <c r="U658" i="1"/>
  <c r="T658" i="1"/>
  <c r="U657" i="1"/>
  <c r="T657" i="1"/>
  <c r="U656" i="1"/>
  <c r="T656" i="1"/>
  <c r="U655" i="1"/>
  <c r="T655" i="1"/>
  <c r="U654" i="1"/>
  <c r="T654" i="1"/>
  <c r="U653" i="1"/>
  <c r="T653" i="1"/>
  <c r="U652" i="1"/>
  <c r="T652" i="1"/>
  <c r="U651" i="1"/>
  <c r="T651" i="1"/>
  <c r="U650" i="1"/>
  <c r="T650" i="1"/>
  <c r="U649" i="1"/>
  <c r="T649" i="1"/>
  <c r="U648" i="1"/>
  <c r="T648" i="1"/>
  <c r="U647" i="1"/>
  <c r="T647" i="1"/>
  <c r="U646" i="1"/>
  <c r="T646" i="1"/>
  <c r="U645" i="1"/>
  <c r="T645" i="1"/>
  <c r="U644" i="1"/>
  <c r="T644" i="1"/>
  <c r="U643" i="1"/>
  <c r="T643" i="1"/>
  <c r="U642" i="1"/>
  <c r="T642" i="1"/>
  <c r="U641" i="1"/>
  <c r="T641" i="1"/>
  <c r="U640" i="1"/>
  <c r="T640" i="1"/>
  <c r="U639" i="1"/>
  <c r="T639" i="1"/>
  <c r="U638" i="1"/>
  <c r="T638" i="1"/>
  <c r="U637" i="1"/>
  <c r="T637" i="1"/>
  <c r="U636" i="1"/>
  <c r="T636" i="1"/>
  <c r="U635" i="1"/>
  <c r="T635" i="1"/>
  <c r="U634" i="1"/>
  <c r="T634" i="1"/>
  <c r="U633" i="1"/>
  <c r="T633" i="1"/>
  <c r="U632" i="1"/>
  <c r="T632" i="1"/>
  <c r="U631" i="1"/>
  <c r="T631" i="1"/>
  <c r="U630" i="1"/>
  <c r="T630" i="1"/>
  <c r="U629" i="1"/>
  <c r="T629" i="1"/>
  <c r="U628" i="1"/>
  <c r="T628" i="1"/>
  <c r="U627" i="1"/>
  <c r="T627" i="1"/>
  <c r="U626" i="1"/>
  <c r="T626" i="1"/>
  <c r="U625" i="1"/>
  <c r="T625" i="1"/>
  <c r="U624" i="1"/>
  <c r="T624" i="1"/>
  <c r="U623" i="1"/>
  <c r="T623" i="1"/>
  <c r="U622" i="1"/>
  <c r="T622" i="1"/>
  <c r="U621" i="1"/>
  <c r="T621" i="1"/>
  <c r="U620" i="1"/>
  <c r="T620" i="1"/>
  <c r="U619" i="1"/>
  <c r="T619" i="1"/>
  <c r="U618" i="1"/>
  <c r="T618" i="1"/>
  <c r="U617" i="1"/>
  <c r="T617" i="1"/>
  <c r="U616" i="1"/>
  <c r="T616" i="1"/>
  <c r="U615" i="1"/>
  <c r="T615" i="1"/>
  <c r="U614" i="1"/>
  <c r="T614" i="1"/>
  <c r="U613" i="1"/>
  <c r="T613" i="1"/>
  <c r="U612" i="1"/>
  <c r="T612" i="1"/>
  <c r="U611" i="1"/>
  <c r="T611" i="1"/>
  <c r="U610" i="1"/>
  <c r="T610" i="1"/>
  <c r="U609" i="1"/>
  <c r="T609" i="1"/>
  <c r="U608" i="1"/>
  <c r="T608" i="1"/>
  <c r="U607" i="1"/>
  <c r="T607" i="1"/>
  <c r="U606" i="1"/>
  <c r="T606" i="1"/>
  <c r="U605" i="1"/>
  <c r="T605" i="1"/>
  <c r="U604" i="1"/>
  <c r="T604" i="1"/>
  <c r="U603" i="1"/>
  <c r="T603" i="1"/>
  <c r="U602" i="1"/>
  <c r="T602" i="1"/>
  <c r="U601" i="1"/>
  <c r="T601" i="1"/>
  <c r="U600" i="1"/>
  <c r="T600" i="1"/>
  <c r="U599" i="1"/>
  <c r="T599" i="1"/>
  <c r="U598" i="1"/>
  <c r="T598" i="1"/>
  <c r="U597" i="1"/>
  <c r="T597" i="1"/>
  <c r="U596" i="1"/>
  <c r="T596" i="1"/>
  <c r="U595" i="1"/>
  <c r="T595" i="1"/>
  <c r="U594" i="1"/>
  <c r="T594" i="1"/>
  <c r="U593" i="1"/>
  <c r="T593" i="1"/>
  <c r="U592" i="1"/>
  <c r="T592" i="1"/>
  <c r="U591" i="1"/>
  <c r="T591" i="1"/>
  <c r="U590" i="1"/>
  <c r="T590" i="1"/>
  <c r="U589" i="1"/>
  <c r="T589" i="1"/>
  <c r="U588" i="1"/>
  <c r="T588" i="1"/>
  <c r="U587" i="1"/>
  <c r="T587" i="1"/>
  <c r="U586" i="1"/>
  <c r="T586" i="1"/>
  <c r="U585" i="1"/>
  <c r="T585" i="1"/>
  <c r="U584" i="1"/>
  <c r="T584" i="1"/>
  <c r="U583" i="1"/>
  <c r="T583" i="1"/>
  <c r="U582" i="1"/>
  <c r="T582" i="1"/>
  <c r="U581" i="1"/>
  <c r="T581" i="1"/>
  <c r="U580" i="1"/>
  <c r="T580" i="1"/>
  <c r="U579" i="1"/>
  <c r="T579" i="1"/>
  <c r="U578" i="1"/>
  <c r="T578" i="1"/>
  <c r="U577" i="1"/>
  <c r="T577" i="1"/>
  <c r="U576" i="1"/>
  <c r="T576" i="1"/>
  <c r="U575" i="1"/>
  <c r="T575" i="1"/>
  <c r="U574" i="1"/>
  <c r="T574" i="1"/>
  <c r="U573" i="1"/>
  <c r="T573" i="1"/>
  <c r="U572" i="1"/>
  <c r="T572" i="1"/>
  <c r="U571" i="1"/>
  <c r="T571" i="1"/>
  <c r="U570" i="1"/>
  <c r="T570" i="1"/>
  <c r="U569" i="1"/>
  <c r="T569" i="1"/>
  <c r="U568" i="1"/>
  <c r="T568" i="1"/>
  <c r="U567" i="1"/>
  <c r="T567" i="1"/>
  <c r="U566" i="1"/>
  <c r="T566" i="1"/>
  <c r="U565" i="1"/>
  <c r="T565" i="1"/>
  <c r="U564" i="1"/>
  <c r="T564" i="1"/>
  <c r="U563" i="1"/>
  <c r="T563" i="1"/>
  <c r="U562" i="1"/>
  <c r="T562" i="1"/>
  <c r="U561" i="1"/>
  <c r="T561" i="1"/>
  <c r="U560" i="1"/>
  <c r="T560" i="1"/>
  <c r="U559" i="1"/>
  <c r="T559" i="1"/>
  <c r="U558" i="1"/>
  <c r="T558" i="1"/>
  <c r="U557" i="1"/>
  <c r="T557" i="1"/>
  <c r="U556" i="1"/>
  <c r="T556" i="1"/>
  <c r="U555" i="1"/>
  <c r="T555" i="1"/>
  <c r="U554" i="1"/>
  <c r="T554" i="1"/>
  <c r="U553" i="1"/>
  <c r="T553" i="1"/>
  <c r="U552" i="1"/>
  <c r="T552" i="1"/>
  <c r="U551" i="1"/>
  <c r="T551" i="1"/>
  <c r="U550" i="1"/>
  <c r="T550" i="1"/>
  <c r="U549" i="1"/>
  <c r="T549" i="1"/>
  <c r="U548" i="1"/>
  <c r="T548" i="1"/>
  <c r="U547" i="1"/>
  <c r="T547" i="1"/>
  <c r="U546" i="1"/>
  <c r="T546" i="1"/>
  <c r="U545" i="1"/>
  <c r="T545" i="1"/>
  <c r="U544" i="1"/>
  <c r="T544" i="1"/>
  <c r="U543" i="1"/>
  <c r="T543" i="1"/>
  <c r="U542" i="1"/>
  <c r="T542" i="1"/>
  <c r="U541" i="1"/>
  <c r="T541" i="1"/>
  <c r="U540" i="1"/>
  <c r="T540" i="1"/>
  <c r="U539" i="1"/>
  <c r="T539" i="1"/>
  <c r="U538" i="1"/>
  <c r="T538" i="1"/>
  <c r="U537" i="1"/>
  <c r="T537" i="1"/>
  <c r="U536" i="1"/>
  <c r="T536" i="1"/>
  <c r="U535" i="1"/>
  <c r="T535" i="1"/>
  <c r="U534" i="1"/>
  <c r="T534" i="1"/>
  <c r="U533" i="1"/>
  <c r="T533" i="1"/>
  <c r="U532" i="1"/>
  <c r="T532" i="1"/>
  <c r="U531" i="1"/>
  <c r="T531" i="1"/>
  <c r="U530" i="1"/>
  <c r="T530" i="1"/>
  <c r="U529" i="1"/>
  <c r="T529" i="1"/>
  <c r="U528" i="1"/>
  <c r="T528" i="1"/>
  <c r="U527" i="1"/>
  <c r="T527" i="1"/>
  <c r="U526" i="1"/>
  <c r="T526" i="1"/>
  <c r="U525" i="1"/>
  <c r="T525" i="1"/>
  <c r="U524" i="1"/>
  <c r="T524" i="1"/>
  <c r="U523" i="1"/>
  <c r="T523" i="1"/>
  <c r="U522" i="1"/>
  <c r="T522" i="1"/>
  <c r="U521" i="1"/>
  <c r="T521" i="1"/>
  <c r="U520" i="1"/>
  <c r="T520" i="1"/>
  <c r="U519" i="1"/>
  <c r="T519" i="1"/>
  <c r="U518" i="1"/>
  <c r="T518" i="1"/>
  <c r="U517" i="1"/>
  <c r="T517" i="1"/>
  <c r="U516" i="1"/>
  <c r="T516" i="1"/>
  <c r="U515" i="1"/>
  <c r="T515" i="1"/>
  <c r="U514" i="1"/>
  <c r="T514" i="1"/>
  <c r="U513" i="1"/>
  <c r="T513" i="1"/>
  <c r="U512" i="1"/>
  <c r="T512" i="1"/>
  <c r="U511" i="1"/>
  <c r="T511" i="1"/>
  <c r="U510" i="1"/>
  <c r="T510" i="1"/>
  <c r="U509" i="1"/>
  <c r="T509" i="1"/>
  <c r="U508" i="1"/>
  <c r="T508" i="1"/>
  <c r="U507" i="1"/>
  <c r="T507" i="1"/>
  <c r="U506" i="1"/>
  <c r="T506" i="1"/>
  <c r="U505" i="1"/>
  <c r="T505" i="1"/>
  <c r="U504" i="1"/>
  <c r="T504" i="1"/>
  <c r="U503" i="1"/>
  <c r="T503" i="1"/>
  <c r="U502" i="1"/>
  <c r="T502" i="1"/>
  <c r="U501" i="1"/>
  <c r="T501" i="1"/>
  <c r="U500" i="1"/>
  <c r="T500" i="1"/>
  <c r="U499" i="1"/>
  <c r="T499" i="1"/>
  <c r="U498" i="1"/>
  <c r="T498" i="1"/>
  <c r="U497" i="1"/>
  <c r="T497" i="1"/>
  <c r="U496" i="1"/>
  <c r="T496" i="1"/>
  <c r="U495" i="1"/>
  <c r="T495" i="1"/>
  <c r="U494" i="1"/>
  <c r="T494" i="1"/>
  <c r="U493" i="1"/>
  <c r="T493" i="1"/>
  <c r="U492" i="1"/>
  <c r="T492" i="1"/>
  <c r="U491" i="1"/>
  <c r="T491" i="1"/>
  <c r="U490" i="1"/>
  <c r="T490" i="1"/>
  <c r="U489" i="1"/>
  <c r="T489" i="1"/>
  <c r="U488" i="1"/>
  <c r="T488" i="1"/>
  <c r="U487" i="1"/>
  <c r="T487" i="1"/>
  <c r="U486" i="1"/>
  <c r="T486" i="1"/>
  <c r="U485" i="1"/>
  <c r="T485" i="1"/>
  <c r="U484" i="1"/>
  <c r="T484" i="1"/>
  <c r="U483" i="1"/>
  <c r="T483" i="1"/>
  <c r="U482" i="1"/>
  <c r="T482" i="1"/>
  <c r="U481" i="1"/>
  <c r="T481" i="1"/>
  <c r="U480" i="1"/>
  <c r="T480" i="1"/>
  <c r="U479" i="1"/>
  <c r="T479" i="1"/>
  <c r="U478" i="1"/>
  <c r="T478" i="1"/>
  <c r="U477" i="1"/>
  <c r="T477" i="1"/>
  <c r="U476" i="1"/>
  <c r="T476" i="1"/>
  <c r="U475" i="1"/>
  <c r="T475" i="1"/>
  <c r="U474" i="1"/>
  <c r="T474" i="1"/>
  <c r="U473" i="1"/>
  <c r="T473" i="1"/>
  <c r="U472" i="1"/>
  <c r="T472" i="1"/>
  <c r="U471" i="1"/>
  <c r="T471" i="1"/>
  <c r="U470" i="1"/>
  <c r="T470" i="1"/>
  <c r="U469" i="1"/>
  <c r="T469" i="1"/>
  <c r="U468" i="1"/>
  <c r="T468" i="1"/>
  <c r="U467" i="1"/>
  <c r="T467" i="1"/>
  <c r="U466" i="1"/>
  <c r="T466" i="1"/>
  <c r="U465" i="1"/>
  <c r="T465" i="1"/>
  <c r="U464" i="1"/>
  <c r="T464" i="1"/>
  <c r="U463" i="1"/>
  <c r="T463" i="1"/>
  <c r="U462" i="1"/>
  <c r="T462" i="1"/>
  <c r="U461" i="1"/>
  <c r="T461" i="1"/>
  <c r="U460" i="1"/>
  <c r="T460" i="1"/>
  <c r="U459" i="1"/>
  <c r="T459" i="1"/>
  <c r="U458" i="1"/>
  <c r="T458" i="1"/>
  <c r="U457" i="1"/>
  <c r="T457" i="1"/>
  <c r="U456" i="1"/>
  <c r="T456" i="1"/>
  <c r="U455" i="1"/>
  <c r="T455" i="1"/>
  <c r="U454" i="1"/>
  <c r="T454" i="1"/>
  <c r="U453" i="1"/>
  <c r="T453" i="1"/>
  <c r="U452" i="1"/>
  <c r="T452" i="1"/>
  <c r="U451" i="1"/>
  <c r="T451" i="1"/>
  <c r="U450" i="1"/>
  <c r="T450" i="1"/>
  <c r="U449" i="1"/>
  <c r="T449" i="1"/>
  <c r="U448" i="1"/>
  <c r="T448" i="1"/>
  <c r="U447" i="1"/>
  <c r="T447" i="1"/>
  <c r="U446" i="1"/>
  <c r="T446" i="1"/>
  <c r="U445" i="1"/>
  <c r="T445" i="1"/>
  <c r="U444" i="1"/>
  <c r="T444" i="1"/>
  <c r="U443" i="1"/>
  <c r="T443" i="1"/>
  <c r="U442" i="1"/>
  <c r="T442" i="1"/>
  <c r="U441" i="1"/>
  <c r="T441" i="1"/>
  <c r="U440" i="1"/>
  <c r="T440" i="1"/>
  <c r="U439" i="1"/>
  <c r="T439" i="1"/>
  <c r="U438" i="1"/>
  <c r="T438" i="1"/>
  <c r="U437" i="1"/>
  <c r="T437" i="1"/>
  <c r="U436" i="1"/>
  <c r="T436" i="1"/>
  <c r="U435" i="1"/>
  <c r="T435" i="1"/>
  <c r="U434" i="1"/>
  <c r="T434" i="1"/>
  <c r="U433" i="1"/>
  <c r="T433" i="1"/>
  <c r="U432" i="1"/>
  <c r="T432" i="1"/>
  <c r="U431" i="1"/>
  <c r="T431" i="1"/>
  <c r="U430" i="1"/>
  <c r="T430" i="1"/>
  <c r="U429" i="1"/>
  <c r="T429" i="1"/>
  <c r="U428" i="1"/>
  <c r="T428" i="1"/>
  <c r="U427" i="1"/>
  <c r="T427" i="1"/>
  <c r="U426" i="1"/>
  <c r="T426" i="1"/>
  <c r="U425" i="1"/>
  <c r="T425" i="1"/>
  <c r="U424" i="1"/>
  <c r="T424" i="1"/>
  <c r="U423" i="1"/>
  <c r="T423" i="1"/>
  <c r="U422" i="1"/>
  <c r="T422" i="1"/>
  <c r="U421" i="1"/>
  <c r="T421" i="1"/>
  <c r="U420" i="1"/>
  <c r="T420" i="1"/>
  <c r="U419" i="1"/>
  <c r="T419" i="1"/>
  <c r="U418" i="1"/>
  <c r="T418" i="1"/>
  <c r="U417" i="1"/>
  <c r="T417" i="1"/>
  <c r="U416" i="1"/>
  <c r="T416" i="1"/>
  <c r="U415" i="1"/>
  <c r="T415" i="1"/>
  <c r="U414" i="1"/>
  <c r="T414" i="1"/>
  <c r="U413" i="1"/>
  <c r="T413" i="1"/>
  <c r="U412" i="1"/>
  <c r="T412" i="1"/>
  <c r="U411" i="1"/>
  <c r="T411" i="1"/>
  <c r="U410" i="1"/>
  <c r="T410" i="1"/>
  <c r="U409" i="1"/>
  <c r="T409" i="1"/>
  <c r="U408" i="1"/>
  <c r="T408" i="1"/>
  <c r="U407" i="1"/>
  <c r="T407" i="1"/>
  <c r="U406" i="1"/>
  <c r="T406" i="1"/>
  <c r="U405" i="1"/>
  <c r="T405" i="1"/>
  <c r="U404" i="1"/>
  <c r="T404" i="1"/>
  <c r="U403" i="1"/>
  <c r="T403" i="1"/>
  <c r="U402" i="1"/>
  <c r="T402" i="1"/>
  <c r="U401" i="1"/>
  <c r="T401" i="1"/>
  <c r="U400" i="1"/>
  <c r="T400" i="1"/>
  <c r="U399" i="1"/>
  <c r="T399" i="1"/>
  <c r="U398" i="1"/>
  <c r="T398" i="1"/>
  <c r="U397" i="1"/>
  <c r="T397" i="1"/>
  <c r="U396" i="1"/>
  <c r="T396" i="1"/>
  <c r="U395" i="1"/>
  <c r="T395" i="1"/>
  <c r="U394" i="1"/>
  <c r="T394" i="1"/>
  <c r="U393" i="1"/>
  <c r="T393" i="1"/>
  <c r="U392" i="1"/>
  <c r="T392" i="1"/>
  <c r="U391" i="1"/>
  <c r="T391" i="1"/>
  <c r="U390" i="1"/>
  <c r="T390" i="1"/>
  <c r="U389" i="1"/>
  <c r="T389" i="1"/>
  <c r="U388" i="1"/>
  <c r="T388" i="1"/>
  <c r="U387" i="1"/>
  <c r="T387" i="1"/>
  <c r="U386" i="1"/>
  <c r="T386" i="1"/>
  <c r="U385" i="1"/>
  <c r="T385" i="1"/>
  <c r="U384" i="1"/>
  <c r="T384" i="1"/>
  <c r="U383" i="1"/>
  <c r="T383" i="1"/>
  <c r="U382" i="1"/>
  <c r="T382" i="1"/>
  <c r="U381" i="1"/>
  <c r="T381" i="1"/>
  <c r="U380" i="1"/>
  <c r="T380" i="1"/>
  <c r="U379" i="1"/>
  <c r="T379" i="1"/>
  <c r="U378" i="1"/>
  <c r="T378" i="1"/>
  <c r="U377" i="1"/>
  <c r="T377" i="1"/>
  <c r="U376" i="1"/>
  <c r="T376" i="1"/>
  <c r="U375" i="1"/>
  <c r="T375" i="1"/>
  <c r="U374" i="1"/>
  <c r="T374" i="1"/>
  <c r="U373" i="1"/>
  <c r="T373" i="1"/>
  <c r="U372" i="1"/>
  <c r="T372" i="1"/>
  <c r="U371" i="1"/>
  <c r="T371" i="1"/>
  <c r="U370" i="1"/>
  <c r="T370" i="1"/>
  <c r="U369" i="1"/>
  <c r="T369" i="1"/>
  <c r="U368" i="1"/>
  <c r="T368" i="1"/>
  <c r="U367" i="1"/>
  <c r="T367" i="1"/>
  <c r="U366" i="1"/>
  <c r="T366" i="1"/>
  <c r="U365" i="1"/>
  <c r="T365" i="1"/>
  <c r="U364" i="1"/>
  <c r="T364" i="1"/>
  <c r="U363" i="1"/>
  <c r="T363" i="1"/>
  <c r="U362" i="1"/>
  <c r="T362" i="1"/>
  <c r="U361" i="1"/>
  <c r="T361" i="1"/>
  <c r="U360" i="1"/>
  <c r="T360" i="1"/>
  <c r="U359" i="1"/>
  <c r="T359" i="1"/>
  <c r="U358" i="1"/>
  <c r="T358" i="1"/>
  <c r="U357" i="1"/>
  <c r="T357" i="1"/>
  <c r="U356" i="1"/>
  <c r="T356" i="1"/>
  <c r="U355" i="1"/>
  <c r="T355" i="1"/>
  <c r="U354" i="1"/>
  <c r="T354" i="1"/>
  <c r="U353" i="1"/>
  <c r="T353" i="1"/>
  <c r="U352" i="1"/>
  <c r="T352" i="1"/>
  <c r="U351" i="1"/>
  <c r="T351" i="1"/>
  <c r="U350" i="1"/>
  <c r="T350" i="1"/>
  <c r="U349" i="1"/>
  <c r="T349" i="1"/>
  <c r="U348" i="1"/>
  <c r="T348" i="1"/>
  <c r="U347" i="1"/>
  <c r="T347" i="1"/>
  <c r="U346" i="1"/>
  <c r="T346" i="1"/>
  <c r="U345" i="1"/>
  <c r="T345" i="1"/>
  <c r="U344" i="1"/>
  <c r="T344" i="1"/>
  <c r="U343" i="1"/>
  <c r="T343" i="1"/>
  <c r="U342" i="1"/>
  <c r="T342" i="1"/>
  <c r="U341" i="1"/>
  <c r="T341" i="1"/>
  <c r="U340" i="1"/>
  <c r="T340" i="1"/>
  <c r="U339" i="1"/>
  <c r="T339" i="1"/>
  <c r="U338" i="1"/>
  <c r="T338" i="1"/>
  <c r="U337" i="1"/>
  <c r="T337" i="1"/>
  <c r="U336" i="1"/>
  <c r="T336" i="1"/>
  <c r="U335" i="1"/>
  <c r="T335" i="1"/>
  <c r="U334" i="1"/>
  <c r="T334" i="1"/>
  <c r="U333" i="1"/>
  <c r="T333" i="1"/>
  <c r="U332" i="1"/>
  <c r="T332" i="1"/>
  <c r="U331" i="1"/>
  <c r="T331" i="1"/>
  <c r="U330" i="1"/>
  <c r="T330" i="1"/>
  <c r="U329" i="1"/>
  <c r="T329" i="1"/>
  <c r="U328" i="1"/>
  <c r="T328" i="1"/>
  <c r="U327" i="1"/>
  <c r="T327" i="1"/>
  <c r="U326" i="1"/>
  <c r="T326" i="1"/>
  <c r="U325" i="1"/>
  <c r="T325" i="1"/>
  <c r="U324" i="1"/>
  <c r="T324" i="1"/>
  <c r="U323" i="1"/>
  <c r="T323" i="1"/>
  <c r="U322" i="1"/>
  <c r="T322" i="1"/>
  <c r="U321" i="1"/>
  <c r="T321" i="1"/>
  <c r="U320" i="1"/>
  <c r="T320" i="1"/>
  <c r="U319" i="1"/>
  <c r="T319" i="1"/>
  <c r="U318" i="1"/>
  <c r="T318" i="1"/>
  <c r="U317" i="1"/>
  <c r="T317" i="1"/>
  <c r="U316" i="1"/>
  <c r="T316" i="1"/>
  <c r="U315" i="1"/>
  <c r="T315" i="1"/>
  <c r="U314" i="1"/>
  <c r="T314" i="1"/>
  <c r="U313" i="1"/>
  <c r="T313" i="1"/>
  <c r="U312" i="1"/>
  <c r="T312" i="1"/>
  <c r="U311" i="1"/>
  <c r="T311" i="1"/>
  <c r="U310" i="1"/>
  <c r="T310" i="1"/>
  <c r="U309" i="1"/>
  <c r="T309" i="1"/>
  <c r="U308" i="1"/>
  <c r="T308" i="1"/>
  <c r="U307" i="1"/>
  <c r="T307" i="1"/>
  <c r="U306" i="1"/>
  <c r="T306" i="1"/>
  <c r="U305" i="1"/>
  <c r="T305" i="1"/>
  <c r="U304" i="1"/>
  <c r="T304" i="1"/>
  <c r="U303" i="1"/>
  <c r="T303" i="1"/>
  <c r="U302" i="1"/>
  <c r="T302" i="1"/>
  <c r="U301" i="1"/>
  <c r="T301" i="1"/>
  <c r="U300" i="1"/>
  <c r="T300" i="1"/>
  <c r="U299" i="1"/>
  <c r="T299" i="1"/>
  <c r="U298" i="1"/>
  <c r="T298" i="1"/>
  <c r="U297" i="1"/>
  <c r="T297" i="1"/>
  <c r="U296" i="1"/>
  <c r="T296" i="1"/>
  <c r="U295" i="1"/>
  <c r="T295" i="1"/>
  <c r="U294" i="1"/>
  <c r="T294" i="1"/>
  <c r="U293" i="1"/>
  <c r="T293" i="1"/>
  <c r="U292" i="1"/>
  <c r="T292" i="1"/>
  <c r="U291" i="1"/>
  <c r="T291" i="1"/>
  <c r="U290" i="1"/>
  <c r="T290" i="1"/>
  <c r="U289" i="1"/>
  <c r="T289" i="1"/>
  <c r="U288" i="1"/>
  <c r="T288" i="1"/>
  <c r="U287" i="1"/>
  <c r="T287" i="1"/>
  <c r="U286" i="1"/>
  <c r="T286" i="1"/>
  <c r="U285" i="1"/>
  <c r="T285" i="1"/>
  <c r="U284" i="1"/>
  <c r="T284" i="1"/>
  <c r="U283" i="1"/>
  <c r="T283" i="1"/>
  <c r="U282" i="1"/>
  <c r="T282" i="1"/>
  <c r="U281" i="1"/>
  <c r="T281" i="1"/>
  <c r="U280" i="1"/>
  <c r="T280" i="1"/>
  <c r="U279" i="1"/>
  <c r="T279" i="1"/>
  <c r="U278" i="1"/>
  <c r="T278" i="1"/>
  <c r="U277" i="1"/>
  <c r="T277" i="1"/>
  <c r="U276" i="1"/>
  <c r="T276" i="1"/>
  <c r="U275" i="1"/>
  <c r="T275" i="1"/>
  <c r="U274" i="1"/>
  <c r="T274" i="1"/>
  <c r="U273" i="1"/>
  <c r="T273" i="1"/>
  <c r="U272" i="1"/>
  <c r="T272" i="1"/>
  <c r="U271" i="1"/>
  <c r="T271" i="1"/>
  <c r="U270" i="1"/>
  <c r="T270" i="1"/>
  <c r="U269" i="1"/>
  <c r="T269" i="1"/>
  <c r="U268" i="1"/>
  <c r="T268" i="1"/>
  <c r="U267" i="1"/>
  <c r="T267" i="1"/>
  <c r="U266" i="1"/>
  <c r="T266" i="1"/>
  <c r="U265" i="1"/>
  <c r="T265" i="1"/>
  <c r="U264" i="1"/>
  <c r="T264" i="1"/>
  <c r="U263" i="1"/>
  <c r="T263" i="1"/>
  <c r="U262" i="1"/>
  <c r="T262" i="1"/>
  <c r="U261" i="1"/>
  <c r="T261" i="1"/>
  <c r="U260" i="1"/>
  <c r="T260" i="1"/>
  <c r="U259" i="1"/>
  <c r="T259" i="1"/>
  <c r="E266" i="1"/>
  <c r="F266" i="1" s="1"/>
  <c r="DE6" i="4" l="1"/>
  <c r="DE7" i="4"/>
  <c r="DE8" i="4"/>
  <c r="DE9" i="4"/>
  <c r="DE10" i="4"/>
  <c r="DE11" i="4"/>
  <c r="DE12" i="4"/>
  <c r="DE13" i="4"/>
  <c r="DE14" i="4"/>
  <c r="DE15" i="4"/>
  <c r="DE16" i="4"/>
  <c r="DE17" i="4"/>
  <c r="DE18" i="4"/>
  <c r="DE19" i="4"/>
  <c r="DE20" i="4"/>
  <c r="DE21" i="4"/>
  <c r="DE22" i="4"/>
  <c r="DE23" i="4"/>
  <c r="DE24" i="4"/>
  <c r="DE25" i="4"/>
  <c r="DE26" i="4"/>
  <c r="DE27" i="4"/>
  <c r="DE28" i="4"/>
  <c r="DE29" i="4"/>
  <c r="DE30" i="4"/>
  <c r="DE31" i="4"/>
  <c r="DE32" i="4"/>
  <c r="DE33" i="4"/>
  <c r="DE34" i="4"/>
  <c r="DE35" i="4"/>
  <c r="DE36" i="4"/>
  <c r="DE37" i="4"/>
  <c r="DE38" i="4"/>
  <c r="DE39" i="4"/>
  <c r="DE40" i="4"/>
  <c r="DE41" i="4"/>
  <c r="DE42" i="4"/>
  <c r="DE43" i="4"/>
  <c r="DE44" i="4"/>
  <c r="DE45" i="4"/>
  <c r="DE46" i="4"/>
  <c r="DE47" i="4"/>
  <c r="DE48" i="4"/>
  <c r="DE49" i="4"/>
  <c r="DE50" i="4"/>
  <c r="DE51" i="4"/>
  <c r="DE52" i="4"/>
  <c r="DE53" i="4"/>
  <c r="DE54" i="4"/>
  <c r="DE55" i="4"/>
  <c r="DE56" i="4"/>
  <c r="DE57" i="4"/>
  <c r="DE58" i="4"/>
  <c r="DE59" i="4"/>
  <c r="DE60" i="4"/>
  <c r="DE61" i="4"/>
  <c r="DE62" i="4"/>
  <c r="DE63" i="4"/>
  <c r="DE64" i="4"/>
  <c r="DE65" i="4"/>
  <c r="DE66" i="4"/>
  <c r="DE67" i="4"/>
  <c r="DE68" i="4"/>
  <c r="DE69" i="4"/>
  <c r="DE70" i="4"/>
  <c r="DE71" i="4"/>
  <c r="DE72" i="4"/>
  <c r="DE73" i="4"/>
  <c r="DE74" i="4"/>
  <c r="DE75" i="4"/>
  <c r="DE76" i="4"/>
  <c r="DE77" i="4"/>
  <c r="DE78" i="4"/>
  <c r="DE79" i="4"/>
  <c r="DE80" i="4"/>
  <c r="DE81" i="4"/>
  <c r="DE82" i="4"/>
  <c r="DE83" i="4"/>
  <c r="DE84" i="4"/>
  <c r="DE85" i="4"/>
  <c r="DE86" i="4"/>
  <c r="DE87" i="4"/>
  <c r="DE88" i="4"/>
  <c r="DE89" i="4"/>
  <c r="DE90" i="4"/>
  <c r="DE91" i="4"/>
  <c r="DE92" i="4"/>
  <c r="DE93" i="4"/>
  <c r="DE94" i="4"/>
  <c r="DE95" i="4"/>
  <c r="DE96" i="4"/>
  <c r="DE97" i="4"/>
  <c r="DE98" i="4"/>
  <c r="DE99" i="4"/>
  <c r="DE100" i="4"/>
  <c r="DE101" i="4"/>
  <c r="DE102" i="4"/>
  <c r="DE103" i="4"/>
  <c r="DE104" i="4"/>
  <c r="DE105" i="4"/>
  <c r="DE106" i="4"/>
  <c r="DE107" i="4"/>
  <c r="DE108" i="4"/>
  <c r="DE109" i="4"/>
  <c r="DE110" i="4"/>
  <c r="DE111" i="4"/>
  <c r="DE112" i="4"/>
  <c r="DE113" i="4"/>
  <c r="DE114" i="4"/>
  <c r="DE115" i="4"/>
  <c r="DE116" i="4"/>
  <c r="DE117" i="4"/>
  <c r="DE118" i="4"/>
  <c r="DE119" i="4"/>
  <c r="DE120" i="4"/>
  <c r="DE121" i="4"/>
  <c r="DE122" i="4"/>
  <c r="DE123" i="4"/>
  <c r="DE124" i="4"/>
  <c r="DE125" i="4"/>
  <c r="DE126" i="4"/>
  <c r="DE127" i="4"/>
  <c r="DE128" i="4"/>
  <c r="DE129" i="4"/>
  <c r="DE130" i="4"/>
  <c r="DE131" i="4"/>
  <c r="DE132" i="4"/>
  <c r="DE133" i="4"/>
  <c r="DE134" i="4"/>
  <c r="DE135" i="4"/>
  <c r="DE136" i="4"/>
  <c r="DE137" i="4"/>
  <c r="DE138" i="4"/>
  <c r="DE139" i="4"/>
  <c r="DE140" i="4"/>
  <c r="DE141" i="4"/>
  <c r="DE142" i="4"/>
  <c r="DE143" i="4"/>
  <c r="DE144" i="4"/>
  <c r="DE145" i="4"/>
  <c r="DE146" i="4"/>
  <c r="DE147" i="4"/>
  <c r="DE148" i="4"/>
  <c r="DE149" i="4"/>
  <c r="DE150" i="4"/>
  <c r="DE151" i="4"/>
  <c r="DE152" i="4"/>
  <c r="DE153" i="4"/>
  <c r="DE154" i="4"/>
  <c r="DE155" i="4"/>
  <c r="DE156" i="4"/>
  <c r="DE157" i="4"/>
  <c r="DE158" i="4"/>
  <c r="DE159" i="4"/>
  <c r="DE160" i="4"/>
  <c r="DE161" i="4"/>
  <c r="DE162" i="4"/>
  <c r="DE163" i="4"/>
  <c r="DE164" i="4"/>
  <c r="DE165" i="4"/>
  <c r="DE166" i="4"/>
  <c r="DE167" i="4"/>
  <c r="DE168" i="4"/>
  <c r="DE169" i="4"/>
  <c r="DE170" i="4"/>
  <c r="DE171" i="4"/>
  <c r="DE172" i="4"/>
  <c r="DE173" i="4"/>
  <c r="DE174" i="4"/>
  <c r="DE175" i="4"/>
  <c r="DE176" i="4"/>
  <c r="DE177" i="4"/>
  <c r="DE178" i="4"/>
  <c r="DE179" i="4"/>
  <c r="DE180" i="4"/>
  <c r="DE181" i="4"/>
  <c r="DE182" i="4"/>
  <c r="DE183" i="4"/>
  <c r="DE184" i="4"/>
  <c r="DE185" i="4"/>
  <c r="DE186" i="4"/>
  <c r="DE187" i="4"/>
  <c r="DE188" i="4"/>
  <c r="DE189" i="4"/>
  <c r="DE190" i="4"/>
  <c r="DE191" i="4"/>
  <c r="DE192" i="4"/>
  <c r="DE193" i="4"/>
  <c r="DE194" i="4"/>
  <c r="DE195" i="4"/>
  <c r="DE196" i="4"/>
  <c r="DE197" i="4"/>
  <c r="DE198" i="4"/>
  <c r="DE199" i="4"/>
  <c r="DE200" i="4"/>
  <c r="DE201" i="4"/>
  <c r="DE202" i="4"/>
  <c r="DE203" i="4"/>
  <c r="DE204" i="4"/>
  <c r="DE205" i="4"/>
  <c r="DE206" i="4"/>
  <c r="DE207" i="4"/>
  <c r="DE208" i="4"/>
  <c r="DE209" i="4"/>
  <c r="DE210" i="4"/>
  <c r="DE211" i="4"/>
  <c r="DE212" i="4"/>
  <c r="DE213" i="4"/>
  <c r="DE214" i="4"/>
  <c r="DE215" i="4"/>
  <c r="DE216" i="4"/>
  <c r="DE217" i="4"/>
  <c r="DE218" i="4"/>
  <c r="DE219" i="4"/>
  <c r="DE220" i="4"/>
  <c r="DE221" i="4"/>
  <c r="DE222" i="4"/>
  <c r="DE223" i="4"/>
  <c r="DE224" i="4"/>
  <c r="DE225" i="4"/>
  <c r="DE226" i="4"/>
  <c r="DE227" i="4"/>
  <c r="DE228" i="4"/>
  <c r="DE229" i="4"/>
  <c r="DE230" i="4"/>
  <c r="DE231" i="4"/>
  <c r="DE232" i="4"/>
  <c r="DE233" i="4"/>
  <c r="DE234" i="4"/>
  <c r="DE235" i="4"/>
  <c r="DE236" i="4"/>
  <c r="DE237" i="4"/>
  <c r="DE238" i="4"/>
  <c r="DE239" i="4"/>
  <c r="DE240" i="4"/>
  <c r="DE241" i="4"/>
  <c r="DE242" i="4"/>
  <c r="DE243" i="4"/>
  <c r="DE244" i="4"/>
  <c r="DE5" i="4"/>
  <c r="AR258" i="1" l="1"/>
  <c r="AP258" i="1"/>
  <c r="AO258" i="1"/>
  <c r="AN258" i="1"/>
  <c r="AM258" i="1"/>
  <c r="AL258" i="1"/>
  <c r="AK258" i="1"/>
  <c r="AJ258" i="1"/>
  <c r="AI258" i="1"/>
  <c r="U258" i="1"/>
  <c r="T258" i="1"/>
  <c r="AR257" i="1"/>
  <c r="AP257" i="1"/>
  <c r="AO257" i="1"/>
  <c r="AN257" i="1"/>
  <c r="AM257" i="1"/>
  <c r="AL257" i="1"/>
  <c r="AK257" i="1"/>
  <c r="AJ257" i="1"/>
  <c r="AI257" i="1"/>
  <c r="U257" i="1"/>
  <c r="T257" i="1"/>
  <c r="AR256" i="1"/>
  <c r="AP256" i="1"/>
  <c r="AO256" i="1"/>
  <c r="AN256" i="1"/>
  <c r="AM256" i="1"/>
  <c r="AL256" i="1"/>
  <c r="AK256" i="1"/>
  <c r="AJ256" i="1"/>
  <c r="AI256" i="1"/>
  <c r="U256" i="1"/>
  <c r="T256" i="1"/>
  <c r="AR255" i="1"/>
  <c r="AP255" i="1"/>
  <c r="AO255" i="1"/>
  <c r="AN255" i="1"/>
  <c r="AM255" i="1"/>
  <c r="AL255" i="1"/>
  <c r="AK255" i="1"/>
  <c r="AJ255" i="1"/>
  <c r="AI255" i="1"/>
  <c r="U255" i="1"/>
  <c r="T255" i="1"/>
  <c r="AR254" i="1"/>
  <c r="AP254" i="1"/>
  <c r="AO254" i="1"/>
  <c r="AN254" i="1"/>
  <c r="AM254" i="1"/>
  <c r="AL254" i="1"/>
  <c r="AK254" i="1"/>
  <c r="AJ254" i="1"/>
  <c r="AI254" i="1"/>
  <c r="U254" i="1"/>
  <c r="T254" i="1"/>
  <c r="AR253" i="1"/>
  <c r="AP253" i="1"/>
  <c r="AO253" i="1"/>
  <c r="AN253" i="1"/>
  <c r="AM253" i="1"/>
  <c r="AL253" i="1"/>
  <c r="AK253" i="1"/>
  <c r="AJ253" i="1"/>
  <c r="AI253" i="1"/>
  <c r="U253" i="1"/>
  <c r="T253" i="1"/>
  <c r="AR252" i="1"/>
  <c r="AP252" i="1"/>
  <c r="AO252" i="1"/>
  <c r="AN252" i="1"/>
  <c r="AM252" i="1"/>
  <c r="AL252" i="1"/>
  <c r="AK252" i="1"/>
  <c r="AJ252" i="1"/>
  <c r="AI252" i="1"/>
  <c r="U252" i="1"/>
  <c r="T252" i="1"/>
  <c r="AR251" i="1"/>
  <c r="AP251" i="1"/>
  <c r="AO251" i="1"/>
  <c r="AN251" i="1"/>
  <c r="AM251" i="1"/>
  <c r="AL251" i="1"/>
  <c r="AK251" i="1"/>
  <c r="AJ251" i="1"/>
  <c r="AI251" i="1"/>
  <c r="U251" i="1"/>
  <c r="T251" i="1"/>
  <c r="AR250" i="1"/>
  <c r="AP250" i="1"/>
  <c r="AO250" i="1"/>
  <c r="AN250" i="1"/>
  <c r="AM250" i="1"/>
  <c r="AL250" i="1"/>
  <c r="AK250" i="1"/>
  <c r="AJ250" i="1"/>
  <c r="AI250" i="1"/>
  <c r="U250" i="1"/>
  <c r="T250" i="1"/>
  <c r="AR249" i="1"/>
  <c r="AP249" i="1"/>
  <c r="AO249" i="1"/>
  <c r="AN249" i="1"/>
  <c r="AM249" i="1"/>
  <c r="AL249" i="1"/>
  <c r="AK249" i="1"/>
  <c r="AJ249" i="1"/>
  <c r="AI249" i="1"/>
  <c r="U249" i="1"/>
  <c r="T249" i="1"/>
  <c r="AR248" i="1"/>
  <c r="AP248" i="1"/>
  <c r="AO248" i="1"/>
  <c r="AN248" i="1"/>
  <c r="AM248" i="1"/>
  <c r="AL248" i="1"/>
  <c r="AK248" i="1"/>
  <c r="AJ248" i="1"/>
  <c r="AI248" i="1"/>
  <c r="U248" i="1"/>
  <c r="T248" i="1"/>
  <c r="AR247" i="1"/>
  <c r="AP247" i="1"/>
  <c r="AO247" i="1"/>
  <c r="AN247" i="1"/>
  <c r="AM247" i="1"/>
  <c r="AL247" i="1"/>
  <c r="AK247" i="1"/>
  <c r="AJ247" i="1"/>
  <c r="AI247" i="1"/>
  <c r="U247" i="1"/>
  <c r="T247" i="1"/>
  <c r="AR246" i="1"/>
  <c r="AP246" i="1"/>
  <c r="AO246" i="1"/>
  <c r="AN246" i="1"/>
  <c r="AM246" i="1"/>
  <c r="AL246" i="1"/>
  <c r="AK246" i="1"/>
  <c r="AJ246" i="1"/>
  <c r="AI246" i="1"/>
  <c r="U246" i="1"/>
  <c r="T246" i="1"/>
  <c r="AR245" i="1"/>
  <c r="AP245" i="1"/>
  <c r="AO245" i="1"/>
  <c r="AN245" i="1"/>
  <c r="AM245" i="1"/>
  <c r="AL245" i="1"/>
  <c r="AK245" i="1"/>
  <c r="AJ245" i="1"/>
  <c r="AI245" i="1"/>
  <c r="U245" i="1"/>
  <c r="T245" i="1"/>
  <c r="AR244" i="1"/>
  <c r="AP244" i="1"/>
  <c r="AO244" i="1"/>
  <c r="AN244" i="1"/>
  <c r="AM244" i="1"/>
  <c r="AL244" i="1"/>
  <c r="AK244" i="1"/>
  <c r="AJ244" i="1"/>
  <c r="AI244" i="1"/>
  <c r="U244" i="1"/>
  <c r="T244" i="1"/>
  <c r="AR243" i="1"/>
  <c r="AP243" i="1"/>
  <c r="AO243" i="1"/>
  <c r="AN243" i="1"/>
  <c r="AM243" i="1"/>
  <c r="AL243" i="1"/>
  <c r="AK243" i="1"/>
  <c r="AJ243" i="1"/>
  <c r="AI243" i="1"/>
  <c r="U243" i="1"/>
  <c r="T243" i="1"/>
  <c r="AR242" i="1"/>
  <c r="AP242" i="1"/>
  <c r="AO242" i="1"/>
  <c r="AN242" i="1"/>
  <c r="AM242" i="1"/>
  <c r="AL242" i="1"/>
  <c r="AK242" i="1"/>
  <c r="AJ242" i="1"/>
  <c r="AI242" i="1"/>
  <c r="U242" i="1"/>
  <c r="T242" i="1"/>
  <c r="AR241" i="1"/>
  <c r="AP241" i="1"/>
  <c r="AO241" i="1"/>
  <c r="AN241" i="1"/>
  <c r="AM241" i="1"/>
  <c r="AL241" i="1"/>
  <c r="AK241" i="1"/>
  <c r="AJ241" i="1"/>
  <c r="AI241" i="1"/>
  <c r="U241" i="1"/>
  <c r="T241" i="1"/>
  <c r="AR240" i="1"/>
  <c r="AP240" i="1"/>
  <c r="AO240" i="1"/>
  <c r="AN240" i="1"/>
  <c r="AM240" i="1"/>
  <c r="AL240" i="1"/>
  <c r="AK240" i="1"/>
  <c r="AJ240" i="1"/>
  <c r="AI240" i="1"/>
  <c r="U240" i="1"/>
  <c r="T240" i="1"/>
  <c r="AR239" i="1"/>
  <c r="AP239" i="1"/>
  <c r="AO239" i="1"/>
  <c r="AN239" i="1"/>
  <c r="AM239" i="1"/>
  <c r="AL239" i="1"/>
  <c r="AK239" i="1"/>
  <c r="AJ239" i="1"/>
  <c r="AI239" i="1"/>
  <c r="U239" i="1"/>
  <c r="T239" i="1"/>
  <c r="AR238" i="1"/>
  <c r="AP238" i="1"/>
  <c r="AO238" i="1"/>
  <c r="AN238" i="1"/>
  <c r="AM238" i="1"/>
  <c r="AL238" i="1"/>
  <c r="AK238" i="1"/>
  <c r="AJ238" i="1"/>
  <c r="AI238" i="1"/>
  <c r="U238" i="1"/>
  <c r="T238" i="1"/>
  <c r="AR237" i="1"/>
  <c r="AP237" i="1"/>
  <c r="AO237" i="1"/>
  <c r="AN237" i="1"/>
  <c r="AM237" i="1"/>
  <c r="AL237" i="1"/>
  <c r="AK237" i="1"/>
  <c r="AJ237" i="1"/>
  <c r="AI237" i="1"/>
  <c r="U237" i="1"/>
  <c r="T237" i="1"/>
  <c r="AR236" i="1"/>
  <c r="AP236" i="1"/>
  <c r="AO236" i="1"/>
  <c r="AN236" i="1"/>
  <c r="AM236" i="1"/>
  <c r="AL236" i="1"/>
  <c r="AK236" i="1"/>
  <c r="AJ236" i="1"/>
  <c r="AI236" i="1"/>
  <c r="U236" i="1"/>
  <c r="T236" i="1"/>
  <c r="AR235" i="1"/>
  <c r="AP235" i="1"/>
  <c r="AO235" i="1"/>
  <c r="AN235" i="1"/>
  <c r="AM235" i="1"/>
  <c r="AL235" i="1"/>
  <c r="AK235" i="1"/>
  <c r="AJ235" i="1"/>
  <c r="AI235" i="1"/>
  <c r="U235" i="1"/>
  <c r="T235" i="1"/>
  <c r="AR234" i="1"/>
  <c r="AP234" i="1"/>
  <c r="AO234" i="1"/>
  <c r="AN234" i="1"/>
  <c r="AM234" i="1"/>
  <c r="AL234" i="1"/>
  <c r="AK234" i="1"/>
  <c r="AJ234" i="1"/>
  <c r="AI234" i="1"/>
  <c r="U234" i="1"/>
  <c r="T234" i="1"/>
  <c r="AR233" i="1"/>
  <c r="AP233" i="1"/>
  <c r="AO233" i="1"/>
  <c r="AN233" i="1"/>
  <c r="AM233" i="1"/>
  <c r="AL233" i="1"/>
  <c r="AK233" i="1"/>
  <c r="AJ233" i="1"/>
  <c r="AI233" i="1"/>
  <c r="U233" i="1"/>
  <c r="T233" i="1"/>
  <c r="AR232" i="1"/>
  <c r="AP232" i="1"/>
  <c r="AO232" i="1"/>
  <c r="AN232" i="1"/>
  <c r="AM232" i="1"/>
  <c r="AL232" i="1"/>
  <c r="AK232" i="1"/>
  <c r="AJ232" i="1"/>
  <c r="AI232" i="1"/>
  <c r="U232" i="1"/>
  <c r="T232" i="1"/>
  <c r="AR231" i="1"/>
  <c r="AP231" i="1"/>
  <c r="AO231" i="1"/>
  <c r="AN231" i="1"/>
  <c r="AM231" i="1"/>
  <c r="AL231" i="1"/>
  <c r="AK231" i="1"/>
  <c r="AJ231" i="1"/>
  <c r="AI231" i="1"/>
  <c r="U231" i="1"/>
  <c r="T231" i="1"/>
  <c r="AR230" i="1"/>
  <c r="AP230" i="1"/>
  <c r="AO230" i="1"/>
  <c r="AN230" i="1"/>
  <c r="AM230" i="1"/>
  <c r="AL230" i="1"/>
  <c r="AK230" i="1"/>
  <c r="AJ230" i="1"/>
  <c r="AI230" i="1"/>
  <c r="U230" i="1"/>
  <c r="T230" i="1"/>
  <c r="AR229" i="1"/>
  <c r="AP229" i="1"/>
  <c r="AO229" i="1"/>
  <c r="AN229" i="1"/>
  <c r="AM229" i="1"/>
  <c r="AL229" i="1"/>
  <c r="AK229" i="1"/>
  <c r="AJ229" i="1"/>
  <c r="AI229" i="1"/>
  <c r="U229" i="1"/>
  <c r="T229" i="1"/>
  <c r="AR228" i="1"/>
  <c r="AP228" i="1"/>
  <c r="AO228" i="1"/>
  <c r="AN228" i="1"/>
  <c r="AM228" i="1"/>
  <c r="AL228" i="1"/>
  <c r="AK228" i="1"/>
  <c r="AJ228" i="1"/>
  <c r="AI228" i="1"/>
  <c r="U228" i="1"/>
  <c r="T228" i="1"/>
  <c r="AR227" i="1"/>
  <c r="AP227" i="1"/>
  <c r="AO227" i="1"/>
  <c r="AN227" i="1"/>
  <c r="AM227" i="1"/>
  <c r="AL227" i="1"/>
  <c r="AK227" i="1"/>
  <c r="AJ227" i="1"/>
  <c r="AI227" i="1"/>
  <c r="U227" i="1"/>
  <c r="T227" i="1"/>
  <c r="AR226" i="1"/>
  <c r="AP226" i="1"/>
  <c r="AO226" i="1"/>
  <c r="AN226" i="1"/>
  <c r="AM226" i="1"/>
  <c r="AL226" i="1"/>
  <c r="AK226" i="1"/>
  <c r="AJ226" i="1"/>
  <c r="AI226" i="1"/>
  <c r="U226" i="1"/>
  <c r="T226" i="1"/>
  <c r="AR225" i="1"/>
  <c r="AP225" i="1"/>
  <c r="AO225" i="1"/>
  <c r="AN225" i="1"/>
  <c r="AM225" i="1"/>
  <c r="AL225" i="1"/>
  <c r="AK225" i="1"/>
  <c r="AJ225" i="1"/>
  <c r="AI225" i="1"/>
  <c r="U225" i="1"/>
  <c r="T225" i="1"/>
  <c r="AR224" i="1"/>
  <c r="AP224" i="1"/>
  <c r="AO224" i="1"/>
  <c r="AN224" i="1"/>
  <c r="AM224" i="1"/>
  <c r="AL224" i="1"/>
  <c r="AK224" i="1"/>
  <c r="AJ224" i="1"/>
  <c r="AI224" i="1"/>
  <c r="U224" i="1"/>
  <c r="T224" i="1"/>
  <c r="AR223" i="1"/>
  <c r="AP223" i="1"/>
  <c r="AO223" i="1"/>
  <c r="AN223" i="1"/>
  <c r="AM223" i="1"/>
  <c r="AL223" i="1"/>
  <c r="AK223" i="1"/>
  <c r="AJ223" i="1"/>
  <c r="AI223" i="1"/>
  <c r="U223" i="1"/>
  <c r="T223" i="1"/>
  <c r="AR222" i="1"/>
  <c r="AP222" i="1"/>
  <c r="AO222" i="1"/>
  <c r="AN222" i="1"/>
  <c r="AM222" i="1"/>
  <c r="AL222" i="1"/>
  <c r="AK222" i="1"/>
  <c r="AJ222" i="1"/>
  <c r="AI222" i="1"/>
  <c r="U222" i="1"/>
  <c r="T222" i="1"/>
  <c r="AR221" i="1"/>
  <c r="AP221" i="1"/>
  <c r="AO221" i="1"/>
  <c r="AN221" i="1"/>
  <c r="AM221" i="1"/>
  <c r="AL221" i="1"/>
  <c r="AK221" i="1"/>
  <c r="AJ221" i="1"/>
  <c r="AI221" i="1"/>
  <c r="U221" i="1"/>
  <c r="T221" i="1"/>
  <c r="AR220" i="1"/>
  <c r="AP220" i="1"/>
  <c r="AO220" i="1"/>
  <c r="AN220" i="1"/>
  <c r="AM220" i="1"/>
  <c r="AL220" i="1"/>
  <c r="AK220" i="1"/>
  <c r="AJ220" i="1"/>
  <c r="AI220" i="1"/>
  <c r="U220" i="1"/>
  <c r="T220" i="1"/>
  <c r="AR219" i="1"/>
  <c r="AP219" i="1"/>
  <c r="AO219" i="1"/>
  <c r="AN219" i="1"/>
  <c r="AM219" i="1"/>
  <c r="AL219" i="1"/>
  <c r="AK219" i="1"/>
  <c r="AJ219" i="1"/>
  <c r="AI219" i="1"/>
  <c r="U219" i="1"/>
  <c r="T219" i="1"/>
  <c r="AR218" i="1"/>
  <c r="AP218" i="1"/>
  <c r="AO218" i="1"/>
  <c r="AN218" i="1"/>
  <c r="AM218" i="1"/>
  <c r="AL218" i="1"/>
  <c r="AK218" i="1"/>
  <c r="AJ218" i="1"/>
  <c r="AI218" i="1"/>
  <c r="U218" i="1"/>
  <c r="T218" i="1"/>
  <c r="AR217" i="1"/>
  <c r="AP217" i="1"/>
  <c r="AO217" i="1"/>
  <c r="AN217" i="1"/>
  <c r="AM217" i="1"/>
  <c r="AL217" i="1"/>
  <c r="AK217" i="1"/>
  <c r="AJ217" i="1"/>
  <c r="AI217" i="1"/>
  <c r="U217" i="1"/>
  <c r="T217" i="1"/>
  <c r="AR216" i="1"/>
  <c r="AP216" i="1"/>
  <c r="AO216" i="1"/>
  <c r="AN216" i="1"/>
  <c r="AM216" i="1"/>
  <c r="AL216" i="1"/>
  <c r="AK216" i="1"/>
  <c r="AJ216" i="1"/>
  <c r="AI216" i="1"/>
  <c r="U216" i="1"/>
  <c r="T216" i="1"/>
  <c r="AR215" i="1"/>
  <c r="AP215" i="1"/>
  <c r="AO215" i="1"/>
  <c r="AN215" i="1"/>
  <c r="AM215" i="1"/>
  <c r="AL215" i="1"/>
  <c r="AK215" i="1"/>
  <c r="AJ215" i="1"/>
  <c r="AI215" i="1"/>
  <c r="U215" i="1"/>
  <c r="T215" i="1"/>
  <c r="AR214" i="1"/>
  <c r="AP214" i="1"/>
  <c r="AO214" i="1"/>
  <c r="AN214" i="1"/>
  <c r="AM214" i="1"/>
  <c r="AL214" i="1"/>
  <c r="AK214" i="1"/>
  <c r="AJ214" i="1"/>
  <c r="AI214" i="1"/>
  <c r="U214" i="1"/>
  <c r="T214" i="1"/>
  <c r="AR213" i="1"/>
  <c r="AP213" i="1"/>
  <c r="AO213" i="1"/>
  <c r="AN213" i="1"/>
  <c r="AM213" i="1"/>
  <c r="AL213" i="1"/>
  <c r="AK213" i="1"/>
  <c r="AJ213" i="1"/>
  <c r="AI213" i="1"/>
  <c r="U213" i="1"/>
  <c r="T213" i="1"/>
  <c r="AR212" i="1"/>
  <c r="AP212" i="1"/>
  <c r="AO212" i="1"/>
  <c r="AN212" i="1"/>
  <c r="AM212" i="1"/>
  <c r="AL212" i="1"/>
  <c r="AK212" i="1"/>
  <c r="AJ212" i="1"/>
  <c r="AI212" i="1"/>
  <c r="U212" i="1"/>
  <c r="T212" i="1"/>
  <c r="AR211" i="1"/>
  <c r="AP211" i="1"/>
  <c r="AO211" i="1"/>
  <c r="AN211" i="1"/>
  <c r="AM211" i="1"/>
  <c r="AL211" i="1"/>
  <c r="AK211" i="1"/>
  <c r="AJ211" i="1"/>
  <c r="AI211" i="1"/>
  <c r="U211" i="1"/>
  <c r="T211" i="1"/>
  <c r="AR210" i="1"/>
  <c r="AP210" i="1"/>
  <c r="AO210" i="1"/>
  <c r="AN210" i="1"/>
  <c r="AM210" i="1"/>
  <c r="AL210" i="1"/>
  <c r="AK210" i="1"/>
  <c r="AJ210" i="1"/>
  <c r="AI210" i="1"/>
  <c r="U210" i="1"/>
  <c r="T210" i="1"/>
  <c r="AR209" i="1"/>
  <c r="AP209" i="1"/>
  <c r="AO209" i="1"/>
  <c r="AN209" i="1"/>
  <c r="AM209" i="1"/>
  <c r="AL209" i="1"/>
  <c r="AK209" i="1"/>
  <c r="AJ209" i="1"/>
  <c r="AI209" i="1"/>
  <c r="U209" i="1"/>
  <c r="T209" i="1"/>
  <c r="AR208" i="1"/>
  <c r="AP208" i="1"/>
  <c r="AO208" i="1"/>
  <c r="AN208" i="1"/>
  <c r="AM208" i="1"/>
  <c r="AL208" i="1"/>
  <c r="AK208" i="1"/>
  <c r="AJ208" i="1"/>
  <c r="AI208" i="1"/>
  <c r="U208" i="1"/>
  <c r="T208" i="1"/>
  <c r="AR207" i="1"/>
  <c r="AP207" i="1"/>
  <c r="AO207" i="1"/>
  <c r="AN207" i="1"/>
  <c r="AM207" i="1"/>
  <c r="AL207" i="1"/>
  <c r="AK207" i="1"/>
  <c r="AJ207" i="1"/>
  <c r="AI207" i="1"/>
  <c r="U207" i="1"/>
  <c r="T207" i="1"/>
  <c r="AR206" i="1"/>
  <c r="AP206" i="1"/>
  <c r="AO206" i="1"/>
  <c r="AN206" i="1"/>
  <c r="AM206" i="1"/>
  <c r="AL206" i="1"/>
  <c r="AK206" i="1"/>
  <c r="AJ206" i="1"/>
  <c r="AI206" i="1"/>
  <c r="U206" i="1"/>
  <c r="T206" i="1"/>
  <c r="AR205" i="1"/>
  <c r="AP205" i="1"/>
  <c r="AO205" i="1"/>
  <c r="AN205" i="1"/>
  <c r="AM205" i="1"/>
  <c r="AL205" i="1"/>
  <c r="AK205" i="1"/>
  <c r="AJ205" i="1"/>
  <c r="AI205" i="1"/>
  <c r="U205" i="1"/>
  <c r="T205" i="1"/>
  <c r="AR204" i="1"/>
  <c r="AP204" i="1"/>
  <c r="AO204" i="1"/>
  <c r="AN204" i="1"/>
  <c r="AM204" i="1"/>
  <c r="AL204" i="1"/>
  <c r="AK204" i="1"/>
  <c r="AJ204" i="1"/>
  <c r="AI204" i="1"/>
  <c r="U204" i="1"/>
  <c r="T204" i="1"/>
  <c r="AR203" i="1"/>
  <c r="AP203" i="1"/>
  <c r="AO203" i="1"/>
  <c r="AN203" i="1"/>
  <c r="AM203" i="1"/>
  <c r="AL203" i="1"/>
  <c r="AK203" i="1"/>
  <c r="AJ203" i="1"/>
  <c r="AI203" i="1"/>
  <c r="U203" i="1"/>
  <c r="T203" i="1"/>
  <c r="AR202" i="1"/>
  <c r="AP202" i="1"/>
  <c r="AO202" i="1"/>
  <c r="AN202" i="1"/>
  <c r="AM202" i="1"/>
  <c r="AL202" i="1"/>
  <c r="AK202" i="1"/>
  <c r="AJ202" i="1"/>
  <c r="AI202" i="1"/>
  <c r="U202" i="1"/>
  <c r="T202" i="1"/>
  <c r="AR201" i="1"/>
  <c r="AP201" i="1"/>
  <c r="AO201" i="1"/>
  <c r="AN201" i="1"/>
  <c r="AM201" i="1"/>
  <c r="AL201" i="1"/>
  <c r="AK201" i="1"/>
  <c r="AJ201" i="1"/>
  <c r="AI201" i="1"/>
  <c r="U201" i="1"/>
  <c r="T201" i="1"/>
  <c r="AR200" i="1"/>
  <c r="AP200" i="1"/>
  <c r="AO200" i="1"/>
  <c r="AN200" i="1"/>
  <c r="AM200" i="1"/>
  <c r="AL200" i="1"/>
  <c r="AK200" i="1"/>
  <c r="AJ200" i="1"/>
  <c r="AI200" i="1"/>
  <c r="U200" i="1"/>
  <c r="T200" i="1"/>
  <c r="AR199" i="1"/>
  <c r="AP199" i="1"/>
  <c r="AO199" i="1"/>
  <c r="AN199" i="1"/>
  <c r="AM199" i="1"/>
  <c r="AL199" i="1"/>
  <c r="AK199" i="1"/>
  <c r="AJ199" i="1"/>
  <c r="AI199" i="1"/>
  <c r="U199" i="1"/>
  <c r="T199" i="1"/>
  <c r="AR198" i="1"/>
  <c r="AP198" i="1"/>
  <c r="AO198" i="1"/>
  <c r="AN198" i="1"/>
  <c r="AM198" i="1"/>
  <c r="AL198" i="1"/>
  <c r="AK198" i="1"/>
  <c r="AJ198" i="1"/>
  <c r="AI198" i="1"/>
  <c r="U198" i="1"/>
  <c r="T198" i="1"/>
  <c r="AR197" i="1"/>
  <c r="AP197" i="1"/>
  <c r="AO197" i="1"/>
  <c r="AN197" i="1"/>
  <c r="AM197" i="1"/>
  <c r="AL197" i="1"/>
  <c r="AK197" i="1"/>
  <c r="AJ197" i="1"/>
  <c r="AI197" i="1"/>
  <c r="U197" i="1"/>
  <c r="T197" i="1"/>
  <c r="AR196" i="1"/>
  <c r="AP196" i="1"/>
  <c r="AO196" i="1"/>
  <c r="AN196" i="1"/>
  <c r="AM196" i="1"/>
  <c r="AL196" i="1"/>
  <c r="AK196" i="1"/>
  <c r="AJ196" i="1"/>
  <c r="AI196" i="1"/>
  <c r="U196" i="1"/>
  <c r="T196" i="1"/>
  <c r="AR195" i="1"/>
  <c r="AP195" i="1"/>
  <c r="AO195" i="1"/>
  <c r="AN195" i="1"/>
  <c r="AM195" i="1"/>
  <c r="AL195" i="1"/>
  <c r="AK195" i="1"/>
  <c r="AJ195" i="1"/>
  <c r="AI195" i="1"/>
  <c r="U195" i="1"/>
  <c r="T195" i="1"/>
  <c r="AR194" i="1"/>
  <c r="AP194" i="1"/>
  <c r="AO194" i="1"/>
  <c r="AN194" i="1"/>
  <c r="AM194" i="1"/>
  <c r="AL194" i="1"/>
  <c r="AK194" i="1"/>
  <c r="AJ194" i="1"/>
  <c r="AI194" i="1"/>
  <c r="U194" i="1"/>
  <c r="T194" i="1"/>
  <c r="AR193" i="1"/>
  <c r="AP193" i="1"/>
  <c r="AO193" i="1"/>
  <c r="AN193" i="1"/>
  <c r="AM193" i="1"/>
  <c r="AL193" i="1"/>
  <c r="AK193" i="1"/>
  <c r="AJ193" i="1"/>
  <c r="AI193" i="1"/>
  <c r="U193" i="1"/>
  <c r="T193" i="1"/>
  <c r="AR192" i="1"/>
  <c r="AP192" i="1"/>
  <c r="AO192" i="1"/>
  <c r="AN192" i="1"/>
  <c r="AM192" i="1"/>
  <c r="AL192" i="1"/>
  <c r="AK192" i="1"/>
  <c r="AJ192" i="1"/>
  <c r="AI192" i="1"/>
  <c r="U192" i="1"/>
  <c r="T192" i="1"/>
  <c r="AR191" i="1"/>
  <c r="AP191" i="1"/>
  <c r="AO191" i="1"/>
  <c r="AN191" i="1"/>
  <c r="AM191" i="1"/>
  <c r="AL191" i="1"/>
  <c r="AK191" i="1"/>
  <c r="AJ191" i="1"/>
  <c r="AI191" i="1"/>
  <c r="U191" i="1"/>
  <c r="T191" i="1"/>
  <c r="AR190" i="1"/>
  <c r="AP190" i="1"/>
  <c r="AO190" i="1"/>
  <c r="AN190" i="1"/>
  <c r="AM190" i="1"/>
  <c r="AL190" i="1"/>
  <c r="AK190" i="1"/>
  <c r="AJ190" i="1"/>
  <c r="AI190" i="1"/>
  <c r="U190" i="1"/>
  <c r="T190" i="1"/>
  <c r="AR189" i="1"/>
  <c r="AP189" i="1"/>
  <c r="AO189" i="1"/>
  <c r="AN189" i="1"/>
  <c r="AM189" i="1"/>
  <c r="AL189" i="1"/>
  <c r="AK189" i="1"/>
  <c r="AJ189" i="1"/>
  <c r="AI189" i="1"/>
  <c r="U189" i="1"/>
  <c r="T189" i="1"/>
  <c r="AR188" i="1"/>
  <c r="AP188" i="1"/>
  <c r="AO188" i="1"/>
  <c r="AN188" i="1"/>
  <c r="AM188" i="1"/>
  <c r="AL188" i="1"/>
  <c r="AK188" i="1"/>
  <c r="AJ188" i="1"/>
  <c r="AI188" i="1"/>
  <c r="U188" i="1"/>
  <c r="T188" i="1"/>
  <c r="AR187" i="1"/>
  <c r="AP187" i="1"/>
  <c r="AO187" i="1"/>
  <c r="AN187" i="1"/>
  <c r="AM187" i="1"/>
  <c r="AL187" i="1"/>
  <c r="AK187" i="1"/>
  <c r="AJ187" i="1"/>
  <c r="AI187" i="1"/>
  <c r="U187" i="1"/>
  <c r="T187" i="1"/>
  <c r="AR186" i="1"/>
  <c r="AP186" i="1"/>
  <c r="AO186" i="1"/>
  <c r="AN186" i="1"/>
  <c r="AM186" i="1"/>
  <c r="AL186" i="1"/>
  <c r="AK186" i="1"/>
  <c r="AJ186" i="1"/>
  <c r="AI186" i="1"/>
  <c r="U186" i="1"/>
  <c r="T186" i="1"/>
  <c r="AR185" i="1"/>
  <c r="AP185" i="1"/>
  <c r="AO185" i="1"/>
  <c r="AN185" i="1"/>
  <c r="AM185" i="1"/>
  <c r="AL185" i="1"/>
  <c r="AK185" i="1"/>
  <c r="AJ185" i="1"/>
  <c r="AI185" i="1"/>
  <c r="U185" i="1"/>
  <c r="T185" i="1"/>
  <c r="AR184" i="1"/>
  <c r="AP184" i="1"/>
  <c r="AO184" i="1"/>
  <c r="AN184" i="1"/>
  <c r="AM184" i="1"/>
  <c r="AL184" i="1"/>
  <c r="AK184" i="1"/>
  <c r="AJ184" i="1"/>
  <c r="AI184" i="1"/>
  <c r="U184" i="1"/>
  <c r="T184" i="1"/>
  <c r="AR183" i="1"/>
  <c r="AP183" i="1"/>
  <c r="AO183" i="1"/>
  <c r="AN183" i="1"/>
  <c r="AM183" i="1"/>
  <c r="AL183" i="1"/>
  <c r="AK183" i="1"/>
  <c r="AJ183" i="1"/>
  <c r="AI183" i="1"/>
  <c r="U183" i="1"/>
  <c r="T183" i="1"/>
  <c r="AR182" i="1"/>
  <c r="AP182" i="1"/>
  <c r="AO182" i="1"/>
  <c r="AN182" i="1"/>
  <c r="AM182" i="1"/>
  <c r="AL182" i="1"/>
  <c r="AK182" i="1"/>
  <c r="AJ182" i="1"/>
  <c r="AI182" i="1"/>
  <c r="U182" i="1"/>
  <c r="T182" i="1"/>
  <c r="AR181" i="1"/>
  <c r="AP181" i="1"/>
  <c r="AO181" i="1"/>
  <c r="AN181" i="1"/>
  <c r="AM181" i="1"/>
  <c r="AL181" i="1"/>
  <c r="AK181" i="1"/>
  <c r="AJ181" i="1"/>
  <c r="AI181" i="1"/>
  <c r="U181" i="1"/>
  <c r="T181" i="1"/>
  <c r="AR180" i="1"/>
  <c r="AP180" i="1"/>
  <c r="AO180" i="1"/>
  <c r="AN180" i="1"/>
  <c r="AM180" i="1"/>
  <c r="AL180" i="1"/>
  <c r="AK180" i="1"/>
  <c r="AJ180" i="1"/>
  <c r="AI180" i="1"/>
  <c r="U180" i="1"/>
  <c r="T180" i="1"/>
  <c r="AR179" i="1"/>
  <c r="AP179" i="1"/>
  <c r="AO179" i="1"/>
  <c r="AN179" i="1"/>
  <c r="AM179" i="1"/>
  <c r="AL179" i="1"/>
  <c r="AK179" i="1"/>
  <c r="AJ179" i="1"/>
  <c r="AI179" i="1"/>
  <c r="U179" i="1"/>
  <c r="T179" i="1"/>
  <c r="AR178" i="1"/>
  <c r="AP178" i="1"/>
  <c r="AO178" i="1"/>
  <c r="AN178" i="1"/>
  <c r="AM178" i="1"/>
  <c r="AL178" i="1"/>
  <c r="AK178" i="1"/>
  <c r="AJ178" i="1"/>
  <c r="AI178" i="1"/>
  <c r="U178" i="1"/>
  <c r="T178" i="1"/>
  <c r="AR177" i="1"/>
  <c r="AP177" i="1"/>
  <c r="AO177" i="1"/>
  <c r="AN177" i="1"/>
  <c r="AM177" i="1"/>
  <c r="AL177" i="1"/>
  <c r="AK177" i="1"/>
  <c r="AJ177" i="1"/>
  <c r="AI177" i="1"/>
  <c r="U177" i="1"/>
  <c r="T177" i="1"/>
  <c r="AR176" i="1"/>
  <c r="AP176" i="1"/>
  <c r="AO176" i="1"/>
  <c r="AN176" i="1"/>
  <c r="AM176" i="1"/>
  <c r="AL176" i="1"/>
  <c r="AK176" i="1"/>
  <c r="AJ176" i="1"/>
  <c r="AI176" i="1"/>
  <c r="U176" i="1"/>
  <c r="T176" i="1"/>
  <c r="AR175" i="1"/>
  <c r="AP175" i="1"/>
  <c r="AO175" i="1"/>
  <c r="AN175" i="1"/>
  <c r="AM175" i="1"/>
  <c r="AL175" i="1"/>
  <c r="AK175" i="1"/>
  <c r="AJ175" i="1"/>
  <c r="AI175" i="1"/>
  <c r="U175" i="1"/>
  <c r="T175" i="1"/>
  <c r="AR174" i="1"/>
  <c r="AP174" i="1"/>
  <c r="AO174" i="1"/>
  <c r="AN174" i="1"/>
  <c r="AM174" i="1"/>
  <c r="AL174" i="1"/>
  <c r="AK174" i="1"/>
  <c r="AJ174" i="1"/>
  <c r="AI174" i="1"/>
  <c r="U174" i="1"/>
  <c r="T174" i="1"/>
  <c r="AR173" i="1"/>
  <c r="AP173" i="1"/>
  <c r="AO173" i="1"/>
  <c r="AN173" i="1"/>
  <c r="AM173" i="1"/>
  <c r="AL173" i="1"/>
  <c r="AK173" i="1"/>
  <c r="AJ173" i="1"/>
  <c r="AI173" i="1"/>
  <c r="U173" i="1"/>
  <c r="T173" i="1"/>
  <c r="AR172" i="1"/>
  <c r="AP172" i="1"/>
  <c r="AO172" i="1"/>
  <c r="AN172" i="1"/>
  <c r="AM172" i="1"/>
  <c r="AL172" i="1"/>
  <c r="AK172" i="1"/>
  <c r="AJ172" i="1"/>
  <c r="AI172" i="1"/>
  <c r="U172" i="1"/>
  <c r="T172" i="1"/>
  <c r="AR171" i="1"/>
  <c r="AP171" i="1"/>
  <c r="AO171" i="1"/>
  <c r="AN171" i="1"/>
  <c r="AM171" i="1"/>
  <c r="AL171" i="1"/>
  <c r="AK171" i="1"/>
  <c r="AJ171" i="1"/>
  <c r="AI171" i="1"/>
  <c r="U171" i="1"/>
  <c r="T171" i="1"/>
  <c r="AR170" i="1"/>
  <c r="AP170" i="1"/>
  <c r="AO170" i="1"/>
  <c r="AN170" i="1"/>
  <c r="AM170" i="1"/>
  <c r="AL170" i="1"/>
  <c r="AK170" i="1"/>
  <c r="AJ170" i="1"/>
  <c r="AI170" i="1"/>
  <c r="U170" i="1"/>
  <c r="T170" i="1"/>
  <c r="AR169" i="1"/>
  <c r="AP169" i="1"/>
  <c r="AO169" i="1"/>
  <c r="AN169" i="1"/>
  <c r="AM169" i="1"/>
  <c r="AL169" i="1"/>
  <c r="AK169" i="1"/>
  <c r="AJ169" i="1"/>
  <c r="AI169" i="1"/>
  <c r="U169" i="1"/>
  <c r="T169" i="1"/>
  <c r="AR168" i="1"/>
  <c r="AP168" i="1"/>
  <c r="AO168" i="1"/>
  <c r="AN168" i="1"/>
  <c r="AM168" i="1"/>
  <c r="AL168" i="1"/>
  <c r="AK168" i="1"/>
  <c r="AJ168" i="1"/>
  <c r="AI168" i="1"/>
  <c r="U168" i="1"/>
  <c r="T168" i="1"/>
  <c r="AR167" i="1"/>
  <c r="AP167" i="1"/>
  <c r="AO167" i="1"/>
  <c r="AN167" i="1"/>
  <c r="AM167" i="1"/>
  <c r="AL167" i="1"/>
  <c r="AK167" i="1"/>
  <c r="AJ167" i="1"/>
  <c r="AI167" i="1"/>
  <c r="U167" i="1"/>
  <c r="T167" i="1"/>
  <c r="AR166" i="1"/>
  <c r="AP166" i="1"/>
  <c r="AO166" i="1"/>
  <c r="AN166" i="1"/>
  <c r="AM166" i="1"/>
  <c r="AL166" i="1"/>
  <c r="AK166" i="1"/>
  <c r="AJ166" i="1"/>
  <c r="AI166" i="1"/>
  <c r="U166" i="1"/>
  <c r="T166" i="1"/>
  <c r="AR165" i="1"/>
  <c r="AP165" i="1"/>
  <c r="AO165" i="1"/>
  <c r="AN165" i="1"/>
  <c r="AM165" i="1"/>
  <c r="AL165" i="1"/>
  <c r="AK165" i="1"/>
  <c r="AJ165" i="1"/>
  <c r="AI165" i="1"/>
  <c r="U165" i="1"/>
  <c r="T165" i="1"/>
  <c r="AR164" i="1"/>
  <c r="AP164" i="1"/>
  <c r="AO164" i="1"/>
  <c r="AN164" i="1"/>
  <c r="AM164" i="1"/>
  <c r="AL164" i="1"/>
  <c r="AK164" i="1"/>
  <c r="AJ164" i="1"/>
  <c r="AI164" i="1"/>
  <c r="U164" i="1"/>
  <c r="T164" i="1"/>
  <c r="AR163" i="1"/>
  <c r="AP163" i="1"/>
  <c r="AO163" i="1"/>
  <c r="AN163" i="1"/>
  <c r="AM163" i="1"/>
  <c r="AL163" i="1"/>
  <c r="AK163" i="1"/>
  <c r="AJ163" i="1"/>
  <c r="AI163" i="1"/>
  <c r="U163" i="1"/>
  <c r="T163" i="1"/>
  <c r="AR162" i="1"/>
  <c r="AP162" i="1"/>
  <c r="AO162" i="1"/>
  <c r="AN162" i="1"/>
  <c r="AM162" i="1"/>
  <c r="AL162" i="1"/>
  <c r="AK162" i="1"/>
  <c r="AJ162" i="1"/>
  <c r="AI162" i="1"/>
  <c r="U162" i="1"/>
  <c r="T162" i="1"/>
  <c r="AR161" i="1"/>
  <c r="AP161" i="1"/>
  <c r="AO161" i="1"/>
  <c r="AN161" i="1"/>
  <c r="AM161" i="1"/>
  <c r="AL161" i="1"/>
  <c r="AK161" i="1"/>
  <c r="AJ161" i="1"/>
  <c r="AI161" i="1"/>
  <c r="U161" i="1"/>
  <c r="T161" i="1"/>
  <c r="AR160" i="1"/>
  <c r="AP160" i="1"/>
  <c r="AO160" i="1"/>
  <c r="AN160" i="1"/>
  <c r="AM160" i="1"/>
  <c r="AL160" i="1"/>
  <c r="AK160" i="1"/>
  <c r="AJ160" i="1"/>
  <c r="AI160" i="1"/>
  <c r="U160" i="1"/>
  <c r="T160" i="1"/>
  <c r="AR159" i="1"/>
  <c r="AP159" i="1"/>
  <c r="AO159" i="1"/>
  <c r="AN159" i="1"/>
  <c r="AM159" i="1"/>
  <c r="AL159" i="1"/>
  <c r="AK159" i="1"/>
  <c r="AJ159" i="1"/>
  <c r="AI159" i="1"/>
  <c r="U159" i="1"/>
  <c r="T159" i="1"/>
  <c r="AR158" i="1"/>
  <c r="AP158" i="1"/>
  <c r="AO158" i="1"/>
  <c r="AN158" i="1"/>
  <c r="AM158" i="1"/>
  <c r="AL158" i="1"/>
  <c r="AK158" i="1"/>
  <c r="AJ158" i="1"/>
  <c r="AI158" i="1"/>
  <c r="U158" i="1"/>
  <c r="T158" i="1"/>
  <c r="AR157" i="1"/>
  <c r="AP157" i="1"/>
  <c r="AO157" i="1"/>
  <c r="AN157" i="1"/>
  <c r="AM157" i="1"/>
  <c r="AL157" i="1"/>
  <c r="AK157" i="1"/>
  <c r="AJ157" i="1"/>
  <c r="AI157" i="1"/>
  <c r="U157" i="1"/>
  <c r="T157" i="1"/>
  <c r="AR156" i="1"/>
  <c r="AP156" i="1"/>
  <c r="AO156" i="1"/>
  <c r="AN156" i="1"/>
  <c r="AM156" i="1"/>
  <c r="AL156" i="1"/>
  <c r="AK156" i="1"/>
  <c r="AJ156" i="1"/>
  <c r="AI156" i="1"/>
  <c r="U156" i="1"/>
  <c r="T156" i="1"/>
  <c r="AR155" i="1"/>
  <c r="AP155" i="1"/>
  <c r="AO155" i="1"/>
  <c r="AN155" i="1"/>
  <c r="AM155" i="1"/>
  <c r="AL155" i="1"/>
  <c r="AK155" i="1"/>
  <c r="AJ155" i="1"/>
  <c r="AI155" i="1"/>
  <c r="U155" i="1"/>
  <c r="T155" i="1"/>
  <c r="AR154" i="1"/>
  <c r="AP154" i="1"/>
  <c r="AO154" i="1"/>
  <c r="AN154" i="1"/>
  <c r="AM154" i="1"/>
  <c r="AL154" i="1"/>
  <c r="AK154" i="1"/>
  <c r="AJ154" i="1"/>
  <c r="AI154" i="1"/>
  <c r="U154" i="1"/>
  <c r="T154" i="1"/>
  <c r="AR153" i="1"/>
  <c r="AP153" i="1"/>
  <c r="AO153" i="1"/>
  <c r="AN153" i="1"/>
  <c r="AM153" i="1"/>
  <c r="AL153" i="1"/>
  <c r="AK153" i="1"/>
  <c r="AJ153" i="1"/>
  <c r="AI153" i="1"/>
  <c r="U153" i="1"/>
  <c r="T153" i="1"/>
  <c r="AR152" i="1"/>
  <c r="AP152" i="1"/>
  <c r="AO152" i="1"/>
  <c r="AN152" i="1"/>
  <c r="AM152" i="1"/>
  <c r="AL152" i="1"/>
  <c r="AK152" i="1"/>
  <c r="AJ152" i="1"/>
  <c r="AI152" i="1"/>
  <c r="U152" i="1"/>
  <c r="T152" i="1"/>
  <c r="AR151" i="1"/>
  <c r="AP151" i="1"/>
  <c r="AO151" i="1"/>
  <c r="AN151" i="1"/>
  <c r="AM151" i="1"/>
  <c r="AL151" i="1"/>
  <c r="AK151" i="1"/>
  <c r="AJ151" i="1"/>
  <c r="AI151" i="1"/>
  <c r="U151" i="1"/>
  <c r="T151" i="1"/>
  <c r="AR150" i="1"/>
  <c r="AP150" i="1"/>
  <c r="AO150" i="1"/>
  <c r="AN150" i="1"/>
  <c r="AM150" i="1"/>
  <c r="AL150" i="1"/>
  <c r="AK150" i="1"/>
  <c r="AJ150" i="1"/>
  <c r="AI150" i="1"/>
  <c r="U150" i="1"/>
  <c r="T150" i="1"/>
  <c r="AR149" i="1"/>
  <c r="AP149" i="1"/>
  <c r="AO149" i="1"/>
  <c r="AN149" i="1"/>
  <c r="AM149" i="1"/>
  <c r="AL149" i="1"/>
  <c r="AK149" i="1"/>
  <c r="AJ149" i="1"/>
  <c r="AI149" i="1"/>
  <c r="U149" i="1"/>
  <c r="T149" i="1"/>
  <c r="AR148" i="1"/>
  <c r="AP148" i="1"/>
  <c r="AO148" i="1"/>
  <c r="AN148" i="1"/>
  <c r="AM148" i="1"/>
  <c r="AL148" i="1"/>
  <c r="AK148" i="1"/>
  <c r="AJ148" i="1"/>
  <c r="AI148" i="1"/>
  <c r="U148" i="1"/>
  <c r="T148" i="1"/>
  <c r="AR147" i="1"/>
  <c r="AP147" i="1"/>
  <c r="AO147" i="1"/>
  <c r="AN147" i="1"/>
  <c r="AM147" i="1"/>
  <c r="AL147" i="1"/>
  <c r="AK147" i="1"/>
  <c r="AJ147" i="1"/>
  <c r="AI147" i="1"/>
  <c r="U147" i="1"/>
  <c r="T147" i="1"/>
  <c r="AR146" i="1"/>
  <c r="AP146" i="1"/>
  <c r="AO146" i="1"/>
  <c r="AN146" i="1"/>
  <c r="AM146" i="1"/>
  <c r="AL146" i="1"/>
  <c r="AK146" i="1"/>
  <c r="AJ146" i="1"/>
  <c r="AI146" i="1"/>
  <c r="U146" i="1"/>
  <c r="T146" i="1"/>
  <c r="AR145" i="1"/>
  <c r="AP145" i="1"/>
  <c r="AO145" i="1"/>
  <c r="AN145" i="1"/>
  <c r="AM145" i="1"/>
  <c r="AL145" i="1"/>
  <c r="AK145" i="1"/>
  <c r="AJ145" i="1"/>
  <c r="AI145" i="1"/>
  <c r="U145" i="1"/>
  <c r="T145" i="1"/>
  <c r="AR144" i="1"/>
  <c r="AP144" i="1"/>
  <c r="AO144" i="1"/>
  <c r="AN144" i="1"/>
  <c r="AM144" i="1"/>
  <c r="AL144" i="1"/>
  <c r="AK144" i="1"/>
  <c r="AJ144" i="1"/>
  <c r="AI144" i="1"/>
  <c r="U144" i="1"/>
  <c r="T144" i="1"/>
  <c r="AR143" i="1"/>
  <c r="AP143" i="1"/>
  <c r="AO143" i="1"/>
  <c r="AN143" i="1"/>
  <c r="AM143" i="1"/>
  <c r="AL143" i="1"/>
  <c r="AK143" i="1"/>
  <c r="AJ143" i="1"/>
  <c r="AI143" i="1"/>
  <c r="U143" i="1"/>
  <c r="T143" i="1"/>
  <c r="AR142" i="1"/>
  <c r="AP142" i="1"/>
  <c r="AO142" i="1"/>
  <c r="AN142" i="1"/>
  <c r="AM142" i="1"/>
  <c r="AL142" i="1"/>
  <c r="AK142" i="1"/>
  <c r="AJ142" i="1"/>
  <c r="AI142" i="1"/>
  <c r="U142" i="1"/>
  <c r="T142" i="1"/>
  <c r="AR141" i="1"/>
  <c r="AP141" i="1"/>
  <c r="AO141" i="1"/>
  <c r="AN141" i="1"/>
  <c r="AM141" i="1"/>
  <c r="AL141" i="1"/>
  <c r="AK141" i="1"/>
  <c r="AJ141" i="1"/>
  <c r="AI141" i="1"/>
  <c r="U141" i="1"/>
  <c r="T141" i="1"/>
  <c r="AR140" i="1"/>
  <c r="AP140" i="1"/>
  <c r="AO140" i="1"/>
  <c r="AN140" i="1"/>
  <c r="AM140" i="1"/>
  <c r="AL140" i="1"/>
  <c r="AK140" i="1"/>
  <c r="AJ140" i="1"/>
  <c r="AI140" i="1"/>
  <c r="U140" i="1"/>
  <c r="T140" i="1"/>
  <c r="AR139" i="1"/>
  <c r="AP139" i="1"/>
  <c r="AO139" i="1"/>
  <c r="AN139" i="1"/>
  <c r="AM139" i="1"/>
  <c r="AL139" i="1"/>
  <c r="AK139" i="1"/>
  <c r="AJ139" i="1"/>
  <c r="AI139" i="1"/>
  <c r="U139" i="1"/>
  <c r="T139" i="1"/>
  <c r="AR138" i="1"/>
  <c r="AP138" i="1"/>
  <c r="AO138" i="1"/>
  <c r="AN138" i="1"/>
  <c r="AM138" i="1"/>
  <c r="AL138" i="1"/>
  <c r="AK138" i="1"/>
  <c r="AJ138" i="1"/>
  <c r="AI138" i="1"/>
  <c r="U138" i="1"/>
  <c r="T138" i="1"/>
  <c r="AR137" i="1"/>
  <c r="AP137" i="1"/>
  <c r="AO137" i="1"/>
  <c r="AN137" i="1"/>
  <c r="AM137" i="1"/>
  <c r="AL137" i="1"/>
  <c r="AK137" i="1"/>
  <c r="AJ137" i="1"/>
  <c r="AI137" i="1"/>
  <c r="U137" i="1"/>
  <c r="T137" i="1"/>
  <c r="AR136" i="1"/>
  <c r="AP136" i="1"/>
  <c r="AO136" i="1"/>
  <c r="AN136" i="1"/>
  <c r="AM136" i="1"/>
  <c r="AL136" i="1"/>
  <c r="AK136" i="1"/>
  <c r="AJ136" i="1"/>
  <c r="AI136" i="1"/>
  <c r="U136" i="1"/>
  <c r="T136" i="1"/>
  <c r="AR135" i="1"/>
  <c r="AP135" i="1"/>
  <c r="AO135" i="1"/>
  <c r="AN135" i="1"/>
  <c r="AM135" i="1"/>
  <c r="AL135" i="1"/>
  <c r="AK135" i="1"/>
  <c r="AJ135" i="1"/>
  <c r="AI135" i="1"/>
  <c r="U135" i="1"/>
  <c r="T135" i="1"/>
  <c r="AR134" i="1"/>
  <c r="AP134" i="1"/>
  <c r="AO134" i="1"/>
  <c r="AN134" i="1"/>
  <c r="AM134" i="1"/>
  <c r="AL134" i="1"/>
  <c r="AK134" i="1"/>
  <c r="AJ134" i="1"/>
  <c r="AI134" i="1"/>
  <c r="U134" i="1"/>
  <c r="T134" i="1"/>
  <c r="AR133" i="1"/>
  <c r="AP133" i="1"/>
  <c r="AO133" i="1"/>
  <c r="AN133" i="1"/>
  <c r="AM133" i="1"/>
  <c r="AL133" i="1"/>
  <c r="AK133" i="1"/>
  <c r="AJ133" i="1"/>
  <c r="AI133" i="1"/>
  <c r="U133" i="1"/>
  <c r="T133" i="1"/>
  <c r="AR132" i="1"/>
  <c r="AP132" i="1"/>
  <c r="AO132" i="1"/>
  <c r="AN132" i="1"/>
  <c r="AM132" i="1"/>
  <c r="AL132" i="1"/>
  <c r="AK132" i="1"/>
  <c r="AJ132" i="1"/>
  <c r="AI132" i="1"/>
  <c r="U132" i="1"/>
  <c r="T132" i="1"/>
  <c r="AR131" i="1"/>
  <c r="AP131" i="1"/>
  <c r="AO131" i="1"/>
  <c r="AN131" i="1"/>
  <c r="AM131" i="1"/>
  <c r="AL131" i="1"/>
  <c r="AK131" i="1"/>
  <c r="AJ131" i="1"/>
  <c r="AI131" i="1"/>
  <c r="U131" i="1"/>
  <c r="T131" i="1"/>
  <c r="AR130" i="1"/>
  <c r="AP130" i="1"/>
  <c r="AO130" i="1"/>
  <c r="AN130" i="1"/>
  <c r="AM130" i="1"/>
  <c r="AL130" i="1"/>
  <c r="AK130" i="1"/>
  <c r="AJ130" i="1"/>
  <c r="AI130" i="1"/>
  <c r="U130" i="1"/>
  <c r="T130" i="1"/>
  <c r="AR129" i="1"/>
  <c r="AP129" i="1"/>
  <c r="AO129" i="1"/>
  <c r="AN129" i="1"/>
  <c r="AM129" i="1"/>
  <c r="AL129" i="1"/>
  <c r="AK129" i="1"/>
  <c r="AJ129" i="1"/>
  <c r="AI129" i="1"/>
  <c r="U129" i="1"/>
  <c r="T129" i="1"/>
  <c r="AR128" i="1"/>
  <c r="AP128" i="1"/>
  <c r="AO128" i="1"/>
  <c r="AN128" i="1"/>
  <c r="AM128" i="1"/>
  <c r="AL128" i="1"/>
  <c r="AK128" i="1"/>
  <c r="AJ128" i="1"/>
  <c r="AI128" i="1"/>
  <c r="U128" i="1"/>
  <c r="T128" i="1"/>
  <c r="AR127" i="1"/>
  <c r="AP127" i="1"/>
  <c r="AO127" i="1"/>
  <c r="AN127" i="1"/>
  <c r="AM127" i="1"/>
  <c r="AL127" i="1"/>
  <c r="AK127" i="1"/>
  <c r="AJ127" i="1"/>
  <c r="AI127" i="1"/>
  <c r="U127" i="1"/>
  <c r="T127" i="1"/>
  <c r="AR126" i="1"/>
  <c r="AP126" i="1"/>
  <c r="AO126" i="1"/>
  <c r="AN126" i="1"/>
  <c r="AM126" i="1"/>
  <c r="AL126" i="1"/>
  <c r="AK126" i="1"/>
  <c r="AJ126" i="1"/>
  <c r="AI126" i="1"/>
  <c r="U126" i="1"/>
  <c r="T126" i="1"/>
  <c r="AR125" i="1"/>
  <c r="AP125" i="1"/>
  <c r="AO125" i="1"/>
  <c r="AN125" i="1"/>
  <c r="AM125" i="1"/>
  <c r="AL125" i="1"/>
  <c r="AK125" i="1"/>
  <c r="AJ125" i="1"/>
  <c r="AI125" i="1"/>
  <c r="U125" i="1"/>
  <c r="T125" i="1"/>
  <c r="AR124" i="1"/>
  <c r="AP124" i="1"/>
  <c r="AO124" i="1"/>
  <c r="AN124" i="1"/>
  <c r="AM124" i="1"/>
  <c r="AL124" i="1"/>
  <c r="AK124" i="1"/>
  <c r="AJ124" i="1"/>
  <c r="AI124" i="1"/>
  <c r="U124" i="1"/>
  <c r="T124" i="1"/>
  <c r="AR123" i="1"/>
  <c r="AP123" i="1"/>
  <c r="AO123" i="1"/>
  <c r="AN123" i="1"/>
  <c r="AM123" i="1"/>
  <c r="AL123" i="1"/>
  <c r="AK123" i="1"/>
  <c r="AJ123" i="1"/>
  <c r="AI123" i="1"/>
  <c r="U123" i="1"/>
  <c r="T123" i="1"/>
  <c r="AR122" i="1"/>
  <c r="AP122" i="1"/>
  <c r="AO122" i="1"/>
  <c r="AN122" i="1"/>
  <c r="AM122" i="1"/>
  <c r="AL122" i="1"/>
  <c r="AK122" i="1"/>
  <c r="AJ122" i="1"/>
  <c r="AI122" i="1"/>
  <c r="U122" i="1"/>
  <c r="T122" i="1"/>
  <c r="AR121" i="1"/>
  <c r="AP121" i="1"/>
  <c r="AO121" i="1"/>
  <c r="AN121" i="1"/>
  <c r="AM121" i="1"/>
  <c r="AL121" i="1"/>
  <c r="AK121" i="1"/>
  <c r="AJ121" i="1"/>
  <c r="AI121" i="1"/>
  <c r="U121" i="1"/>
  <c r="T121" i="1"/>
  <c r="AR120" i="1"/>
  <c r="AP120" i="1"/>
  <c r="AO120" i="1"/>
  <c r="AN120" i="1"/>
  <c r="AM120" i="1"/>
  <c r="AL120" i="1"/>
  <c r="AK120" i="1"/>
  <c r="AJ120" i="1"/>
  <c r="AI120" i="1"/>
  <c r="U120" i="1"/>
  <c r="T120" i="1"/>
  <c r="AR119" i="1"/>
  <c r="AP119" i="1"/>
  <c r="AO119" i="1"/>
  <c r="AN119" i="1"/>
  <c r="AM119" i="1"/>
  <c r="AL119" i="1"/>
  <c r="AK119" i="1"/>
  <c r="AJ119" i="1"/>
  <c r="AI119" i="1"/>
  <c r="U119" i="1"/>
  <c r="T119" i="1"/>
  <c r="AR118" i="1"/>
  <c r="AP118" i="1"/>
  <c r="AO118" i="1"/>
  <c r="AN118" i="1"/>
  <c r="AM118" i="1"/>
  <c r="AL118" i="1"/>
  <c r="AK118" i="1"/>
  <c r="AJ118" i="1"/>
  <c r="AI118" i="1"/>
  <c r="U118" i="1"/>
  <c r="T118" i="1"/>
  <c r="AR117" i="1"/>
  <c r="AP117" i="1"/>
  <c r="AO117" i="1"/>
  <c r="AN117" i="1"/>
  <c r="AM117" i="1"/>
  <c r="AL117" i="1"/>
  <c r="AK117" i="1"/>
  <c r="AJ117" i="1"/>
  <c r="AI117" i="1"/>
  <c r="U117" i="1"/>
  <c r="T117" i="1"/>
  <c r="AR116" i="1"/>
  <c r="AP116" i="1"/>
  <c r="AO116" i="1"/>
  <c r="AN116" i="1"/>
  <c r="AM116" i="1"/>
  <c r="AL116" i="1"/>
  <c r="AK116" i="1"/>
  <c r="AJ116" i="1"/>
  <c r="AI116" i="1"/>
  <c r="U116" i="1"/>
  <c r="T116" i="1"/>
  <c r="AR115" i="1"/>
  <c r="AP115" i="1"/>
  <c r="AO115" i="1"/>
  <c r="AN115" i="1"/>
  <c r="AM115" i="1"/>
  <c r="AL115" i="1"/>
  <c r="AK115" i="1"/>
  <c r="AJ115" i="1"/>
  <c r="AI115" i="1"/>
  <c r="U115" i="1"/>
  <c r="T115" i="1"/>
  <c r="AR114" i="1"/>
  <c r="AP114" i="1"/>
  <c r="AO114" i="1"/>
  <c r="AN114" i="1"/>
  <c r="AM114" i="1"/>
  <c r="AL114" i="1"/>
  <c r="AK114" i="1"/>
  <c r="AJ114" i="1"/>
  <c r="AI114" i="1"/>
  <c r="U114" i="1"/>
  <c r="T114" i="1"/>
  <c r="AR113" i="1"/>
  <c r="AP113" i="1"/>
  <c r="AO113" i="1"/>
  <c r="AN113" i="1"/>
  <c r="AM113" i="1"/>
  <c r="AL113" i="1"/>
  <c r="AK113" i="1"/>
  <c r="AJ113" i="1"/>
  <c r="AI113" i="1"/>
  <c r="U113" i="1"/>
  <c r="T113" i="1"/>
  <c r="AR112" i="1"/>
  <c r="AP112" i="1"/>
  <c r="AO112" i="1"/>
  <c r="AN112" i="1"/>
  <c r="AM112" i="1"/>
  <c r="AL112" i="1"/>
  <c r="AK112" i="1"/>
  <c r="AJ112" i="1"/>
  <c r="AI112" i="1"/>
  <c r="U112" i="1"/>
  <c r="T112" i="1"/>
  <c r="AR111" i="1"/>
  <c r="AP111" i="1"/>
  <c r="AO111" i="1"/>
  <c r="AN111" i="1"/>
  <c r="AM111" i="1"/>
  <c r="AL111" i="1"/>
  <c r="AK111" i="1"/>
  <c r="AJ111" i="1"/>
  <c r="AI111" i="1"/>
  <c r="U111" i="1"/>
  <c r="T111" i="1"/>
  <c r="AR110" i="1"/>
  <c r="AP110" i="1"/>
  <c r="AO110" i="1"/>
  <c r="AN110" i="1"/>
  <c r="AM110" i="1"/>
  <c r="AL110" i="1"/>
  <c r="AK110" i="1"/>
  <c r="AJ110" i="1"/>
  <c r="AI110" i="1"/>
  <c r="U110" i="1"/>
  <c r="T110" i="1"/>
  <c r="AR109" i="1"/>
  <c r="AP109" i="1"/>
  <c r="AO109" i="1"/>
  <c r="AN109" i="1"/>
  <c r="AM109" i="1"/>
  <c r="AL109" i="1"/>
  <c r="AK109" i="1"/>
  <c r="AJ109" i="1"/>
  <c r="AI109" i="1"/>
  <c r="U109" i="1"/>
  <c r="T109" i="1"/>
  <c r="AR108" i="1"/>
  <c r="AP108" i="1"/>
  <c r="AO108" i="1"/>
  <c r="AN108" i="1"/>
  <c r="AM108" i="1"/>
  <c r="AL108" i="1"/>
  <c r="AK108" i="1"/>
  <c r="AJ108" i="1"/>
  <c r="AI108" i="1"/>
  <c r="U108" i="1"/>
  <c r="T108" i="1"/>
  <c r="AR107" i="1"/>
  <c r="AP107" i="1"/>
  <c r="AO107" i="1"/>
  <c r="AN107" i="1"/>
  <c r="AM107" i="1"/>
  <c r="AL107" i="1"/>
  <c r="AK107" i="1"/>
  <c r="AJ107" i="1"/>
  <c r="AI107" i="1"/>
  <c r="U107" i="1"/>
  <c r="T107" i="1"/>
  <c r="AR106" i="1"/>
  <c r="AP106" i="1"/>
  <c r="AO106" i="1"/>
  <c r="AN106" i="1"/>
  <c r="AM106" i="1"/>
  <c r="AL106" i="1"/>
  <c r="AK106" i="1"/>
  <c r="AJ106" i="1"/>
  <c r="AI106" i="1"/>
  <c r="U106" i="1"/>
  <c r="T106" i="1"/>
  <c r="AR105" i="1"/>
  <c r="AP105" i="1"/>
  <c r="AO105" i="1"/>
  <c r="AN105" i="1"/>
  <c r="AM105" i="1"/>
  <c r="AL105" i="1"/>
  <c r="AK105" i="1"/>
  <c r="AJ105" i="1"/>
  <c r="AI105" i="1"/>
  <c r="U105" i="1"/>
  <c r="T105" i="1"/>
  <c r="AR104" i="1"/>
  <c r="AP104" i="1"/>
  <c r="AO104" i="1"/>
  <c r="AN104" i="1"/>
  <c r="AM104" i="1"/>
  <c r="AL104" i="1"/>
  <c r="AK104" i="1"/>
  <c r="AJ104" i="1"/>
  <c r="AI104" i="1"/>
  <c r="U104" i="1"/>
  <c r="T104" i="1"/>
  <c r="AR103" i="1"/>
  <c r="AP103" i="1"/>
  <c r="AO103" i="1"/>
  <c r="AN103" i="1"/>
  <c r="AM103" i="1"/>
  <c r="AL103" i="1"/>
  <c r="AK103" i="1"/>
  <c r="AJ103" i="1"/>
  <c r="AI103" i="1"/>
  <c r="U103" i="1"/>
  <c r="T103" i="1"/>
  <c r="AR102" i="1"/>
  <c r="AP102" i="1"/>
  <c r="AO102" i="1"/>
  <c r="AN102" i="1"/>
  <c r="AM102" i="1"/>
  <c r="AL102" i="1"/>
  <c r="AK102" i="1"/>
  <c r="AJ102" i="1"/>
  <c r="AI102" i="1"/>
  <c r="U102" i="1"/>
  <c r="T102" i="1"/>
  <c r="AR101" i="1"/>
  <c r="AP101" i="1"/>
  <c r="AO101" i="1"/>
  <c r="AN101" i="1"/>
  <c r="AM101" i="1"/>
  <c r="AL101" i="1"/>
  <c r="AK101" i="1"/>
  <c r="AJ101" i="1"/>
  <c r="AI101" i="1"/>
  <c r="U101" i="1"/>
  <c r="T101" i="1"/>
  <c r="AR100" i="1"/>
  <c r="AP100" i="1"/>
  <c r="AO100" i="1"/>
  <c r="AN100" i="1"/>
  <c r="AM100" i="1"/>
  <c r="AL100" i="1"/>
  <c r="AK100" i="1"/>
  <c r="AJ100" i="1"/>
  <c r="AI100" i="1"/>
  <c r="U100" i="1"/>
  <c r="T100" i="1"/>
  <c r="AR99" i="1"/>
  <c r="AP99" i="1"/>
  <c r="AO99" i="1"/>
  <c r="AN99" i="1"/>
  <c r="AM99" i="1"/>
  <c r="AL99" i="1"/>
  <c r="AK99" i="1"/>
  <c r="AJ99" i="1"/>
  <c r="AI99" i="1"/>
  <c r="U99" i="1"/>
  <c r="T99" i="1"/>
  <c r="AR98" i="1"/>
  <c r="AP98" i="1"/>
  <c r="AO98" i="1"/>
  <c r="AN98" i="1"/>
  <c r="AM98" i="1"/>
  <c r="AL98" i="1"/>
  <c r="AK98" i="1"/>
  <c r="AJ98" i="1"/>
  <c r="AI98" i="1"/>
  <c r="U98" i="1"/>
  <c r="T98" i="1"/>
  <c r="AR97" i="1"/>
  <c r="AP97" i="1"/>
  <c r="AO97" i="1"/>
  <c r="AN97" i="1"/>
  <c r="AM97" i="1"/>
  <c r="AL97" i="1"/>
  <c r="AK97" i="1"/>
  <c r="AJ97" i="1"/>
  <c r="AI97" i="1"/>
  <c r="U97" i="1"/>
  <c r="T97" i="1"/>
  <c r="AR96" i="1"/>
  <c r="AP96" i="1"/>
  <c r="AO96" i="1"/>
  <c r="AN96" i="1"/>
  <c r="AM96" i="1"/>
  <c r="AL96" i="1"/>
  <c r="AK96" i="1"/>
  <c r="AJ96" i="1"/>
  <c r="AI96" i="1"/>
  <c r="U96" i="1"/>
  <c r="T96" i="1"/>
  <c r="AR95" i="1"/>
  <c r="AP95" i="1"/>
  <c r="AO95" i="1"/>
  <c r="AN95" i="1"/>
  <c r="AM95" i="1"/>
  <c r="AL95" i="1"/>
  <c r="AK95" i="1"/>
  <c r="AJ95" i="1"/>
  <c r="AI95" i="1"/>
  <c r="U95" i="1"/>
  <c r="T95" i="1"/>
  <c r="AR94" i="1"/>
  <c r="AP94" i="1"/>
  <c r="AO94" i="1"/>
  <c r="AN94" i="1"/>
  <c r="AM94" i="1"/>
  <c r="AL94" i="1"/>
  <c r="AK94" i="1"/>
  <c r="AJ94" i="1"/>
  <c r="AI94" i="1"/>
  <c r="U94" i="1"/>
  <c r="T94" i="1"/>
  <c r="AR93" i="1"/>
  <c r="AP93" i="1"/>
  <c r="AO93" i="1"/>
  <c r="AN93" i="1"/>
  <c r="AM93" i="1"/>
  <c r="AL93" i="1"/>
  <c r="AK93" i="1"/>
  <c r="AJ93" i="1"/>
  <c r="AI93" i="1"/>
  <c r="U93" i="1"/>
  <c r="T93" i="1"/>
  <c r="AR92" i="1"/>
  <c r="AP92" i="1"/>
  <c r="AO92" i="1"/>
  <c r="AN92" i="1"/>
  <c r="AM92" i="1"/>
  <c r="AL92" i="1"/>
  <c r="AK92" i="1"/>
  <c r="AJ92" i="1"/>
  <c r="AI92" i="1"/>
  <c r="U92" i="1"/>
  <c r="T92" i="1"/>
  <c r="AR91" i="1"/>
  <c r="AP91" i="1"/>
  <c r="AO91" i="1"/>
  <c r="AN91" i="1"/>
  <c r="AM91" i="1"/>
  <c r="AL91" i="1"/>
  <c r="AK91" i="1"/>
  <c r="AJ91" i="1"/>
  <c r="AI91" i="1"/>
  <c r="U91" i="1"/>
  <c r="T91" i="1"/>
  <c r="AR90" i="1"/>
  <c r="AP90" i="1"/>
  <c r="AO90" i="1"/>
  <c r="AN90" i="1"/>
  <c r="AM90" i="1"/>
  <c r="AL90" i="1"/>
  <c r="AK90" i="1"/>
  <c r="AJ90" i="1"/>
  <c r="AI90" i="1"/>
  <c r="U90" i="1"/>
  <c r="T90" i="1"/>
  <c r="AR89" i="1"/>
  <c r="AP89" i="1"/>
  <c r="AO89" i="1"/>
  <c r="AN89" i="1"/>
  <c r="AM89" i="1"/>
  <c r="AL89" i="1"/>
  <c r="AK89" i="1"/>
  <c r="AJ89" i="1"/>
  <c r="AI89" i="1"/>
  <c r="U89" i="1"/>
  <c r="T89" i="1"/>
  <c r="AR88" i="1"/>
  <c r="AP88" i="1"/>
  <c r="AO88" i="1"/>
  <c r="AN88" i="1"/>
  <c r="AM88" i="1"/>
  <c r="AL88" i="1"/>
  <c r="AK88" i="1"/>
  <c r="AJ88" i="1"/>
  <c r="AI88" i="1"/>
  <c r="U88" i="1"/>
  <c r="T88" i="1"/>
  <c r="AR87" i="1"/>
  <c r="AP87" i="1"/>
  <c r="AO87" i="1"/>
  <c r="AN87" i="1"/>
  <c r="AM87" i="1"/>
  <c r="AL87" i="1"/>
  <c r="AK87" i="1"/>
  <c r="AJ87" i="1"/>
  <c r="AI87" i="1"/>
  <c r="U87" i="1"/>
  <c r="T87" i="1"/>
  <c r="AR86" i="1"/>
  <c r="AP86" i="1"/>
  <c r="AO86" i="1"/>
  <c r="AN86" i="1"/>
  <c r="AM86" i="1"/>
  <c r="AL86" i="1"/>
  <c r="AK86" i="1"/>
  <c r="AJ86" i="1"/>
  <c r="AI86" i="1"/>
  <c r="U86" i="1"/>
  <c r="T86" i="1"/>
  <c r="AR85" i="1"/>
  <c r="AP85" i="1"/>
  <c r="AO85" i="1"/>
  <c r="AN85" i="1"/>
  <c r="AM85" i="1"/>
  <c r="AL85" i="1"/>
  <c r="AK85" i="1"/>
  <c r="AJ85" i="1"/>
  <c r="AI85" i="1"/>
  <c r="U85" i="1"/>
  <c r="T85" i="1"/>
  <c r="AR84" i="1"/>
  <c r="AP84" i="1"/>
  <c r="AO84" i="1"/>
  <c r="AN84" i="1"/>
  <c r="AM84" i="1"/>
  <c r="AL84" i="1"/>
  <c r="AK84" i="1"/>
  <c r="AJ84" i="1"/>
  <c r="AI84" i="1"/>
  <c r="U84" i="1"/>
  <c r="T84" i="1"/>
  <c r="AR83" i="1"/>
  <c r="AP83" i="1"/>
  <c r="AO83" i="1"/>
  <c r="AN83" i="1"/>
  <c r="AM83" i="1"/>
  <c r="AL83" i="1"/>
  <c r="AK83" i="1"/>
  <c r="AJ83" i="1"/>
  <c r="AI83" i="1"/>
  <c r="U83" i="1"/>
  <c r="T83" i="1"/>
  <c r="AR82" i="1"/>
  <c r="AP82" i="1"/>
  <c r="AO82" i="1"/>
  <c r="AN82" i="1"/>
  <c r="AM82" i="1"/>
  <c r="AL82" i="1"/>
  <c r="AK82" i="1"/>
  <c r="AJ82" i="1"/>
  <c r="AI82" i="1"/>
  <c r="U82" i="1"/>
  <c r="T82" i="1"/>
  <c r="AR81" i="1"/>
  <c r="AP81" i="1"/>
  <c r="AO81" i="1"/>
  <c r="AN81" i="1"/>
  <c r="AM81" i="1"/>
  <c r="AL81" i="1"/>
  <c r="AK81" i="1"/>
  <c r="AJ81" i="1"/>
  <c r="AI81" i="1"/>
  <c r="U81" i="1"/>
  <c r="T81" i="1"/>
  <c r="AR80" i="1"/>
  <c r="AP80" i="1"/>
  <c r="AO80" i="1"/>
  <c r="AN80" i="1"/>
  <c r="AM80" i="1"/>
  <c r="AL80" i="1"/>
  <c r="AK80" i="1"/>
  <c r="AJ80" i="1"/>
  <c r="AI80" i="1"/>
  <c r="U80" i="1"/>
  <c r="T80" i="1"/>
  <c r="AR79" i="1"/>
  <c r="AP79" i="1"/>
  <c r="AO79" i="1"/>
  <c r="AN79" i="1"/>
  <c r="AM79" i="1"/>
  <c r="AL79" i="1"/>
  <c r="AK79" i="1"/>
  <c r="AJ79" i="1"/>
  <c r="AI79" i="1"/>
  <c r="U79" i="1"/>
  <c r="T79" i="1"/>
  <c r="AR78" i="1"/>
  <c r="AP78" i="1"/>
  <c r="AO78" i="1"/>
  <c r="AN78" i="1"/>
  <c r="AM78" i="1"/>
  <c r="AL78" i="1"/>
  <c r="AK78" i="1"/>
  <c r="AJ78" i="1"/>
  <c r="AI78" i="1"/>
  <c r="U78" i="1"/>
  <c r="T78" i="1"/>
  <c r="AR77" i="1"/>
  <c r="AP77" i="1"/>
  <c r="AO77" i="1"/>
  <c r="AN77" i="1"/>
  <c r="AM77" i="1"/>
  <c r="AL77" i="1"/>
  <c r="AK77" i="1"/>
  <c r="AJ77" i="1"/>
  <c r="AI77" i="1"/>
  <c r="U77" i="1"/>
  <c r="T77" i="1"/>
  <c r="AR76" i="1"/>
  <c r="AP76" i="1"/>
  <c r="AO76" i="1"/>
  <c r="AN76" i="1"/>
  <c r="AM76" i="1"/>
  <c r="AL76" i="1"/>
  <c r="AK76" i="1"/>
  <c r="AJ76" i="1"/>
  <c r="AI76" i="1"/>
  <c r="U76" i="1"/>
  <c r="T76" i="1"/>
  <c r="AR75" i="1"/>
  <c r="AP75" i="1"/>
  <c r="AO75" i="1"/>
  <c r="AN75" i="1"/>
  <c r="AM75" i="1"/>
  <c r="AL75" i="1"/>
  <c r="AK75" i="1"/>
  <c r="AJ75" i="1"/>
  <c r="AI75" i="1"/>
  <c r="U75" i="1"/>
  <c r="T75" i="1"/>
  <c r="AR74" i="1"/>
  <c r="AP74" i="1"/>
  <c r="AO74" i="1"/>
  <c r="AN74" i="1"/>
  <c r="AM74" i="1"/>
  <c r="AL74" i="1"/>
  <c r="AK74" i="1"/>
  <c r="AJ74" i="1"/>
  <c r="AI74" i="1"/>
  <c r="U74" i="1"/>
  <c r="T74" i="1"/>
  <c r="AR73" i="1"/>
  <c r="AP73" i="1"/>
  <c r="AO73" i="1"/>
  <c r="AN73" i="1"/>
  <c r="AM73" i="1"/>
  <c r="AL73" i="1"/>
  <c r="AK73" i="1"/>
  <c r="AJ73" i="1"/>
  <c r="AI73" i="1"/>
  <c r="U73" i="1"/>
  <c r="T73" i="1"/>
  <c r="AR72" i="1"/>
  <c r="AP72" i="1"/>
  <c r="AO72" i="1"/>
  <c r="AN72" i="1"/>
  <c r="AM72" i="1"/>
  <c r="AL72" i="1"/>
  <c r="AK72" i="1"/>
  <c r="AJ72" i="1"/>
  <c r="AI72" i="1"/>
  <c r="U72" i="1"/>
  <c r="T72" i="1"/>
  <c r="AR71" i="1"/>
  <c r="AP71" i="1"/>
  <c r="AO71" i="1"/>
  <c r="AN71" i="1"/>
  <c r="AM71" i="1"/>
  <c r="AL71" i="1"/>
  <c r="AK71" i="1"/>
  <c r="AJ71" i="1"/>
  <c r="AI71" i="1"/>
  <c r="U71" i="1"/>
  <c r="T71" i="1"/>
  <c r="AR70" i="1"/>
  <c r="AP70" i="1"/>
  <c r="AO70" i="1"/>
  <c r="AN70" i="1"/>
  <c r="AM70" i="1"/>
  <c r="AL70" i="1"/>
  <c r="AK70" i="1"/>
  <c r="AJ70" i="1"/>
  <c r="AI70" i="1"/>
  <c r="U70" i="1"/>
  <c r="T70" i="1"/>
  <c r="AR69" i="1"/>
  <c r="AP69" i="1"/>
  <c r="AO69" i="1"/>
  <c r="AN69" i="1"/>
  <c r="AM69" i="1"/>
  <c r="AL69" i="1"/>
  <c r="AK69" i="1"/>
  <c r="AJ69" i="1"/>
  <c r="AI69" i="1"/>
  <c r="U69" i="1"/>
  <c r="T69" i="1"/>
  <c r="AR68" i="1"/>
  <c r="AP68" i="1"/>
  <c r="AO68" i="1"/>
  <c r="AN68" i="1"/>
  <c r="AM68" i="1"/>
  <c r="AL68" i="1"/>
  <c r="AK68" i="1"/>
  <c r="AJ68" i="1"/>
  <c r="AI68" i="1"/>
  <c r="U68" i="1"/>
  <c r="T68" i="1"/>
  <c r="AR67" i="1"/>
  <c r="AP67" i="1"/>
  <c r="AO67" i="1"/>
  <c r="AN67" i="1"/>
  <c r="AM67" i="1"/>
  <c r="AL67" i="1"/>
  <c r="AK67" i="1"/>
  <c r="AJ67" i="1"/>
  <c r="AI67" i="1"/>
  <c r="U67" i="1"/>
  <c r="T67" i="1"/>
  <c r="AR66" i="1"/>
  <c r="AP66" i="1"/>
  <c r="AO66" i="1"/>
  <c r="AN66" i="1"/>
  <c r="AM66" i="1"/>
  <c r="AL66" i="1"/>
  <c r="AK66" i="1"/>
  <c r="AJ66" i="1"/>
  <c r="AI66" i="1"/>
  <c r="U66" i="1"/>
  <c r="T66" i="1"/>
  <c r="AR65" i="1"/>
  <c r="AP65" i="1"/>
  <c r="AO65" i="1"/>
  <c r="AN65" i="1"/>
  <c r="AM65" i="1"/>
  <c r="AL65" i="1"/>
  <c r="AK65" i="1"/>
  <c r="AJ65" i="1"/>
  <c r="AI65" i="1"/>
  <c r="U65" i="1"/>
  <c r="T65" i="1"/>
  <c r="AR64" i="1"/>
  <c r="AP64" i="1"/>
  <c r="AO64" i="1"/>
  <c r="AN64" i="1"/>
  <c r="AM64" i="1"/>
  <c r="AL64" i="1"/>
  <c r="AK64" i="1"/>
  <c r="AJ64" i="1"/>
  <c r="AI64" i="1"/>
  <c r="U64" i="1"/>
  <c r="T64" i="1"/>
  <c r="AR63" i="1"/>
  <c r="AP63" i="1"/>
  <c r="AO63" i="1"/>
  <c r="AN63" i="1"/>
  <c r="AM63" i="1"/>
  <c r="AL63" i="1"/>
  <c r="AK63" i="1"/>
  <c r="AJ63" i="1"/>
  <c r="AI63" i="1"/>
  <c r="U63" i="1"/>
  <c r="T63" i="1"/>
  <c r="AR62" i="1"/>
  <c r="AP62" i="1"/>
  <c r="AO62" i="1"/>
  <c r="AN62" i="1"/>
  <c r="AM62" i="1"/>
  <c r="AL62" i="1"/>
  <c r="AK62" i="1"/>
  <c r="AJ62" i="1"/>
  <c r="AI62" i="1"/>
  <c r="U62" i="1"/>
  <c r="T62" i="1"/>
  <c r="AR61" i="1"/>
  <c r="AP61" i="1"/>
  <c r="AO61" i="1"/>
  <c r="AN61" i="1"/>
  <c r="AM61" i="1"/>
  <c r="AL61" i="1"/>
  <c r="AK61" i="1"/>
  <c r="AJ61" i="1"/>
  <c r="AI61" i="1"/>
  <c r="U61" i="1"/>
  <c r="T61" i="1"/>
  <c r="AR60" i="1"/>
  <c r="AP60" i="1"/>
  <c r="AO60" i="1"/>
  <c r="AN60" i="1"/>
  <c r="AM60" i="1"/>
  <c r="AL60" i="1"/>
  <c r="AK60" i="1"/>
  <c r="AJ60" i="1"/>
  <c r="AI60" i="1"/>
  <c r="U60" i="1"/>
  <c r="T60" i="1"/>
  <c r="AR59" i="1"/>
  <c r="AP59" i="1"/>
  <c r="AO59" i="1"/>
  <c r="AN59" i="1"/>
  <c r="AM59" i="1"/>
  <c r="AL59" i="1"/>
  <c r="AK59" i="1"/>
  <c r="AJ59" i="1"/>
  <c r="AI59" i="1"/>
  <c r="U59" i="1"/>
  <c r="T59" i="1"/>
  <c r="AR58" i="1"/>
  <c r="AP58" i="1"/>
  <c r="AO58" i="1"/>
  <c r="AN58" i="1"/>
  <c r="AM58" i="1"/>
  <c r="AL58" i="1"/>
  <c r="AK58" i="1"/>
  <c r="AJ58" i="1"/>
  <c r="AI58" i="1"/>
  <c r="U58" i="1"/>
  <c r="T58" i="1"/>
  <c r="AR57" i="1"/>
  <c r="AP57" i="1"/>
  <c r="AO57" i="1"/>
  <c r="AN57" i="1"/>
  <c r="AM57" i="1"/>
  <c r="AL57" i="1"/>
  <c r="AK57" i="1"/>
  <c r="AJ57" i="1"/>
  <c r="AI57" i="1"/>
  <c r="U57" i="1"/>
  <c r="T57" i="1"/>
  <c r="AR56" i="1"/>
  <c r="AP56" i="1"/>
  <c r="AO56" i="1"/>
  <c r="AN56" i="1"/>
  <c r="AM56" i="1"/>
  <c r="AL56" i="1"/>
  <c r="AK56" i="1"/>
  <c r="AJ56" i="1"/>
  <c r="AI56" i="1"/>
  <c r="U56" i="1"/>
  <c r="T56" i="1"/>
  <c r="AR55" i="1"/>
  <c r="AP55" i="1"/>
  <c r="AO55" i="1"/>
  <c r="AN55" i="1"/>
  <c r="AM55" i="1"/>
  <c r="AL55" i="1"/>
  <c r="AK55" i="1"/>
  <c r="AJ55" i="1"/>
  <c r="AI55" i="1"/>
  <c r="U55" i="1"/>
  <c r="T55" i="1"/>
  <c r="AR54" i="1"/>
  <c r="AP54" i="1"/>
  <c r="AO54" i="1"/>
  <c r="AN54" i="1"/>
  <c r="AM54" i="1"/>
  <c r="AL54" i="1"/>
  <c r="AK54" i="1"/>
  <c r="AJ54" i="1"/>
  <c r="AI54" i="1"/>
  <c r="U54" i="1"/>
  <c r="T54" i="1"/>
  <c r="AR53" i="1"/>
  <c r="AP53" i="1"/>
  <c r="AO53" i="1"/>
  <c r="AN53" i="1"/>
  <c r="AM53" i="1"/>
  <c r="AL53" i="1"/>
  <c r="AK53" i="1"/>
  <c r="AJ53" i="1"/>
  <c r="AI53" i="1"/>
  <c r="U53" i="1"/>
  <c r="T53" i="1"/>
  <c r="AR52" i="1"/>
  <c r="AP52" i="1"/>
  <c r="AO52" i="1"/>
  <c r="AN52" i="1"/>
  <c r="AM52" i="1"/>
  <c r="AL52" i="1"/>
  <c r="AK52" i="1"/>
  <c r="AJ52" i="1"/>
  <c r="AI52" i="1"/>
  <c r="U52" i="1"/>
  <c r="T52" i="1"/>
  <c r="AR51" i="1"/>
  <c r="AP51" i="1"/>
  <c r="AO51" i="1"/>
  <c r="AN51" i="1"/>
  <c r="AM51" i="1"/>
  <c r="AL51" i="1"/>
  <c r="AK51" i="1"/>
  <c r="AJ51" i="1"/>
  <c r="AI51" i="1"/>
  <c r="U51" i="1"/>
  <c r="T51" i="1"/>
  <c r="AR50" i="1"/>
  <c r="AP50" i="1"/>
  <c r="AO50" i="1"/>
  <c r="AN50" i="1"/>
  <c r="AM50" i="1"/>
  <c r="AL50" i="1"/>
  <c r="AK50" i="1"/>
  <c r="AJ50" i="1"/>
  <c r="AI50" i="1"/>
  <c r="U50" i="1"/>
  <c r="T50" i="1"/>
  <c r="AR49" i="1"/>
  <c r="AP49" i="1"/>
  <c r="AO49" i="1"/>
  <c r="AN49" i="1"/>
  <c r="AM49" i="1"/>
  <c r="AL49" i="1"/>
  <c r="AK49" i="1"/>
  <c r="AJ49" i="1"/>
  <c r="AI49" i="1"/>
  <c r="U49" i="1"/>
  <c r="T49" i="1"/>
  <c r="AR48" i="1"/>
  <c r="AP48" i="1"/>
  <c r="AO48" i="1"/>
  <c r="AN48" i="1"/>
  <c r="AM48" i="1"/>
  <c r="AL48" i="1"/>
  <c r="AK48" i="1"/>
  <c r="AJ48" i="1"/>
  <c r="AI48" i="1"/>
  <c r="U48" i="1"/>
  <c r="T48" i="1"/>
  <c r="AR47" i="1"/>
  <c r="AP47" i="1"/>
  <c r="AO47" i="1"/>
  <c r="AN47" i="1"/>
  <c r="AM47" i="1"/>
  <c r="AL47" i="1"/>
  <c r="AK47" i="1"/>
  <c r="AJ47" i="1"/>
  <c r="AI47" i="1"/>
  <c r="U47" i="1"/>
  <c r="T47" i="1"/>
  <c r="AR46" i="1"/>
  <c r="AP46" i="1"/>
  <c r="AO46" i="1"/>
  <c r="AN46" i="1"/>
  <c r="AM46" i="1"/>
  <c r="AL46" i="1"/>
  <c r="AK46" i="1"/>
  <c r="AJ46" i="1"/>
  <c r="AI46" i="1"/>
  <c r="U46" i="1"/>
  <c r="T46" i="1"/>
  <c r="AR45" i="1"/>
  <c r="AP45" i="1"/>
  <c r="AO45" i="1"/>
  <c r="AN45" i="1"/>
  <c r="AM45" i="1"/>
  <c r="AL45" i="1"/>
  <c r="AK45" i="1"/>
  <c r="AJ45" i="1"/>
  <c r="AI45" i="1"/>
  <c r="U45" i="1"/>
  <c r="T45" i="1"/>
  <c r="AR44" i="1"/>
  <c r="AP44" i="1"/>
  <c r="AO44" i="1"/>
  <c r="AN44" i="1"/>
  <c r="AM44" i="1"/>
  <c r="AL44" i="1"/>
  <c r="AK44" i="1"/>
  <c r="AJ44" i="1"/>
  <c r="AI44" i="1"/>
  <c r="U44" i="1"/>
  <c r="T44" i="1"/>
  <c r="AR43" i="1"/>
  <c r="AP43" i="1"/>
  <c r="AO43" i="1"/>
  <c r="AN43" i="1"/>
  <c r="AM43" i="1"/>
  <c r="AL43" i="1"/>
  <c r="AK43" i="1"/>
  <c r="AJ43" i="1"/>
  <c r="AI43" i="1"/>
  <c r="U43" i="1"/>
  <c r="T43" i="1"/>
  <c r="AR42" i="1"/>
  <c r="AP42" i="1"/>
  <c r="AO42" i="1"/>
  <c r="AN42" i="1"/>
  <c r="AM42" i="1"/>
  <c r="AL42" i="1"/>
  <c r="AK42" i="1"/>
  <c r="AJ42" i="1"/>
  <c r="AI42" i="1"/>
  <c r="U42" i="1"/>
  <c r="T42" i="1"/>
  <c r="AR41" i="1"/>
  <c r="AP41" i="1"/>
  <c r="AO41" i="1"/>
  <c r="AN41" i="1"/>
  <c r="AM41" i="1"/>
  <c r="AL41" i="1"/>
  <c r="AK41" i="1"/>
  <c r="AJ41" i="1"/>
  <c r="AI41" i="1"/>
  <c r="U41" i="1"/>
  <c r="T41" i="1"/>
  <c r="AR40" i="1"/>
  <c r="AP40" i="1"/>
  <c r="AO40" i="1"/>
  <c r="AN40" i="1"/>
  <c r="AM40" i="1"/>
  <c r="AL40" i="1"/>
  <c r="AK40" i="1"/>
  <c r="AJ40" i="1"/>
  <c r="AI40" i="1"/>
  <c r="U40" i="1"/>
  <c r="T40" i="1"/>
  <c r="AR39" i="1"/>
  <c r="AP39" i="1"/>
  <c r="AO39" i="1"/>
  <c r="AN39" i="1"/>
  <c r="AM39" i="1"/>
  <c r="AL39" i="1"/>
  <c r="AK39" i="1"/>
  <c r="AJ39" i="1"/>
  <c r="AI39" i="1"/>
  <c r="U39" i="1"/>
  <c r="T39" i="1"/>
  <c r="AR38" i="1"/>
  <c r="AP38" i="1"/>
  <c r="AO38" i="1"/>
  <c r="AN38" i="1"/>
  <c r="AM38" i="1"/>
  <c r="AL38" i="1"/>
  <c r="AK38" i="1"/>
  <c r="AJ38" i="1"/>
  <c r="AI38" i="1"/>
  <c r="U38" i="1"/>
  <c r="T38" i="1"/>
  <c r="AR37" i="1"/>
  <c r="AP37" i="1"/>
  <c r="AO37" i="1"/>
  <c r="AN37" i="1"/>
  <c r="AM37" i="1"/>
  <c r="AL37" i="1"/>
  <c r="AK37" i="1"/>
  <c r="AJ37" i="1"/>
  <c r="AI37" i="1"/>
  <c r="U37" i="1"/>
  <c r="T37" i="1"/>
  <c r="AR36" i="1"/>
  <c r="AP36" i="1"/>
  <c r="AO36" i="1"/>
  <c r="AN36" i="1"/>
  <c r="AM36" i="1"/>
  <c r="AL36" i="1"/>
  <c r="AK36" i="1"/>
  <c r="AJ36" i="1"/>
  <c r="AI36" i="1"/>
  <c r="U36" i="1"/>
  <c r="T36" i="1"/>
  <c r="AR35" i="1"/>
  <c r="AP35" i="1"/>
  <c r="AO35" i="1"/>
  <c r="AN35" i="1"/>
  <c r="AM35" i="1"/>
  <c r="AL35" i="1"/>
  <c r="AK35" i="1"/>
  <c r="AJ35" i="1"/>
  <c r="AI35" i="1"/>
  <c r="U35" i="1"/>
  <c r="T35" i="1"/>
  <c r="AR34" i="1"/>
  <c r="AP34" i="1"/>
  <c r="AO34" i="1"/>
  <c r="AN34" i="1"/>
  <c r="AM34" i="1"/>
  <c r="AL34" i="1"/>
  <c r="AK34" i="1"/>
  <c r="AJ34" i="1"/>
  <c r="AI34" i="1"/>
  <c r="U34" i="1"/>
  <c r="T34" i="1"/>
  <c r="AR33" i="1"/>
  <c r="AP33" i="1"/>
  <c r="AO33" i="1"/>
  <c r="AN33" i="1"/>
  <c r="AM33" i="1"/>
  <c r="AL33" i="1"/>
  <c r="AK33" i="1"/>
  <c r="AJ33" i="1"/>
  <c r="AI33" i="1"/>
  <c r="U33" i="1"/>
  <c r="T33" i="1"/>
  <c r="AR32" i="1"/>
  <c r="AP32" i="1"/>
  <c r="AO32" i="1"/>
  <c r="AN32" i="1"/>
  <c r="AM32" i="1"/>
  <c r="AL32" i="1"/>
  <c r="AK32" i="1"/>
  <c r="AJ32" i="1"/>
  <c r="AI32" i="1"/>
  <c r="U32" i="1"/>
  <c r="T32" i="1"/>
  <c r="AR31" i="1"/>
  <c r="AP31" i="1"/>
  <c r="AO31" i="1"/>
  <c r="AN31" i="1"/>
  <c r="AM31" i="1"/>
  <c r="AL31" i="1"/>
  <c r="AK31" i="1"/>
  <c r="AJ31" i="1"/>
  <c r="AI31" i="1"/>
  <c r="U31" i="1"/>
  <c r="T31" i="1"/>
  <c r="AR30" i="1"/>
  <c r="AP30" i="1"/>
  <c r="AO30" i="1"/>
  <c r="AN30" i="1"/>
  <c r="AM30" i="1"/>
  <c r="AL30" i="1"/>
  <c r="AK30" i="1"/>
  <c r="AJ30" i="1"/>
  <c r="AI30" i="1"/>
  <c r="U30" i="1"/>
  <c r="T30" i="1"/>
  <c r="AR29" i="1"/>
  <c r="AP29" i="1"/>
  <c r="AO29" i="1"/>
  <c r="AN29" i="1"/>
  <c r="AM29" i="1"/>
  <c r="AL29" i="1"/>
  <c r="AK29" i="1"/>
  <c r="AJ29" i="1"/>
  <c r="AI29" i="1"/>
  <c r="U29" i="1"/>
  <c r="T29" i="1"/>
  <c r="AR28" i="1"/>
  <c r="AP28" i="1"/>
  <c r="AO28" i="1"/>
  <c r="AN28" i="1"/>
  <c r="AM28" i="1"/>
  <c r="AL28" i="1"/>
  <c r="AK28" i="1"/>
  <c r="AJ28" i="1"/>
  <c r="AI28" i="1"/>
  <c r="U28" i="1"/>
  <c r="T28" i="1"/>
  <c r="AR27" i="1"/>
  <c r="AP27" i="1"/>
  <c r="AO27" i="1"/>
  <c r="AN27" i="1"/>
  <c r="AM27" i="1"/>
  <c r="AL27" i="1"/>
  <c r="AK27" i="1"/>
  <c r="AJ27" i="1"/>
  <c r="AI27" i="1"/>
  <c r="U27" i="1"/>
  <c r="T27" i="1"/>
  <c r="AR26" i="1"/>
  <c r="AP26" i="1"/>
  <c r="AO26" i="1"/>
  <c r="AN26" i="1"/>
  <c r="AM26" i="1"/>
  <c r="AL26" i="1"/>
  <c r="AK26" i="1"/>
  <c r="AJ26" i="1"/>
  <c r="AI26" i="1"/>
  <c r="U26" i="1"/>
  <c r="T26" i="1"/>
  <c r="AR25" i="1"/>
  <c r="AP25" i="1"/>
  <c r="AO25" i="1"/>
  <c r="AN25" i="1"/>
  <c r="AM25" i="1"/>
  <c r="AL25" i="1"/>
  <c r="AK25" i="1"/>
  <c r="AJ25" i="1"/>
  <c r="AI25" i="1"/>
  <c r="U25" i="1"/>
  <c r="T25" i="1"/>
  <c r="AR24" i="1"/>
  <c r="AP24" i="1"/>
  <c r="AO24" i="1"/>
  <c r="AN24" i="1"/>
  <c r="AM24" i="1"/>
  <c r="AL24" i="1"/>
  <c r="AK24" i="1"/>
  <c r="AJ24" i="1"/>
  <c r="AI24" i="1"/>
  <c r="U24" i="1"/>
  <c r="T24" i="1"/>
  <c r="AR23" i="1"/>
  <c r="AP23" i="1"/>
  <c r="AO23" i="1"/>
  <c r="AN23" i="1"/>
  <c r="AM23" i="1"/>
  <c r="AL23" i="1"/>
  <c r="AK23" i="1"/>
  <c r="AJ23" i="1"/>
  <c r="AI23" i="1"/>
  <c r="U23" i="1"/>
  <c r="T23" i="1"/>
  <c r="AR22" i="1"/>
  <c r="AP22" i="1"/>
  <c r="AO22" i="1"/>
  <c r="AN22" i="1"/>
  <c r="AM22" i="1"/>
  <c r="AL22" i="1"/>
  <c r="AK22" i="1"/>
  <c r="AJ22" i="1"/>
  <c r="AI22" i="1"/>
  <c r="U22" i="1"/>
  <c r="T22" i="1"/>
  <c r="AR21" i="1"/>
  <c r="AP21" i="1"/>
  <c r="AO21" i="1"/>
  <c r="AN21" i="1"/>
  <c r="AM21" i="1"/>
  <c r="AL21" i="1"/>
  <c r="AK21" i="1"/>
  <c r="AJ21" i="1"/>
  <c r="AI21" i="1"/>
  <c r="U21" i="1"/>
  <c r="T21" i="1"/>
  <c r="AR20" i="1"/>
  <c r="AP20" i="1"/>
  <c r="AO20" i="1"/>
  <c r="AN20" i="1"/>
  <c r="AM20" i="1"/>
  <c r="AL20" i="1"/>
  <c r="AK20" i="1"/>
  <c r="AJ20" i="1"/>
  <c r="AI20" i="1"/>
  <c r="U20" i="1"/>
  <c r="T20" i="1"/>
  <c r="AR19" i="1"/>
  <c r="AP19" i="1"/>
  <c r="AO19" i="1"/>
  <c r="AN19" i="1"/>
  <c r="AM19" i="1"/>
  <c r="AL19" i="1"/>
  <c r="AK19" i="1"/>
  <c r="AJ19" i="1"/>
  <c r="AI19" i="1"/>
  <c r="AD19" i="1"/>
  <c r="U19" i="1"/>
  <c r="T19" i="1"/>
  <c r="N19" i="1"/>
  <c r="D2" i="1"/>
  <c r="D3" i="1" s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Z19" i="1" l="1"/>
  <c r="Z20" i="1"/>
  <c r="Z22" i="1"/>
  <c r="Z21" i="1"/>
  <c r="Z24" i="1"/>
  <c r="Z25" i="1"/>
  <c r="Z26" i="1"/>
  <c r="Z23" i="1"/>
  <c r="Z27" i="1"/>
  <c r="Z30" i="1"/>
  <c r="Z28" i="1"/>
  <c r="Z29" i="1"/>
  <c r="AC28" i="1"/>
  <c r="AC27" i="1"/>
  <c r="AC24" i="1"/>
  <c r="AC19" i="1"/>
  <c r="AC20" i="1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5" i="4"/>
  <c r="E21" i="3" l="1"/>
  <c r="A27" i="3" s="1"/>
  <c r="E20" i="3"/>
  <c r="W27" i="3" s="1"/>
  <c r="E19" i="3"/>
  <c r="T27" i="3" s="1"/>
  <c r="E18" i="3"/>
  <c r="S27" i="3" s="1"/>
  <c r="E15" i="3"/>
  <c r="P27" i="3" s="1"/>
  <c r="E14" i="3"/>
  <c r="O27" i="3" s="1"/>
  <c r="E13" i="3"/>
  <c r="N27" i="3" s="1"/>
  <c r="E12" i="3"/>
  <c r="M27" i="3" s="1"/>
  <c r="E11" i="3"/>
  <c r="U27" i="3" s="1"/>
  <c r="E10" i="3"/>
  <c r="B27" i="3" s="1"/>
  <c r="H4" i="3"/>
  <c r="I4" i="3"/>
  <c r="J27" i="3"/>
  <c r="I27" i="3"/>
  <c r="C27" i="3"/>
  <c r="G27" i="3"/>
  <c r="H27" i="3"/>
  <c r="R27" i="3"/>
  <c r="E16" i="3"/>
  <c r="Q27" i="3" s="1"/>
  <c r="F8" i="3"/>
  <c r="J4" i="3" l="1"/>
</calcChain>
</file>

<file path=xl/sharedStrings.xml><?xml version="1.0" encoding="utf-8"?>
<sst xmlns="http://schemas.openxmlformats.org/spreadsheetml/2006/main" count="20639" uniqueCount="624">
  <si>
    <t>Date</t>
  </si>
  <si>
    <t>Schedule</t>
  </si>
  <si>
    <t>Batch</t>
  </si>
  <si>
    <t>Bin</t>
  </si>
  <si>
    <t>Part</t>
  </si>
  <si>
    <t>Loc</t>
  </si>
  <si>
    <t>W</t>
  </si>
  <si>
    <t>Fin</t>
  </si>
  <si>
    <t>Qty</t>
  </si>
  <si>
    <t>L</t>
  </si>
  <si>
    <t>Info</t>
  </si>
  <si>
    <t>Order Number</t>
  </si>
  <si>
    <t>Assembled</t>
  </si>
  <si>
    <t>Debug</t>
  </si>
  <si>
    <t>Part No</t>
  </si>
  <si>
    <t>Customer</t>
  </si>
  <si>
    <t>Shp Addr City</t>
  </si>
  <si>
    <t>Shp Addr State</t>
  </si>
  <si>
    <t>PONumber</t>
  </si>
  <si>
    <t>Customer Ref</t>
  </si>
  <si>
    <t>Comment</t>
  </si>
  <si>
    <t>Shp Addr Address1</t>
  </si>
  <si>
    <t>Shp Addr Zip Code</t>
  </si>
  <si>
    <t>orderline</t>
  </si>
  <si>
    <t>Req Date</t>
  </si>
  <si>
    <t>SUMP</t>
  </si>
  <si>
    <t>Shim SUMP</t>
  </si>
  <si>
    <t>JE</t>
  </si>
  <si>
    <t>B</t>
  </si>
  <si>
    <t>SGO</t>
  </si>
  <si>
    <t>WI</t>
  </si>
  <si>
    <t>CC</t>
  </si>
  <si>
    <t>T</t>
  </si>
  <si>
    <t>R</t>
  </si>
  <si>
    <t>Batch(Box #)</t>
  </si>
  <si>
    <t>Casing</t>
  </si>
  <si>
    <t>Jamb</t>
  </si>
  <si>
    <t>Width</t>
  </si>
  <si>
    <t>Profile</t>
  </si>
  <si>
    <t>JE is S4S with 1 eased edge</t>
  </si>
  <si>
    <t>CR</t>
  </si>
  <si>
    <t>CF</t>
  </si>
  <si>
    <t>CFBB</t>
  </si>
  <si>
    <t>Description</t>
  </si>
  <si>
    <t>Casing Colonial</t>
  </si>
  <si>
    <t>Casing Ranch</t>
  </si>
  <si>
    <t>Casing Flat</t>
  </si>
  <si>
    <t>Casing Flat w/Back-band</t>
  </si>
  <si>
    <t>Sunrise Part Abreviations</t>
  </si>
  <si>
    <t>Code</t>
  </si>
  <si>
    <t>Group</t>
  </si>
  <si>
    <t>Jamb Eased</t>
  </si>
  <si>
    <t>Jamb Colonial</t>
  </si>
  <si>
    <t>JC</t>
  </si>
  <si>
    <t>Jamb Ranch</t>
  </si>
  <si>
    <t>JR</t>
  </si>
  <si>
    <t>Apron Colonial</t>
  </si>
  <si>
    <t>AC</t>
  </si>
  <si>
    <t>Apron</t>
  </si>
  <si>
    <t>Apron Ranch</t>
  </si>
  <si>
    <t>AR</t>
  </si>
  <si>
    <t>Apron Flat</t>
  </si>
  <si>
    <t>AF</t>
  </si>
  <si>
    <t>Stool-Casing</t>
  </si>
  <si>
    <t>ST 2.25</t>
  </si>
  <si>
    <t>Stool</t>
  </si>
  <si>
    <t>ST 2.875</t>
  </si>
  <si>
    <t>ST 3.25</t>
  </si>
  <si>
    <t>ST 3.5</t>
  </si>
  <si>
    <t>ST 4.0</t>
  </si>
  <si>
    <t>ST</t>
  </si>
  <si>
    <t>Scribe</t>
  </si>
  <si>
    <t>SC</t>
  </si>
  <si>
    <t>Stop Colonial</t>
  </si>
  <si>
    <t>STPC</t>
  </si>
  <si>
    <t>Casing Size</t>
  </si>
  <si>
    <t>3.5" Casing Flat w/Back-band</t>
  </si>
  <si>
    <t>4" Casing Flat</t>
  </si>
  <si>
    <t>Stock</t>
  </si>
  <si>
    <t>Custom</t>
  </si>
  <si>
    <t>PAINT</t>
  </si>
  <si>
    <t>SBP</t>
  </si>
  <si>
    <t>SW</t>
  </si>
  <si>
    <t>SM</t>
  </si>
  <si>
    <t>SP</t>
  </si>
  <si>
    <t>Primer Only</t>
  </si>
  <si>
    <t>PRIME</t>
  </si>
  <si>
    <t>Clearcoat Only</t>
  </si>
  <si>
    <t>CLEAR</t>
  </si>
  <si>
    <t>Finish</t>
  </si>
  <si>
    <t>Scribe Yes or No</t>
  </si>
  <si>
    <t>Yes</t>
  </si>
  <si>
    <t>No</t>
  </si>
  <si>
    <t>Color</t>
  </si>
  <si>
    <t>Te Kulve</t>
  </si>
  <si>
    <t>Order Number(numbers only)</t>
  </si>
  <si>
    <t>Stained Brazilian Pecan</t>
  </si>
  <si>
    <t>Stained Golden Oak</t>
  </si>
  <si>
    <t>Stained Walnut</t>
  </si>
  <si>
    <t>Stained Maple</t>
  </si>
  <si>
    <t>Stained Cherry</t>
  </si>
  <si>
    <t>Stained Provincial</t>
  </si>
  <si>
    <t>White Paint</t>
  </si>
  <si>
    <t>Schedule(todays date with no dashes)</t>
  </si>
  <si>
    <t>City</t>
  </si>
  <si>
    <t>State</t>
  </si>
  <si>
    <t>Luxemburg</t>
  </si>
  <si>
    <t>Customer PO Number</t>
  </si>
  <si>
    <t>Gerrits</t>
  </si>
  <si>
    <t>comment</t>
  </si>
  <si>
    <t>Ship address</t>
  </si>
  <si>
    <t>Zip</t>
  </si>
  <si>
    <t>Request Date</t>
  </si>
  <si>
    <t>Casing Width</t>
  </si>
  <si>
    <t>Jamb Depth</t>
  </si>
  <si>
    <t>Customer casing</t>
  </si>
  <si>
    <t>Shp Addr Add1</t>
  </si>
  <si>
    <t>Shp Addr Zip</t>
  </si>
  <si>
    <t>Line Item</t>
  </si>
  <si>
    <t>-</t>
  </si>
  <si>
    <t>*C*-LINEAL</t>
  </si>
  <si>
    <t>Lineals</t>
  </si>
  <si>
    <t>Quantity</t>
  </si>
  <si>
    <t>Length</t>
  </si>
  <si>
    <t>Lineal</t>
  </si>
  <si>
    <t>Lineal Line Number</t>
  </si>
  <si>
    <t>Jamb Thickness</t>
  </si>
  <si>
    <t>Jamb Width</t>
  </si>
  <si>
    <t>Jamb height</t>
  </si>
  <si>
    <t>Pella</t>
  </si>
  <si>
    <t>Green Bay</t>
  </si>
  <si>
    <t>Pella Xref</t>
  </si>
  <si>
    <t>PO Line</t>
  </si>
  <si>
    <t>End Customer Name</t>
  </si>
  <si>
    <t>Window Depth</t>
  </si>
  <si>
    <t>Wall Depth(JambDepth)</t>
  </si>
  <si>
    <t>Poplar Jamb</t>
  </si>
  <si>
    <t>Calculated Jamb height</t>
  </si>
  <si>
    <t>Batch(Box =)</t>
  </si>
  <si>
    <t>Type</t>
  </si>
  <si>
    <t>4 Sided Window</t>
  </si>
  <si>
    <t>3 Sided Patio Door</t>
  </si>
  <si>
    <t>Date all numbers</t>
  </si>
  <si>
    <t>Start at 22037</t>
  </si>
  <si>
    <t>Formula</t>
  </si>
  <si>
    <t>JE= S4S</t>
  </si>
  <si>
    <t>Jamb Style</t>
  </si>
  <si>
    <t>Calculated Footage</t>
  </si>
  <si>
    <t>13/16</t>
  </si>
  <si>
    <t>14/16</t>
  </si>
  <si>
    <t>15/16</t>
  </si>
  <si>
    <t>Fraction</t>
  </si>
  <si>
    <t>Decimal</t>
  </si>
  <si>
    <t>Pella PO Number</t>
  </si>
  <si>
    <t>Lumber Type</t>
  </si>
  <si>
    <t>Lumber</t>
  </si>
  <si>
    <t>Pine</t>
  </si>
  <si>
    <t>Poplar</t>
  </si>
  <si>
    <t>UNASSEMBLE</t>
  </si>
  <si>
    <t>#A19</t>
  </si>
  <si>
    <t>#A20</t>
  </si>
  <si>
    <t>#A21</t>
  </si>
  <si>
    <t>#A22</t>
  </si>
  <si>
    <t>#A23</t>
  </si>
  <si>
    <t>#A24</t>
  </si>
  <si>
    <t>#A25</t>
  </si>
  <si>
    <t>#A26</t>
  </si>
  <si>
    <t>#A27</t>
  </si>
  <si>
    <t>#A28</t>
  </si>
  <si>
    <t>#A29</t>
  </si>
  <si>
    <t>#A30</t>
  </si>
  <si>
    <t>#A31</t>
  </si>
  <si>
    <t>#A32</t>
  </si>
  <si>
    <t>#A33</t>
  </si>
  <si>
    <t>#A34</t>
  </si>
  <si>
    <t>#A35</t>
  </si>
  <si>
    <t>#A36</t>
  </si>
  <si>
    <t>#A37</t>
  </si>
  <si>
    <t>#A38</t>
  </si>
  <si>
    <t>#A39</t>
  </si>
  <si>
    <t>#A40</t>
  </si>
  <si>
    <t>#A41</t>
  </si>
  <si>
    <t>#A42</t>
  </si>
  <si>
    <t>#A43</t>
  </si>
  <si>
    <t>#A44</t>
  </si>
  <si>
    <t>#A45</t>
  </si>
  <si>
    <t>#A46</t>
  </si>
  <si>
    <t>#A47</t>
  </si>
  <si>
    <t>#A48</t>
  </si>
  <si>
    <t>#A49</t>
  </si>
  <si>
    <t>#A50</t>
  </si>
  <si>
    <t>#A51</t>
  </si>
  <si>
    <t>#A52</t>
  </si>
  <si>
    <t>#A53</t>
  </si>
  <si>
    <t>#A54</t>
  </si>
  <si>
    <t>#A55</t>
  </si>
  <si>
    <t>#A56</t>
  </si>
  <si>
    <t>#A57</t>
  </si>
  <si>
    <t>#A58</t>
  </si>
  <si>
    <t>#A59</t>
  </si>
  <si>
    <t>#A60</t>
  </si>
  <si>
    <t>#A61</t>
  </si>
  <si>
    <t>#A62</t>
  </si>
  <si>
    <t>#A63</t>
  </si>
  <si>
    <t>#A64</t>
  </si>
  <si>
    <t>#A65</t>
  </si>
  <si>
    <t>#A66</t>
  </si>
  <si>
    <t>#A67</t>
  </si>
  <si>
    <t>#A68</t>
  </si>
  <si>
    <t>#A69</t>
  </si>
  <si>
    <t>#A70</t>
  </si>
  <si>
    <t>#A71</t>
  </si>
  <si>
    <t>#A72</t>
  </si>
  <si>
    <t>#A73</t>
  </si>
  <si>
    <t>#A74</t>
  </si>
  <si>
    <t>#A75</t>
  </si>
  <si>
    <t>#A76</t>
  </si>
  <si>
    <t>#A77</t>
  </si>
  <si>
    <t>#A78</t>
  </si>
  <si>
    <t>#IF(A19#"3 sided Patio door", "Unassembled","")</t>
  </si>
  <si>
    <t>#IF(A20#"3 sided Patio door", "Unassembled","")</t>
  </si>
  <si>
    <t>#IF(A21#"3 sided Patio door", "Unassembled","")</t>
  </si>
  <si>
    <t>#IF(A22#"3 sided Patio door", "Unassembled","")</t>
  </si>
  <si>
    <t>#IF(A23#"3 sided Patio door", "Unassembled","")</t>
  </si>
  <si>
    <t>#IF(A24#"3 sided Patio door", "Unassembled","")</t>
  </si>
  <si>
    <t>#IF(A25#"3 sided Patio door", "Unassembled","")</t>
  </si>
  <si>
    <t>#IF(A26#"3 sided Patio door", "Unassembled","")</t>
  </si>
  <si>
    <t>#IF(A27#"3 sided Patio door", "Unassembled","")</t>
  </si>
  <si>
    <t>#IF(A28#"3 sided Patio door", "Unassembled","")</t>
  </si>
  <si>
    <t>#IF(A29#"3 sided Patio door", "Unassembled","")</t>
  </si>
  <si>
    <t>#IF(A30#"3 sided Patio door", "Unassembled","")</t>
  </si>
  <si>
    <t>#IF(A31#"3 sided Patio door", "Unassembled","")</t>
  </si>
  <si>
    <t>#IF(A32#"3 sided Patio door", "Unassembled","")</t>
  </si>
  <si>
    <t>#IF(A33#"3 sided Patio door", "Unassembled","")</t>
  </si>
  <si>
    <t>#IF(A34#"3 sided Patio door", "Unassembled","")</t>
  </si>
  <si>
    <t>#IF(A35#"3 sided Patio door", "Unassembled","")</t>
  </si>
  <si>
    <t>#IF(A36#"3 sided Patio door", "Unassembled","")</t>
  </si>
  <si>
    <t>#IF(A37#"3 sided Patio door", "Unassembled","")</t>
  </si>
  <si>
    <t>#IF(A38#"3 sided Patio door", "Unassembled","")</t>
  </si>
  <si>
    <t>#IF(A39#"3 sided Patio door", "Unassembled","")</t>
  </si>
  <si>
    <t>#IF(A40#"3 sided Patio door", "Unassembled","")</t>
  </si>
  <si>
    <t>#IF(A41#"3 sided Patio door", "Unassembled","")</t>
  </si>
  <si>
    <t>#IF(A42#"3 sided Patio door", "Unassembled","")</t>
  </si>
  <si>
    <t>#IF(A43#"3 sided Patio door", "Unassembled","")</t>
  </si>
  <si>
    <t>#IF(A44#"3 sided Patio door", "Unassembled","")</t>
  </si>
  <si>
    <t>#IF(A45#"3 sided Patio door", "Unassembled","")</t>
  </si>
  <si>
    <t>#IF(A46#"3 sided Patio door", "Unassembled","")</t>
  </si>
  <si>
    <t>#IF(A47#"3 sided Patio door", "Unassembled","")</t>
  </si>
  <si>
    <t>#IF(A48#"3 sided Patio door", "Unassembled","")</t>
  </si>
  <si>
    <t>#IF(A49#"3 sided Patio door", "Unassembled","")</t>
  </si>
  <si>
    <t>#IF(A50#"3 sided Patio door", "Unassembled","")</t>
  </si>
  <si>
    <t>#IF(A51#"3 sided Patio door", "Unassembled","")</t>
  </si>
  <si>
    <t>#IF(A52#"3 sided Patio door", "Unassembled","")</t>
  </si>
  <si>
    <t>#IF(A53#"3 sided Patio door", "Unassembled","")</t>
  </si>
  <si>
    <t>#IF(A54#"3 sided Patio door", "Unassembled","")</t>
  </si>
  <si>
    <t>#IF(A55#"3 sided Patio door", "Unassembled","")</t>
  </si>
  <si>
    <t>#IF(A56#"3 sided Patio door", "Unassembled","")</t>
  </si>
  <si>
    <t>#IF(A57#"3 sided Patio door", "Unassembled","")</t>
  </si>
  <si>
    <t>#IF(A58#"3 sided Patio door", "Unassembled","")</t>
  </si>
  <si>
    <t>#IF(A59#"3 sided Patio door", "Unassembled","")</t>
  </si>
  <si>
    <t>#IF(A60#"3 sided Patio door", "Unassembled","")</t>
  </si>
  <si>
    <t>#IF(A61#"3 sided Patio door", "Unassembled","")</t>
  </si>
  <si>
    <t>#IF(A62#"3 sided Patio door", "Unassembled","")</t>
  </si>
  <si>
    <t>#IF(A63#"3 sided Patio door", "Unassembled","")</t>
  </si>
  <si>
    <t>#IF(A64#"3 sided Patio door", "Unassembled","")</t>
  </si>
  <si>
    <t>#IF(A65#"3 sided Patio door", "Unassembled","")</t>
  </si>
  <si>
    <t>#IF(A66#"3 sided Patio door", "Unassembled","")</t>
  </si>
  <si>
    <t>#IF(A67#"3 sided Patio door", "Unassembled","")</t>
  </si>
  <si>
    <t>#IF(A68#"3 sided Patio door", "Unassembled","")</t>
  </si>
  <si>
    <t>#IF(A69#"3 sided Patio door", "Unassembled","")</t>
  </si>
  <si>
    <t>#IF(A70#"3 sided Patio door", "Unassembled","")</t>
  </si>
  <si>
    <t>#IF(A71#"3 sided Patio door", "Unassembled","")</t>
  </si>
  <si>
    <t>#IF(A72#"3 sided Patio door", "Unassembled","")</t>
  </si>
  <si>
    <t>#IF(A73#"3 sided Patio door", "Unassembled","")</t>
  </si>
  <si>
    <t>#IF(A74#"3 sided Patio door", "Unassembled","")</t>
  </si>
  <si>
    <t>#IF(A75#"3 sided Patio door", "Unassembled","")</t>
  </si>
  <si>
    <t>#IF(A76#"3 sided Patio door", "Unassembled","")</t>
  </si>
  <si>
    <t>#IF(A77#"3 sided Patio door", "Unassembled","")</t>
  </si>
  <si>
    <t>#IF(A78#"3 sided Patio door", "Unassembled","")</t>
  </si>
  <si>
    <t>Drilled</t>
  </si>
  <si>
    <t>JC=Drilled</t>
  </si>
  <si>
    <t>#J19</t>
  </si>
  <si>
    <t>#J20</t>
  </si>
  <si>
    <t>#J21</t>
  </si>
  <si>
    <t>#J22</t>
  </si>
  <si>
    <t>#J23</t>
  </si>
  <si>
    <t>#J24</t>
  </si>
  <si>
    <t>#J25</t>
  </si>
  <si>
    <t>#J26</t>
  </si>
  <si>
    <t>#J27</t>
  </si>
  <si>
    <t>#J28</t>
  </si>
  <si>
    <t>#J29</t>
  </si>
  <si>
    <t>#J30</t>
  </si>
  <si>
    <t>#J31</t>
  </si>
  <si>
    <t>#J32</t>
  </si>
  <si>
    <t>#J33</t>
  </si>
  <si>
    <t>#J34</t>
  </si>
  <si>
    <t>#J35</t>
  </si>
  <si>
    <t>#J36</t>
  </si>
  <si>
    <t>#J37</t>
  </si>
  <si>
    <t>#J38</t>
  </si>
  <si>
    <t>#J39</t>
  </si>
  <si>
    <t>#J40</t>
  </si>
  <si>
    <t>#J41</t>
  </si>
  <si>
    <t>#J42</t>
  </si>
  <si>
    <t>#J43</t>
  </si>
  <si>
    <t>#J44</t>
  </si>
  <si>
    <t>#J45</t>
  </si>
  <si>
    <t>#J46</t>
  </si>
  <si>
    <t>#J47</t>
  </si>
  <si>
    <t>#J48</t>
  </si>
  <si>
    <t>#J49</t>
  </si>
  <si>
    <t>#J50</t>
  </si>
  <si>
    <t>#J51</t>
  </si>
  <si>
    <t>#J52</t>
  </si>
  <si>
    <t>#J53</t>
  </si>
  <si>
    <t>#J54</t>
  </si>
  <si>
    <t>#J55</t>
  </si>
  <si>
    <t>#J56</t>
  </si>
  <si>
    <t>#J57</t>
  </si>
  <si>
    <t>#J58</t>
  </si>
  <si>
    <t>#J59</t>
  </si>
  <si>
    <t>#J60</t>
  </si>
  <si>
    <t>#J61</t>
  </si>
  <si>
    <t>#J62</t>
  </si>
  <si>
    <t>#J63</t>
  </si>
  <si>
    <t>#J64</t>
  </si>
  <si>
    <t>#J65</t>
  </si>
  <si>
    <t>#J66</t>
  </si>
  <si>
    <t>#J67</t>
  </si>
  <si>
    <t>#J68</t>
  </si>
  <si>
    <t>#J69</t>
  </si>
  <si>
    <t>#J70</t>
  </si>
  <si>
    <t>#J71</t>
  </si>
  <si>
    <t>#J72</t>
  </si>
  <si>
    <t>#J73</t>
  </si>
  <si>
    <t>#J74</t>
  </si>
  <si>
    <t>#J75</t>
  </si>
  <si>
    <t>#J76</t>
  </si>
  <si>
    <t>#J77</t>
  </si>
  <si>
    <t>#J78</t>
  </si>
  <si>
    <t>#IF(J19"JE","JE",IF(J19#"Drilled","JC",""))</t>
  </si>
  <si>
    <t>#IF(J19#"JE","JE",IF(J19#"Drilled","JC",""))</t>
  </si>
  <si>
    <t>#IF(J20#"JE","JE",IF(J20#"Drilled","JC",""))</t>
  </si>
  <si>
    <t>#</t>
  </si>
  <si>
    <t>if</t>
  </si>
  <si>
    <t>(</t>
  </si>
  <si>
    <t>J19</t>
  </si>
  <si>
    <t>J20</t>
  </si>
  <si>
    <t>J21</t>
  </si>
  <si>
    <t>J22</t>
  </si>
  <si>
    <t>J23</t>
  </si>
  <si>
    <t>J24</t>
  </si>
  <si>
    <t>J25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</si>
  <si>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</si>
  <si>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</si>
  <si>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</si>
  <si>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</si>
  <si>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</si>
  <si>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</si>
  <si>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</si>
  <si>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</si>
  <si>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</si>
  <si>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J35</t>
  </si>
  <si>
    <t>J36</t>
  </si>
  <si>
    <t>J37</t>
  </si>
  <si>
    <t>J38</t>
  </si>
  <si>
    <t>J39</t>
  </si>
  <si>
    <t>J40</t>
  </si>
  <si>
    <t>J41</t>
  </si>
  <si>
    <t>J42</t>
  </si>
  <si>
    <t>J43</t>
  </si>
  <si>
    <t>J44</t>
  </si>
  <si>
    <t>J45</t>
  </si>
  <si>
    <t>J46</t>
  </si>
  <si>
    <t>J47</t>
  </si>
  <si>
    <t>J48</t>
  </si>
  <si>
    <t>J49</t>
  </si>
  <si>
    <t>J50</t>
  </si>
  <si>
    <t>J51</t>
  </si>
  <si>
    <t>J52</t>
  </si>
  <si>
    <t>J53</t>
  </si>
  <si>
    <t>J54</t>
  </si>
  <si>
    <t>J55</t>
  </si>
  <si>
    <t>J56</t>
  </si>
  <si>
    <t>J57</t>
  </si>
  <si>
    <t>J58</t>
  </si>
  <si>
    <t>J59</t>
  </si>
  <si>
    <t>J60</t>
  </si>
  <si>
    <t>J61</t>
  </si>
  <si>
    <t>J62</t>
  </si>
  <si>
    <t>J63</t>
  </si>
  <si>
    <t>J64</t>
  </si>
  <si>
    <t>J65</t>
  </si>
  <si>
    <t>J66</t>
  </si>
  <si>
    <t>J67</t>
  </si>
  <si>
    <t>J68</t>
  </si>
  <si>
    <t>J69</t>
  </si>
  <si>
    <t>J70</t>
  </si>
  <si>
    <t>J71</t>
  </si>
  <si>
    <t>J72</t>
  </si>
  <si>
    <t>J73</t>
  </si>
  <si>
    <t>J74</t>
  </si>
  <si>
    <t>J75</t>
  </si>
  <si>
    <t>J76</t>
  </si>
  <si>
    <t>J77</t>
  </si>
  <si>
    <t>J78</t>
  </si>
  <si>
    <t>"</t>
  </si>
  <si>
    <t>,</t>
  </si>
  <si>
    <t>)</t>
  </si>
  <si>
    <t>#if(J19#"JE","JE",if(J19#"Drilled","JC",""))</t>
  </si>
  <si>
    <t>Red Oak</t>
  </si>
  <si>
    <t>if(K19#"Red Oak","SGO","SPPN")</t>
  </si>
  <si>
    <t>#IF(K19#"Poplar","PAINT",if(K19#"Red Oak","SGO","SPPN"))</t>
  </si>
  <si>
    <t>#IF(K20#"Poplar","PAINT",if(K19#"Red Oak","SGO","SPPN"))</t>
  </si>
  <si>
    <t>#IF(K21#"Poplar","PAINT",if(K19#"Red Oak","SGO","SPPN"))</t>
  </si>
  <si>
    <t>#IF(K22#"Poplar","PAINT",if(K19#"Red Oak","SGO","SPPN"))</t>
  </si>
  <si>
    <t>#IF(K23#"Poplar","PAINT",if(K19#"Red Oak","SGO","SPPN"))</t>
  </si>
  <si>
    <t>#IF(K24#"Poplar","PAINT",if(K19#"Red Oak","SGO","SPPN"))</t>
  </si>
  <si>
    <t>#IF(K25#"Poplar","PAINT",if(K19#"Red Oak","SGO","SPPN"))</t>
  </si>
  <si>
    <t>#IF(K26#"Poplar","PAINT",if(K19#"Red Oak","SGO","SPPN"))</t>
  </si>
  <si>
    <t>#IF(K27#"Poplar","PAINT",if(K19#"Red Oak","SGO","SPPN"))</t>
  </si>
  <si>
    <t>#IF(K28#"Poplar","PAINT",if(K19#"Red Oak","SGO","SPPN"))</t>
  </si>
  <si>
    <t>#IF(K29#"Poplar","PAINT",if(K19#"Red Oak","SGO","SPPN"))</t>
  </si>
  <si>
    <t>#IF(K30#"Poplar","PAINT",if(K19#"Red Oak","SGO","SPPN"))</t>
  </si>
  <si>
    <t>#IF(K31#"Poplar","PAINT",if(K19#"Red Oak","SGO","SPPN"))</t>
  </si>
  <si>
    <t>#IF(K32#"Poplar","PAINT",if(K19#"Red Oak","SGO","SPPN"))</t>
  </si>
  <si>
    <t>#IF(K33#"Poplar","PAINT",if(K19#"Red Oak","SGO","SPPN"))</t>
  </si>
  <si>
    <t>#IF(K34#"Poplar","PAINT",if(K19#"Red Oak","SGO","SPPN"))</t>
  </si>
  <si>
    <t>#IF(K35#"Poplar","PAINT",if(K19#"Red Oak","SGO","SPPN"))</t>
  </si>
  <si>
    <t>#IF(K36#"Poplar","PAINT",if(K19#"Red Oak","SGO","SPPN"))</t>
  </si>
  <si>
    <t>#IF(K37#"Poplar","PAINT",if(K19#"Red Oak","SGO","SPPN"))</t>
  </si>
  <si>
    <t>#IF(K38#"Poplar","PAINT",if(K19#"Red Oak","SGO","SPPN"))</t>
  </si>
  <si>
    <t>#IF(K39#"Poplar","PAINT",if(K19#"Red Oak","SGO","SPPN"))</t>
  </si>
  <si>
    <t>#IF(K40#"Poplar","PAINT",if(K19#"Red Oak","SGO","SPPN"))</t>
  </si>
  <si>
    <t>#IF(K41#"Poplar","PAINT",if(K19#"Red Oak","SGO","SPPN"))</t>
  </si>
  <si>
    <t>#IF(K42#"Poplar","PAINT",if(K19#"Red Oak","SGO","SPPN"))</t>
  </si>
  <si>
    <t>#IF(K43#"Poplar","PAINT",if(K19#"Red Oak","SGO","SPPN"))</t>
  </si>
  <si>
    <t>#IF(K44#"Poplar","PAINT",if(K19#"Red Oak","SGO","SPPN"))</t>
  </si>
  <si>
    <t>#IF(K45#"Poplar","PAINT",if(K19#"Red Oak","SGO","SPPN"))</t>
  </si>
  <si>
    <t>#IF(K46#"Poplar","PAINT",if(K19#"Red Oak","SGO","SPPN"))</t>
  </si>
  <si>
    <t>#IF(K47#"Poplar","PAINT",if(K19#"Red Oak","SGO","SPPN"))</t>
  </si>
  <si>
    <t>#IF(K48#"Poplar","PAINT",if(K19#"Red Oak","SGO","SPPN"))</t>
  </si>
  <si>
    <t>#IF(K49#"Poplar","PAINT",if(K19#"Red Oak","SGO","SPPN"))</t>
  </si>
  <si>
    <t>#IF(K50#"Poplar","PAINT",if(K19#"Red Oak","SGO","SPPN"))</t>
  </si>
  <si>
    <t>#IF(K51#"Poplar","PAINT",if(K19#"Red Oak","SGO","SPPN"))</t>
  </si>
  <si>
    <t>#IF(K52#"Poplar","PAINT",if(K19#"Red Oak","SGO","SPPN"))</t>
  </si>
  <si>
    <t>#IF(K53#"Poplar","PAINT",if(K19#"Red Oak","SGO","SPPN"))</t>
  </si>
  <si>
    <t>#IF(K54#"Poplar","PAINT",if(K19#"Red Oak","SGO","SPPN"))</t>
  </si>
  <si>
    <t>#IF(K55#"Poplar","PAINT",if(K19#"Red Oak","SGO","SPPN"))</t>
  </si>
  <si>
    <t>#IF(K56#"Poplar","PAINT",if(K19#"Red Oak","SGO","SPPN"))</t>
  </si>
  <si>
    <t>#IF(K57#"Poplar","PAINT",if(K19#"Red Oak","SGO","SPPN"))</t>
  </si>
  <si>
    <t>#IF(K58#"Poplar","PAINT",if(K19#"Red Oak","SGO","SPPN"))</t>
  </si>
  <si>
    <t>#IF(K59#"Poplar","PAINT",if(K19#"Red Oak","SGO","SPPN"))</t>
  </si>
  <si>
    <t>#IF(K60#"Poplar","PAINT",if(K19#"Red Oak","SGO","SPPN"))</t>
  </si>
  <si>
    <t>#IF(K61#"Poplar","PAINT",if(K19#"Red Oak","SGO","SPPN"))</t>
  </si>
  <si>
    <t>#IF(K62#"Poplar","PAINT",if(K19#"Red Oak","SGO","SPPN"))</t>
  </si>
  <si>
    <t>#IF(K63#"Poplar","PAINT",if(K19#"Red Oak","SGO","SPPN"))</t>
  </si>
  <si>
    <t>#IF(K64#"Poplar","PAINT",if(K19#"Red Oak","SGO","SPPN"))</t>
  </si>
  <si>
    <t>#IF(K65#"Poplar","PAINT",if(K19#"Red Oak","SGO","SPPN"))</t>
  </si>
  <si>
    <t>#IF(K66#"Poplar","PAINT",if(K19#"Red Oak","SGO","SPPN"))</t>
  </si>
  <si>
    <t>#IF(K67#"Poplar","PAINT",if(K19#"Red Oak","SGO","SPPN"))</t>
  </si>
  <si>
    <t>#IF(K68#"Poplar","PAINT",if(K19#"Red Oak","SGO","SPPN"))</t>
  </si>
  <si>
    <t>#IF(K69#"Poplar","PAINT",if(K19#"Red Oak","SGO","SPPN"))</t>
  </si>
  <si>
    <t>#IF(K70#"Poplar","PAINT",if(K19#"Red Oak","SGO","SPPN"))</t>
  </si>
  <si>
    <t>#IF(K71#"Poplar","PAINT",if(K19#"Red Oak","SGO","SPPN"))</t>
  </si>
  <si>
    <t>#IF(K72#"Poplar","PAINT",if(K19#"Red Oak","SGO","SPPN"))</t>
  </si>
  <si>
    <t>#IF(K73#"Poplar","PAINT",if(K19#"Red Oak","SGO","SPPN"))</t>
  </si>
  <si>
    <t>#IF(K74#"Poplar","PAINT",if(K19#"Red Oak","SGO","SPPN"))</t>
  </si>
  <si>
    <t>#IF(K75#"Poplar","PAINT",if(K19#"Red Oak","SGO","SPPN"))</t>
  </si>
  <si>
    <t>#IF(K76#"Poplar","PAINT",if(K19#"Red Oak","SGO","SPPN"))</t>
  </si>
  <si>
    <t>#IF(K77#"Poplar","PAINT",if(K19#"Red Oak","SGO","SPPN"))</t>
  </si>
  <si>
    <t>#IF(K78#"Poplar","PAINT",if(K19#"Red Oak","SGO","SPPN"))</t>
  </si>
  <si>
    <t>NONE</t>
  </si>
  <si>
    <t>Order NumLer</t>
  </si>
  <si>
    <t>Maple</t>
  </si>
  <si>
    <t>%IF(K19%"Poplar","PAINT",IF(K19%"Red Oak","SGO","SPPN"))</t>
  </si>
  <si>
    <t>%IF(K20%"Poplar","PAINT",IF(K19%"Red Oak","SGO","SPPN"))</t>
  </si>
  <si>
    <t>%IF(K21%"Poplar","PAINT",IF(K19%"Red Oak","SGO","SPPN"))</t>
  </si>
  <si>
    <t>%IF(K22%"Poplar","PAINT",IF(K19%"Red Oak","SGO","SPPN"))</t>
  </si>
  <si>
    <t>%IF(K23%"Poplar","PAINT",IF(K19%"Red Oak","SGO","SPPN"))</t>
  </si>
  <si>
    <t>%IF(K24%"Poplar","PAINT",IF(K19%"Red Oak","SGO","SPPN"))</t>
  </si>
  <si>
    <t>%IF(K25%"Poplar","PAINT",IF(K19%"Red Oak","SGO","SPPN"))</t>
  </si>
  <si>
    <t>%IF(K26%"Poplar","PAINT",IF(K19%"Red Oak","SGO","SPPN"))</t>
  </si>
  <si>
    <t>%IF(K27%"Poplar","PAINT",IF(K19%"Red Oak","SGO","SPPN"))</t>
  </si>
  <si>
    <t>%IF(K28%"Poplar","PAINT",IF(K19%"Red Oak","SGO","SPPN"))</t>
  </si>
  <si>
    <t>%IF(K29%"Poplar","PAINT",IF(K19%"Red Oak","SGO","SPPN"))</t>
  </si>
  <si>
    <t>%IF(K30%"Poplar","PAINT",IF(K19%"Red Oak","SGO","SPPN"))</t>
  </si>
  <si>
    <t>%IF(K31%"Poplar","PAINT",IF(K19%"Red Oak","SGO","SPPN"))</t>
  </si>
  <si>
    <t>%IF(K32%"Poplar","PAINT",IF(K19%"Red Oak","SGO","SPPN"))</t>
  </si>
  <si>
    <t>%IF(K33%"Poplar","PAINT",IF(K19%"Red Oak","SGO","SPPN"))</t>
  </si>
  <si>
    <t>%IF(K34%"Poplar","PAINT",IF(K19%"Red Oak","SGO","SPPN"))</t>
  </si>
  <si>
    <t>%IF(K35%"Poplar","PAINT",IF(K19%"Red Oak","SGO","SPPN"))</t>
  </si>
  <si>
    <t>%IF(K36%"Poplar","PAINT",IF(K19%"Red Oak","SGO","SPPN"))</t>
  </si>
  <si>
    <t>%IF(K37%"Poplar","PAINT",IF(K19%"Red Oak","SGO","SPPN"))</t>
  </si>
  <si>
    <t>%IF(K38%"Poplar","PAINT",IF(K19%"Red Oak","SGO","SPPN"))</t>
  </si>
  <si>
    <t>%IF(K39%"Poplar","PAINT",IF(K19%"Red Oak","SGO","SPPN"))</t>
  </si>
  <si>
    <t>%IF(K40%"Poplar","PAINT",IF(K19%"Red Oak","SGO","SPPN"))</t>
  </si>
  <si>
    <t>%IF(K41%"Poplar","PAINT",IF(K19%"Red Oak","SGO","SPPN"))</t>
  </si>
  <si>
    <t>%IF(K42%"Poplar","PAINT",IF(K19%"Red Oak","SGO","SPPN"))</t>
  </si>
  <si>
    <t>%IF(K43%"Poplar","PAINT",IF(K19%"Red Oak","SGO","SPPN"))</t>
  </si>
  <si>
    <t>%IF(K44%"Poplar","PAINT",IF(K19%"Red Oak","SGO","SPPN"))</t>
  </si>
  <si>
    <t>%IF(K45%"Poplar","PAINT",IF(K19%"Red Oak","SGO","SPPN"))</t>
  </si>
  <si>
    <t>%IF(K46%"Poplar","PAINT",IF(K19%"Red Oak","SGO","SPPN"))</t>
  </si>
  <si>
    <t>%IF(K47%"Poplar","PAINT",IF(K19%"Red Oak","SGO","SPPN"))</t>
  </si>
  <si>
    <t>%IF(K48%"Poplar","PAINT",IF(K19%"Red Oak","SGO","SPPN"))</t>
  </si>
  <si>
    <t>%IF(K49%"Poplar","PAINT",IF(K19%"Red Oak","SGO","SPPN"))</t>
  </si>
  <si>
    <t>%IF(K50%"Poplar","PAINT",IF(K19%"Red Oak","SGO","SPPN"))</t>
  </si>
  <si>
    <t>%IF(K51%"Poplar","PAINT",IF(K19%"Red Oak","SGO","SPPN"))</t>
  </si>
  <si>
    <t>%IF(K52%"Poplar","PAINT",IF(K19%"Red Oak","SGO","SPPN"))</t>
  </si>
  <si>
    <t>%IF(K53%"Poplar","PAINT",IF(K19%"Red Oak","SGO","SPPN"))</t>
  </si>
  <si>
    <t>%IF(K54%"Poplar","PAINT",IF(K19%"Red Oak","SGO","SPPN"))</t>
  </si>
  <si>
    <t>%IF(K55%"Poplar","PAINT",IF(K19%"Red Oak","SGO","SPPN"))</t>
  </si>
  <si>
    <t>%IF(K56%"Poplar","PAINT",IF(K19%"Red Oak","SGO","SPPN"))</t>
  </si>
  <si>
    <t>%IF(K57%"Poplar","PAINT",IF(K19%"Red Oak","SGO","SPPN"))</t>
  </si>
  <si>
    <t>%IF(K58%"Poplar","PAINT",IF(K19%"Red Oak","SGO","SPPN"))</t>
  </si>
  <si>
    <t>%IF(K59%"Poplar","PAINT",IF(K19%"Red Oak","SGO","SPPN"))</t>
  </si>
  <si>
    <t>%IF(K60%"Poplar","PAINT",IF(K19%"Red Oak","SGO","SPPN"))</t>
  </si>
  <si>
    <t>%IF(K61%"Poplar","PAINT",IF(K19%"Red Oak","SGO","SPPN"))</t>
  </si>
  <si>
    <t>%IF(K62%"Poplar","PAINT",IF(K19%"Red Oak","SGO","SPPN"))</t>
  </si>
  <si>
    <t>%IF(K63%"Poplar","PAINT",IF(K19%"Red Oak","SGO","SPPN"))</t>
  </si>
  <si>
    <t>%IF(K64%"Poplar","PAINT",IF(K19%"Red Oak","SGO","SPPN"))</t>
  </si>
  <si>
    <t>%IF(K65%"Poplar","PAINT",IF(K19%"Red Oak","SGO","SPPN"))</t>
  </si>
  <si>
    <t>%IF(K66%"Poplar","PAINT",IF(K19%"Red Oak","SGO","SPPN"))</t>
  </si>
  <si>
    <t>%IF(K67%"Poplar","PAINT",IF(K19%"Red Oak","SGO","SPPN"))</t>
  </si>
  <si>
    <t>%IF(K68%"Poplar","PAINT",IF(K19%"Red Oak","SGO","SPPN"))</t>
  </si>
  <si>
    <t>%IF(K69%"Poplar","PAINT",IF(K19%"Red Oak","SGO","SPPN"))</t>
  </si>
  <si>
    <t>%IF(K70%"Poplar","PAINT",IF(K19%"Red Oak","SGO","SPPN"))</t>
  </si>
  <si>
    <t>%IF(K71%"Poplar","PAINT",IF(K19%"Red Oak","SGO","SPPN"))</t>
  </si>
  <si>
    <t>%IF(K72%"Poplar","PAINT",IF(K19%"Red Oak","SGO","SPPN"))</t>
  </si>
  <si>
    <t>%IF(K73%"Poplar","PAINT",IF(K19%"Red Oak","SGO","SPPN"))</t>
  </si>
  <si>
    <t>%IF(K74%"Poplar","PAINT",IF(K19%"Red Oak","SGO","SPPN"))</t>
  </si>
  <si>
    <t>%IF(K75%"Poplar","PAINT",IF(K19%"Red Oak","SGO","SPPN"))</t>
  </si>
  <si>
    <t>%IF(K76%"Poplar","PAINT",IF(K19%"Red Oak","SGO","SPPN"))</t>
  </si>
  <si>
    <t>%IF(K77%"Poplar","PAINT",IF(K19%"Red Oak","SGO","SPPN"))</t>
  </si>
  <si>
    <t>%IF(K78%"Poplar","PAINT",IF(K19%"Red Oak","SGO","SPPN"))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</si>
  <si>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</si>
  <si>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</si>
  <si>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</si>
  <si>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</si>
  <si>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</si>
  <si>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</si>
  <si>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</si>
  <si>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</si>
  <si>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</si>
  <si>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</si>
  <si>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</si>
  <si>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</si>
  <si>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</si>
  <si>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</si>
  <si>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</si>
  <si>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</si>
  <si>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</si>
  <si>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</si>
  <si>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</si>
  <si>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</si>
  <si>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</si>
  <si>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</si>
  <si>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</si>
  <si>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</si>
  <si>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</si>
  <si>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</si>
  <si>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</si>
  <si>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</si>
  <si>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</si>
  <si>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</si>
  <si>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</si>
  <si>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</si>
  <si>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</si>
  <si>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</si>
  <si>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</si>
  <si>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</si>
  <si>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K55</t>
  </si>
  <si>
    <t>K56</t>
  </si>
  <si>
    <t>K57</t>
  </si>
  <si>
    <t>K58</t>
  </si>
  <si>
    <t>K59</t>
  </si>
  <si>
    <t>K60</t>
  </si>
  <si>
    <t>K61</t>
  </si>
  <si>
    <t>K62</t>
  </si>
  <si>
    <t>K63</t>
  </si>
  <si>
    <t>K64</t>
  </si>
  <si>
    <t>K65</t>
  </si>
  <si>
    <t>K66</t>
  </si>
  <si>
    <t>K67</t>
  </si>
  <si>
    <t>K68</t>
  </si>
  <si>
    <t>K69</t>
  </si>
  <si>
    <t>K70</t>
  </si>
  <si>
    <t>K71</t>
  </si>
  <si>
    <t>K72</t>
  </si>
  <si>
    <t>K73</t>
  </si>
  <si>
    <t>K74</t>
  </si>
  <si>
    <t>K75</t>
  </si>
  <si>
    <t>K76</t>
  </si>
  <si>
    <t>K77</t>
  </si>
  <si>
    <t>K78</t>
  </si>
  <si>
    <t>%</t>
  </si>
  <si>
    <t>IF</t>
  </si>
  <si>
    <t>SPPN</t>
  </si>
  <si>
    <t>)))</t>
  </si>
  <si>
    <t>%IF</t>
  </si>
  <si>
    <t>PBROWN</t>
  </si>
  <si>
    <t>VWHITE</t>
  </si>
  <si>
    <t>PWHITE</t>
  </si>
  <si>
    <t>LINENW</t>
  </si>
  <si>
    <t>BRIGHTW</t>
  </si>
  <si>
    <t>Paint and Stained gets $.75 extra per foot on jamb bill, Scribe $/LF</t>
  </si>
  <si>
    <t>PROV</t>
  </si>
  <si>
    <t>EAMER</t>
  </si>
  <si>
    <t>GOAK</t>
  </si>
  <si>
    <t>PBLACK</t>
  </si>
  <si>
    <t>PBLACKSTAIN</t>
  </si>
  <si>
    <t>Lutheran Home 25</t>
  </si>
  <si>
    <t>4093RN153</t>
  </si>
  <si>
    <t>4093RN153-020</t>
  </si>
  <si>
    <t>4093RN153-025</t>
  </si>
  <si>
    <t>4093RN153-026</t>
  </si>
  <si>
    <t>4093RN153-045</t>
  </si>
  <si>
    <t>4093RN153-046</t>
  </si>
  <si>
    <t>4093RN153-050</t>
  </si>
  <si>
    <t>4093RN153-055</t>
  </si>
  <si>
    <t>4093RN153-056</t>
  </si>
  <si>
    <t>4093RN153-060</t>
  </si>
  <si>
    <t>4093RN153-061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</si>
</sst>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\ ??/16"/>
    <numFmt numFmtId="165" formatCode="0.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5">
    <xf numFmtId="0" fontId="0" fillId="0" borderId="0" xfId="0"/>
    <xf numFmtId="14" fontId="0" fillId="0" borderId="0" xfId="0" applyNumberFormat="1"/>
    <xf numFmtId="0" fontId="18" fillId="0" borderId="0" xfId="0" applyFont="1"/>
    <xf numFmtId="0" fontId="19" fillId="0" borderId="0" xfId="0" applyFont="1"/>
    <xf numFmtId="0" fontId="0" fillId="33" borderId="0" xfId="0" applyFill="1"/>
    <xf numFmtId="0" fontId="0" fillId="0" borderId="0" xfId="0" applyAlignment="1">
      <alignment horizontal="right"/>
    </xf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4" borderId="10" xfId="0" applyFill="1" applyBorder="1" applyAlignment="1">
      <alignment horizontal="center"/>
    </xf>
    <xf numFmtId="14" fontId="0" fillId="34" borderId="10" xfId="0" applyNumberForma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14" fontId="0" fillId="33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33" borderId="11" xfId="0" applyFill="1" applyBorder="1"/>
    <xf numFmtId="0" fontId="16" fillId="0" borderId="0" xfId="0" applyFont="1"/>
    <xf numFmtId="14" fontId="0" fillId="0" borderId="0" xfId="0" applyNumberFormat="1" applyAlignment="1">
      <alignment horizontal="right"/>
    </xf>
    <xf numFmtId="0" fontId="16" fillId="0" borderId="0" xfId="0" applyFont="1" applyAlignment="1">
      <alignment horizontal="right"/>
    </xf>
    <xf numFmtId="0" fontId="0" fillId="0" borderId="10" xfId="0" applyBorder="1" applyAlignment="1">
      <alignment horizontal="right"/>
    </xf>
    <xf numFmtId="0" fontId="0" fillId="0" borderId="10" xfId="0" applyBorder="1" applyAlignment="1">
      <alignment horizontal="right" vertical="center"/>
    </xf>
    <xf numFmtId="0" fontId="0" fillId="35" borderId="10" xfId="0" applyFill="1" applyBorder="1" applyAlignment="1">
      <alignment horizontal="right"/>
    </xf>
    <xf numFmtId="14" fontId="0" fillId="35" borderId="10" xfId="0" applyNumberFormat="1" applyFill="1" applyBorder="1" applyAlignment="1">
      <alignment horizontal="right"/>
    </xf>
    <xf numFmtId="0" fontId="0" fillId="35" borderId="0" xfId="0" applyFill="1"/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36" borderId="0" xfId="0" applyFill="1" applyAlignment="1">
      <alignment horizontal="center"/>
    </xf>
    <xf numFmtId="2" fontId="0" fillId="36" borderId="0" xfId="0" applyNumberFormat="1" applyFill="1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quotePrefix="1"/>
    <xf numFmtId="0" fontId="20" fillId="0" borderId="0" xfId="0" applyFont="1" applyAlignment="1">
      <alignment horizontal="right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1" defaultTableStyle="TableStyleMedium2" defaultPivotStyle="PivotStyleLight16">
    <tableStyle name="Invisible" pivot="0" table="0" count="0" xr9:uid="{1680613C-C710-4ED5-8E96-68E5A0657B3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104774</xdr:rowOff>
    </xdr:from>
    <xdr:to>
      <xdr:col>1</xdr:col>
      <xdr:colOff>180975</xdr:colOff>
      <xdr:row>3</xdr:row>
      <xdr:rowOff>180974</xdr:rowOff>
    </xdr:to>
    <xdr:sp macro="[0]!Reset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775" y="295274"/>
          <a:ext cx="11049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RESET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FORM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4</xdr:row>
          <xdr:rowOff>171450</xdr:rowOff>
        </xdr:from>
        <xdr:to>
          <xdr:col>1</xdr:col>
          <xdr:colOff>209550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978"/>
  <sheetViews>
    <sheetView tabSelected="1" zoomScale="90" zoomScaleNormal="90" workbookViewId="0">
      <selection activeCell="E28" sqref="E28"/>
    </sheetView>
  </sheetViews>
  <sheetFormatPr defaultRowHeight="15" x14ac:dyDescent="0.25"/>
  <cols>
    <col min="1" max="1" width="15.42578125" bestFit="1" customWidth="1"/>
    <col min="2" max="2" width="14.7109375" bestFit="1" customWidth="1"/>
    <col min="3" max="3" width="15.28515625" customWidth="1"/>
    <col min="4" max="4" width="22.7109375" style="5" bestFit="1" customWidth="1"/>
    <col min="5" max="6" width="17.140625" style="5" customWidth="1"/>
    <col min="7" max="7" width="14.7109375" style="5" customWidth="1"/>
    <col min="8" max="8" width="18.140625" style="5" customWidth="1"/>
    <col min="9" max="9" width="17.140625" style="5" customWidth="1"/>
    <col min="10" max="12" width="16.7109375" style="5" customWidth="1"/>
    <col min="13" max="13" width="22.140625" customWidth="1"/>
    <col min="14" max="14" width="18.140625" bestFit="1" customWidth="1"/>
    <col min="21" max="21" width="15.42578125" customWidth="1"/>
    <col min="25" max="25" width="9.7109375" customWidth="1"/>
    <col min="26" max="26" width="10.28515625" customWidth="1"/>
    <col min="27" max="27" width="13.85546875" customWidth="1"/>
    <col min="28" max="28" width="8.85546875" customWidth="1"/>
    <col min="29" max="29" width="35.42578125" bestFit="1" customWidth="1"/>
    <col min="31" max="31" width="15.5703125" customWidth="1"/>
    <col min="32" max="32" width="20.5703125" customWidth="1"/>
    <col min="35" max="35" width="20.42578125" customWidth="1"/>
    <col min="36" max="36" width="18.85546875" customWidth="1"/>
    <col min="37" max="37" width="22.5703125" customWidth="1"/>
    <col min="38" max="38" width="25.85546875" customWidth="1"/>
    <col min="44" max="44" width="16.42578125" customWidth="1"/>
    <col min="52" max="52" width="12.7109375" customWidth="1"/>
    <col min="53" max="53" width="12.85546875" customWidth="1"/>
    <col min="65" max="65" width="12.5703125" customWidth="1"/>
    <col min="67" max="67" width="23.5703125" customWidth="1"/>
    <col min="68" max="68" width="9.7109375" customWidth="1"/>
    <col min="71" max="71" width="24.42578125" bestFit="1" customWidth="1"/>
    <col min="75" max="75" width="21.7109375" bestFit="1" customWidth="1"/>
    <col min="76" max="76" width="15.5703125" customWidth="1"/>
  </cols>
  <sheetData>
    <row r="1" spans="3:73" x14ac:dyDescent="0.25">
      <c r="C1" s="28" t="s">
        <v>151</v>
      </c>
      <c r="D1" s="28" t="s">
        <v>152</v>
      </c>
    </row>
    <row r="2" spans="3:73" x14ac:dyDescent="0.25">
      <c r="C2" s="29">
        <v>6.25E-2</v>
      </c>
      <c r="D2" s="28">
        <f>1/16</f>
        <v>6.25E-2</v>
      </c>
      <c r="G2" s="5" t="s">
        <v>1</v>
      </c>
      <c r="H2" s="21">
        <v>26053</v>
      </c>
      <c r="I2" s="5" t="s">
        <v>143</v>
      </c>
      <c r="AZ2" t="s">
        <v>139</v>
      </c>
      <c r="BA2" t="s">
        <v>36</v>
      </c>
      <c r="BB2" t="s">
        <v>155</v>
      </c>
      <c r="BC2" t="s">
        <v>89</v>
      </c>
    </row>
    <row r="3" spans="3:73" x14ac:dyDescent="0.25">
      <c r="C3" s="29">
        <v>0.125</v>
      </c>
      <c r="D3" s="30">
        <f>D2+1/16</f>
        <v>0.125</v>
      </c>
      <c r="G3" s="5" t="s">
        <v>126</v>
      </c>
      <c r="H3" s="20">
        <v>0.6875</v>
      </c>
      <c r="AZ3" t="s">
        <v>140</v>
      </c>
      <c r="BA3" t="s">
        <v>27</v>
      </c>
      <c r="BB3" t="s">
        <v>156</v>
      </c>
      <c r="BC3" t="s">
        <v>473</v>
      </c>
      <c r="BU3" s="2"/>
    </row>
    <row r="4" spans="3:73" x14ac:dyDescent="0.25">
      <c r="C4" s="29">
        <v>0.1875</v>
      </c>
      <c r="D4" s="30">
        <f t="shared" ref="D4:D16" si="0">D3+1/16</f>
        <v>0.1875</v>
      </c>
      <c r="G4" s="5" t="s">
        <v>90</v>
      </c>
      <c r="H4" s="19" t="s">
        <v>92</v>
      </c>
      <c r="AZ4" t="s">
        <v>141</v>
      </c>
      <c r="BA4" t="s">
        <v>279</v>
      </c>
      <c r="BB4" t="s">
        <v>157</v>
      </c>
      <c r="BC4" t="s">
        <v>86</v>
      </c>
      <c r="BU4" s="2"/>
    </row>
    <row r="5" spans="3:73" x14ac:dyDescent="0.25">
      <c r="C5" s="29">
        <v>0.25</v>
      </c>
      <c r="D5" s="30">
        <f t="shared" si="0"/>
        <v>0.25</v>
      </c>
      <c r="G5" s="5" t="s">
        <v>95</v>
      </c>
      <c r="H5" s="21" t="s">
        <v>613</v>
      </c>
      <c r="BB5" t="s">
        <v>411</v>
      </c>
      <c r="BC5" t="s">
        <v>602</v>
      </c>
      <c r="BU5" s="2"/>
    </row>
    <row r="6" spans="3:73" x14ac:dyDescent="0.25">
      <c r="C6" s="29">
        <v>0.3125</v>
      </c>
      <c r="D6" s="30">
        <f t="shared" si="0"/>
        <v>0.3125</v>
      </c>
      <c r="G6" s="5" t="s">
        <v>133</v>
      </c>
      <c r="H6" s="21" t="s">
        <v>612</v>
      </c>
      <c r="BB6" t="s">
        <v>475</v>
      </c>
      <c r="BC6" t="s">
        <v>603</v>
      </c>
      <c r="BU6" s="2"/>
    </row>
    <row r="7" spans="3:73" x14ac:dyDescent="0.25">
      <c r="C7" s="29">
        <v>0.375</v>
      </c>
      <c r="D7" s="30">
        <f t="shared" si="0"/>
        <v>0.375</v>
      </c>
      <c r="G7" s="5" t="s">
        <v>104</v>
      </c>
      <c r="H7" s="19" t="s">
        <v>130</v>
      </c>
      <c r="BC7" t="s">
        <v>610</v>
      </c>
      <c r="BU7" s="2"/>
    </row>
    <row r="8" spans="3:73" x14ac:dyDescent="0.25">
      <c r="C8" s="29">
        <v>0.4375</v>
      </c>
      <c r="D8" s="30">
        <f t="shared" si="0"/>
        <v>0.4375</v>
      </c>
      <c r="G8" s="5" t="s">
        <v>105</v>
      </c>
      <c r="H8" s="19" t="s">
        <v>30</v>
      </c>
      <c r="BC8" t="s">
        <v>604</v>
      </c>
      <c r="BD8" t="s">
        <v>606</v>
      </c>
      <c r="BU8" s="2"/>
    </row>
    <row r="9" spans="3:73" x14ac:dyDescent="0.25">
      <c r="C9" s="29">
        <v>0.5</v>
      </c>
      <c r="D9" s="30">
        <f t="shared" si="0"/>
        <v>0.5</v>
      </c>
      <c r="G9" s="5" t="s">
        <v>153</v>
      </c>
      <c r="H9" s="21">
        <v>4091142613</v>
      </c>
      <c r="BC9" t="s">
        <v>605</v>
      </c>
      <c r="BU9" s="2"/>
    </row>
    <row r="10" spans="3:73" x14ac:dyDescent="0.25">
      <c r="C10" s="29">
        <v>0.5625</v>
      </c>
      <c r="D10" s="30">
        <f t="shared" si="0"/>
        <v>0.5625</v>
      </c>
      <c r="G10" s="5" t="s">
        <v>20</v>
      </c>
      <c r="H10" s="19"/>
      <c r="BC10" t="s">
        <v>601</v>
      </c>
      <c r="BU10" s="2"/>
    </row>
    <row r="11" spans="3:73" x14ac:dyDescent="0.25">
      <c r="C11" s="29">
        <v>0.625</v>
      </c>
      <c r="D11" s="30">
        <f t="shared" si="0"/>
        <v>0.625</v>
      </c>
      <c r="G11" s="5" t="s">
        <v>110</v>
      </c>
      <c r="H11" s="19" t="s">
        <v>129</v>
      </c>
      <c r="BC11" t="s">
        <v>607</v>
      </c>
      <c r="BU11" s="2"/>
    </row>
    <row r="12" spans="3:73" x14ac:dyDescent="0.25">
      <c r="C12" s="29">
        <v>0.6875</v>
      </c>
      <c r="D12" s="30">
        <f t="shared" si="0"/>
        <v>0.6875</v>
      </c>
      <c r="G12" s="5" t="s">
        <v>111</v>
      </c>
      <c r="H12" s="19">
        <v>54201</v>
      </c>
      <c r="BC12" t="s">
        <v>608</v>
      </c>
      <c r="BU12" s="2"/>
    </row>
    <row r="13" spans="3:73" x14ac:dyDescent="0.25">
      <c r="C13" s="29">
        <v>0.75</v>
      </c>
      <c r="D13" s="30">
        <f t="shared" si="0"/>
        <v>0.75</v>
      </c>
      <c r="G13" s="5" t="s">
        <v>112</v>
      </c>
      <c r="H13" s="22">
        <v>46135</v>
      </c>
      <c r="BC13" t="s">
        <v>609</v>
      </c>
    </row>
    <row r="14" spans="3:73" x14ac:dyDescent="0.25">
      <c r="C14" s="28" t="s">
        <v>148</v>
      </c>
      <c r="D14" s="30">
        <f t="shared" si="0"/>
        <v>0.8125</v>
      </c>
      <c r="G14" s="5" t="s">
        <v>0</v>
      </c>
      <c r="H14" s="21">
        <v>129</v>
      </c>
      <c r="I14" s="17" t="s">
        <v>142</v>
      </c>
      <c r="J14" s="5" t="s">
        <v>280</v>
      </c>
      <c r="BC14" t="s">
        <v>611</v>
      </c>
    </row>
    <row r="15" spans="3:73" x14ac:dyDescent="0.25">
      <c r="C15" s="28" t="s">
        <v>149</v>
      </c>
      <c r="D15" s="30">
        <f t="shared" si="0"/>
        <v>0.875</v>
      </c>
      <c r="J15" s="5" t="s">
        <v>145</v>
      </c>
      <c r="BC15" t="s">
        <v>88</v>
      </c>
    </row>
    <row r="16" spans="3:73" x14ac:dyDescent="0.25">
      <c r="C16" s="28" t="s">
        <v>150</v>
      </c>
      <c r="D16" s="30">
        <f t="shared" si="0"/>
        <v>0.9375</v>
      </c>
    </row>
    <row r="17" spans="1:80" x14ac:dyDescent="0.25">
      <c r="F17" s="5" t="s">
        <v>144</v>
      </c>
      <c r="K17" s="33"/>
      <c r="M17" t="s">
        <v>144</v>
      </c>
      <c r="AF17" t="s">
        <v>158</v>
      </c>
    </row>
    <row r="18" spans="1:80" x14ac:dyDescent="0.25">
      <c r="A18" s="16" t="s">
        <v>139</v>
      </c>
      <c r="B18" s="16" t="s">
        <v>132</v>
      </c>
      <c r="C18" s="16" t="s">
        <v>131</v>
      </c>
      <c r="D18" s="18" t="s">
        <v>135</v>
      </c>
      <c r="E18" s="18" t="s">
        <v>134</v>
      </c>
      <c r="F18" s="18" t="s">
        <v>114</v>
      </c>
      <c r="G18" s="18" t="s">
        <v>127</v>
      </c>
      <c r="H18" s="18" t="s">
        <v>128</v>
      </c>
      <c r="I18" s="18" t="s">
        <v>122</v>
      </c>
      <c r="J18" s="18" t="s">
        <v>146</v>
      </c>
      <c r="K18" s="18" t="s">
        <v>154</v>
      </c>
      <c r="L18" s="18" t="s">
        <v>89</v>
      </c>
      <c r="M18" s="16" t="s">
        <v>137</v>
      </c>
      <c r="N18" s="18" t="s">
        <v>147</v>
      </c>
      <c r="T18" s="16" t="s">
        <v>0</v>
      </c>
      <c r="U18" s="16" t="s">
        <v>1</v>
      </c>
      <c r="V18" s="16" t="s">
        <v>138</v>
      </c>
      <c r="W18" s="16" t="s">
        <v>3</v>
      </c>
      <c r="X18" s="16" t="s">
        <v>4</v>
      </c>
      <c r="Y18" s="16" t="s">
        <v>5</v>
      </c>
      <c r="Z18" s="16" t="s">
        <v>6</v>
      </c>
      <c r="AA18" s="16" t="s">
        <v>7</v>
      </c>
      <c r="AB18" s="16" t="s">
        <v>8</v>
      </c>
      <c r="AC18" s="16" t="s">
        <v>9</v>
      </c>
      <c r="AD18" s="16" t="s">
        <v>10</v>
      </c>
      <c r="AE18" s="16" t="s">
        <v>474</v>
      </c>
      <c r="AF18" s="16" t="s">
        <v>12</v>
      </c>
      <c r="AG18" s="16" t="s">
        <v>13</v>
      </c>
      <c r="AH18" s="16" t="s">
        <v>14</v>
      </c>
      <c r="AI18" s="16" t="s">
        <v>15</v>
      </c>
      <c r="AJ18" s="16" t="s">
        <v>16</v>
      </c>
      <c r="AK18" s="16" t="s">
        <v>17</v>
      </c>
      <c r="AL18" s="16" t="s">
        <v>18</v>
      </c>
      <c r="AM18" s="16" t="s">
        <v>19</v>
      </c>
      <c r="AN18" s="16" t="s">
        <v>20</v>
      </c>
      <c r="AO18" s="16" t="s">
        <v>21</v>
      </c>
      <c r="AP18" s="16" t="s">
        <v>22</v>
      </c>
      <c r="AQ18" s="16" t="s">
        <v>23</v>
      </c>
      <c r="AR18" s="16" t="s">
        <v>24</v>
      </c>
      <c r="AS18" s="16" t="s">
        <v>25</v>
      </c>
      <c r="AT18" s="16" t="s">
        <v>26</v>
      </c>
    </row>
    <row r="19" spans="1:80" x14ac:dyDescent="0.25">
      <c r="A19" s="23" t="s">
        <v>140</v>
      </c>
      <c r="B19" s="23">
        <v>20</v>
      </c>
      <c r="C19" t="s">
        <v>614</v>
      </c>
      <c r="D19" s="24"/>
      <c r="E19" s="24"/>
      <c r="F19" s="25">
        <v>2.5</v>
      </c>
      <c r="G19">
        <v>64.75</v>
      </c>
      <c r="H19">
        <v>55</v>
      </c>
      <c r="I19" s="25">
        <v>1</v>
      </c>
      <c r="J19" s="24" t="s">
        <v>27</v>
      </c>
      <c r="K19" s="24" t="s">
        <v>157</v>
      </c>
      <c r="L19" s="24" t="s">
        <v>603</v>
      </c>
      <c r="M19" s="26">
        <f>IF(A19="4 Sided Window",H19-($H$3*2),IF(A19="3 Sided Patio Door",H19-0.875,""))</f>
        <v>53.625</v>
      </c>
      <c r="N19" s="27">
        <f>IF(A19="3 Sided Patio Door",(G19+((H19+2)*2))/12,((G19*2)+(H19*2))/12)</f>
        <v>19.958333333333332</v>
      </c>
      <c r="T19">
        <f t="shared" ref="T19:T82" si="1">$H$14</f>
        <v>129</v>
      </c>
      <c r="U19">
        <f>$H$2</f>
        <v>26053</v>
      </c>
      <c r="V19">
        <f ca="1">(OFFSET($B$19,INT((ROW(A1)-1)/4),0))</f>
        <v>20</v>
      </c>
      <c r="W19">
        <v>1</v>
      </c>
      <c r="X19" t="str">
        <f ca="1">IF((OFFSET($J$19,INT((ROW(A1)-1)/4),0))="JE","JE",IF((OFFSET($J$19,INT((ROW(A1)-1)/4),0))="Drilled","JC",""))</f>
        <v>JE</v>
      </c>
      <c r="Y19" t="s">
        <v>9</v>
      </c>
      <c r="Z19">
        <f ca="1">(OFFSET($F$19,INT((ROW(A1)-1)/4),0))</f>
        <v>2.5</v>
      </c>
      <c r="AA19" t="str">
        <f ca="1">IF((OFFSET($K$19,INT((ROW(A1)-1)/4),0))="Poplar","PAINT",IF((OFFSET($K$19,INT((ROW(A1)-1)/4),0))="Red Oak","SGO",IF((OFFSET($K$19,INT((ROW(A1)-1)/4),0))="Maple","SM","SPPN")))</f>
        <v>PAINT</v>
      </c>
      <c r="AB19">
        <f ca="1">(OFFSET($I$19,INT((ROW(A1)-1)/4),0))</f>
        <v>1</v>
      </c>
      <c r="AC19">
        <f ca="1">IF(OR(Y19="L",Y19="R"),(OFFSET($M$19,INT((ROW(A1)-1)/4),0)),IF(Y19="B",IF((OFFSET($A$19,INT((ROW(A1)-1)/4),0))="3 Sided Patio Door",0,(OFFSET($G$19,INT((ROW(A1)-1)/4),0))),(OFFSET($G$19,INT((ROW(A1)-1)/4),0))))</f>
        <v>53.625</v>
      </c>
      <c r="AD19" t="str">
        <f t="shared" ref="AD19:AD82" si="2">$H$5</f>
        <v>4093RN153</v>
      </c>
      <c r="AE19" t="str">
        <f ca="1">(OFFSET($L$19,INT((ROW(A1)-1)/4),0))</f>
        <v>PWHITE</v>
      </c>
      <c r="AF19" t="str">
        <f ca="1">IF((OFFSET($A$19,INT((ROW(A1)-1)/4),0))="3 sided Patio door", "Unassemble","")</f>
        <v/>
      </c>
      <c r="AG19">
        <v>1</v>
      </c>
      <c r="AH19" t="s">
        <v>136</v>
      </c>
      <c r="AI19" t="str">
        <f t="shared" ref="AI19:AI82" si="3">$H$6</f>
        <v>Lutheran Home 25</v>
      </c>
      <c r="AJ19" t="str">
        <f t="shared" ref="AJ19:AJ82" si="4">$H$7</f>
        <v>Green Bay</v>
      </c>
      <c r="AK19" t="str">
        <f t="shared" ref="AK19:AK82" si="5">$H$8</f>
        <v>WI</v>
      </c>
      <c r="AL19">
        <f t="shared" ref="AL19:AL82" si="6">$H$9</f>
        <v>4091142613</v>
      </c>
      <c r="AM19" t="str">
        <f t="shared" ref="AM19:AM82" si="7">$H$5</f>
        <v>4093RN153</v>
      </c>
      <c r="AN19" t="str">
        <f t="shared" ref="AN19:AN82" si="8">IF($H$10=0,"",$H$10)</f>
        <v/>
      </c>
      <c r="AO19" t="str">
        <f t="shared" ref="AO19:AO82" si="9">IF($H$11=0,"",$H$11)</f>
        <v>Pella</v>
      </c>
      <c r="AP19">
        <f t="shared" ref="AP19:AP82" si="10">IF($H$12=0,"",$H$12)</f>
        <v>54201</v>
      </c>
      <c r="AQ19">
        <f ca="1">(OFFSET($BF$39,INT((ROW(A1)-1)/4),0))</f>
        <v>0</v>
      </c>
      <c r="AR19" s="1">
        <f t="shared" ref="AR19:AR82" si="11">IF($H$13=0,"",$H$13)</f>
        <v>46135</v>
      </c>
    </row>
    <row r="20" spans="1:80" x14ac:dyDescent="0.25">
      <c r="A20" s="23" t="s">
        <v>140</v>
      </c>
      <c r="B20" s="23">
        <v>20</v>
      </c>
      <c r="C20" t="s">
        <v>614</v>
      </c>
      <c r="D20" s="24"/>
      <c r="E20" s="24"/>
      <c r="F20" s="25">
        <v>2.5</v>
      </c>
      <c r="G20">
        <v>64.75</v>
      </c>
      <c r="H20">
        <v>55</v>
      </c>
      <c r="I20" s="25">
        <v>1</v>
      </c>
      <c r="J20" s="24" t="s">
        <v>27</v>
      </c>
      <c r="K20" s="24" t="s">
        <v>157</v>
      </c>
      <c r="L20" s="24" t="s">
        <v>603</v>
      </c>
      <c r="M20" s="26">
        <f t="shared" ref="M20:M83" si="12">IF(A20="4 Sided Window",H20-($H$3*2),IF(A20="3 Sided Patio Door",H20-0.875,""))</f>
        <v>53.625</v>
      </c>
      <c r="N20" s="27">
        <f t="shared" ref="N20:N83" si="13">IF(A20="3 Sided Patio Door",(G20+((H20+2)*2))/12,((G20*2)+(H20*2))/12)</f>
        <v>19.958333333333332</v>
      </c>
      <c r="T20">
        <f t="shared" si="1"/>
        <v>129</v>
      </c>
      <c r="U20">
        <f t="shared" ref="U20:U83" si="14">$H$2</f>
        <v>26053</v>
      </c>
      <c r="V20">
        <f t="shared" ref="V20:V83" ca="1" si="15">(OFFSET($B$19,INT((ROW(A2)-1)/4),0))</f>
        <v>20</v>
      </c>
      <c r="W20">
        <v>1</v>
      </c>
      <c r="X20" t="str">
        <f t="shared" ref="X20:X83" ca="1" si="16">IF((OFFSET($J$19,INT((ROW(A2)-1)/4),0))="JE","JE",IF((OFFSET($J$19,INT((ROW(A2)-1)/4),0))="Drilled","JC",""))</f>
        <v>JE</v>
      </c>
      <c r="Y20" t="s">
        <v>33</v>
      </c>
      <c r="Z20">
        <f t="shared" ref="Z20:Z83" ca="1" si="17">(OFFSET($F$19,INT((ROW(A2)-1)/4),0))</f>
        <v>2.5</v>
      </c>
      <c r="AA20" t="str">
        <f t="shared" ref="AA20:AA83" ca="1" si="18">IF((OFFSET($K$19,INT((ROW(A2)-1)/4),0))="Poplar","PAINT",IF((OFFSET($K$19,INT((ROW(A2)-1)/4),0))="Red Oak","SGO",IF((OFFSET($K$19,INT((ROW(A2)-1)/4),0))="Maple","SM","SPPN")))</f>
        <v>PAINT</v>
      </c>
      <c r="AB20">
        <f t="shared" ref="AB20:AB83" ca="1" si="19">(OFFSET($I$19,INT((ROW(A2)-1)/4),0))</f>
        <v>1</v>
      </c>
      <c r="AC20">
        <f t="shared" ref="AC20:AC83" ca="1" si="20">IF(OR(Y20="L",Y20="R"),(OFFSET($M$19,INT((ROW(A2)-1)/4),0)),IF(Y20="B",IF((OFFSET($A$19,INT((ROW(A2)-1)/4),0))="3 Sided Patio Door",0,(OFFSET($G$19,INT((ROW(A2)-1)/4),0))),(OFFSET($G$19,INT((ROW(A2)-1)/4),0))))</f>
        <v>53.625</v>
      </c>
      <c r="AD20" t="str">
        <f t="shared" si="2"/>
        <v>4093RN153</v>
      </c>
      <c r="AE20" t="str">
        <f t="shared" ref="AE20:AE83" ca="1" si="21">(OFFSET($L$19,INT((ROW(A2)-1)/4),0))</f>
        <v>PWHITE</v>
      </c>
      <c r="AF20" t="str">
        <f t="shared" ref="AF20:AF83" ca="1" si="22">IF((OFFSET($A$19,INT((ROW(A2)-1)/4),0))="3 sided Patio door", "Unassemble","")</f>
        <v/>
      </c>
      <c r="AG20">
        <v>1</v>
      </c>
      <c r="AH20" t="s">
        <v>136</v>
      </c>
      <c r="AI20" t="str">
        <f t="shared" si="3"/>
        <v>Lutheran Home 25</v>
      </c>
      <c r="AJ20" t="str">
        <f t="shared" si="4"/>
        <v>Green Bay</v>
      </c>
      <c r="AK20" t="str">
        <f t="shared" si="5"/>
        <v>WI</v>
      </c>
      <c r="AL20">
        <f t="shared" si="6"/>
        <v>4091142613</v>
      </c>
      <c r="AM20" t="str">
        <f t="shared" si="7"/>
        <v>4093RN153</v>
      </c>
      <c r="AN20" t="str">
        <f t="shared" si="8"/>
        <v/>
      </c>
      <c r="AO20" t="str">
        <f t="shared" si="9"/>
        <v>Pella</v>
      </c>
      <c r="AP20">
        <f t="shared" si="10"/>
        <v>54201</v>
      </c>
      <c r="AQ20">
        <f t="shared" ref="AQ20:AQ83" ca="1" si="23">(OFFSET($BF$39,INT((ROW(A2)-1)/4),0))</f>
        <v>0</v>
      </c>
      <c r="AR20" s="1">
        <f t="shared" si="11"/>
        <v>46135</v>
      </c>
    </row>
    <row r="21" spans="1:80" x14ac:dyDescent="0.25">
      <c r="A21" s="23" t="s">
        <v>140</v>
      </c>
      <c r="B21" s="23">
        <v>25</v>
      </c>
      <c r="C21" t="s">
        <v>615</v>
      </c>
      <c r="D21" s="24"/>
      <c r="E21" s="24"/>
      <c r="F21" s="25">
        <v>2.5</v>
      </c>
      <c r="G21">
        <v>43.5</v>
      </c>
      <c r="H21">
        <v>67</v>
      </c>
      <c r="I21" s="25">
        <v>1</v>
      </c>
      <c r="J21" s="24" t="s">
        <v>27</v>
      </c>
      <c r="K21" s="24" t="s">
        <v>157</v>
      </c>
      <c r="L21" s="24" t="s">
        <v>603</v>
      </c>
      <c r="M21" s="26">
        <f t="shared" si="12"/>
        <v>65.625</v>
      </c>
      <c r="N21" s="27">
        <f t="shared" si="13"/>
        <v>18.416666666666668</v>
      </c>
      <c r="T21">
        <f t="shared" si="1"/>
        <v>129</v>
      </c>
      <c r="U21">
        <f t="shared" si="14"/>
        <v>26053</v>
      </c>
      <c r="V21">
        <f t="shared" ca="1" si="15"/>
        <v>20</v>
      </c>
      <c r="W21">
        <v>1</v>
      </c>
      <c r="X21" t="str">
        <f t="shared" ca="1" si="16"/>
        <v>JE</v>
      </c>
      <c r="Y21" t="s">
        <v>28</v>
      </c>
      <c r="Z21">
        <f t="shared" ca="1" si="17"/>
        <v>2.5</v>
      </c>
      <c r="AA21" t="str">
        <f t="shared" ca="1" si="18"/>
        <v>PAINT</v>
      </c>
      <c r="AB21">
        <f t="shared" ca="1" si="19"/>
        <v>1</v>
      </c>
      <c r="AC21">
        <f ca="1">IF(OR(Y21="L",Y21="R"),(OFFSET($M$19,INT((ROW(A3)-1)/4),0)),IF(Y21="B",IF((OFFSET($A$19,INT((ROW(A3)-1)/4),0))="3 Sided Patio Door",0,(OFFSET($G$19,INT((ROW(A3)-1)/4),0))),(OFFSET($G$19,INT((ROW(A3)-1)/4),0))))</f>
        <v>64.75</v>
      </c>
      <c r="AD21" t="str">
        <f t="shared" si="2"/>
        <v>4093RN153</v>
      </c>
      <c r="AE21" t="str">
        <f t="shared" ca="1" si="21"/>
        <v>PWHITE</v>
      </c>
      <c r="AF21" t="str">
        <f t="shared" ca="1" si="22"/>
        <v/>
      </c>
      <c r="AG21">
        <v>1</v>
      </c>
      <c r="AH21" t="s">
        <v>136</v>
      </c>
      <c r="AI21" t="str">
        <f t="shared" si="3"/>
        <v>Lutheran Home 25</v>
      </c>
      <c r="AJ21" t="str">
        <f t="shared" si="4"/>
        <v>Green Bay</v>
      </c>
      <c r="AK21" t="str">
        <f t="shared" si="5"/>
        <v>WI</v>
      </c>
      <c r="AL21">
        <f t="shared" si="6"/>
        <v>4091142613</v>
      </c>
      <c r="AM21" t="str">
        <f t="shared" si="7"/>
        <v>4093RN153</v>
      </c>
      <c r="AN21" t="str">
        <f t="shared" si="8"/>
        <v/>
      </c>
      <c r="AO21" t="str">
        <f t="shared" si="9"/>
        <v>Pella</v>
      </c>
      <c r="AP21">
        <f t="shared" si="10"/>
        <v>54201</v>
      </c>
      <c r="AQ21">
        <f t="shared" ca="1" si="23"/>
        <v>0</v>
      </c>
      <c r="AR21" s="1">
        <f t="shared" si="11"/>
        <v>46135</v>
      </c>
    </row>
    <row r="22" spans="1:80" x14ac:dyDescent="0.25">
      <c r="A22" s="23" t="s">
        <v>140</v>
      </c>
      <c r="B22" s="23">
        <v>25</v>
      </c>
      <c r="C22" t="s">
        <v>615</v>
      </c>
      <c r="D22" s="24"/>
      <c r="E22" s="24"/>
      <c r="F22" s="25">
        <v>2.5</v>
      </c>
      <c r="G22">
        <v>43.5</v>
      </c>
      <c r="H22">
        <v>67</v>
      </c>
      <c r="I22" s="25">
        <v>1</v>
      </c>
      <c r="J22" s="24" t="s">
        <v>27</v>
      </c>
      <c r="K22" s="24" t="s">
        <v>157</v>
      </c>
      <c r="L22" s="24" t="s">
        <v>603</v>
      </c>
      <c r="M22" s="26">
        <f t="shared" si="12"/>
        <v>65.625</v>
      </c>
      <c r="N22" s="27">
        <f t="shared" si="13"/>
        <v>18.416666666666668</v>
      </c>
      <c r="T22">
        <f t="shared" si="1"/>
        <v>129</v>
      </c>
      <c r="U22">
        <f t="shared" si="14"/>
        <v>26053</v>
      </c>
      <c r="V22">
        <f t="shared" ca="1" si="15"/>
        <v>20</v>
      </c>
      <c r="W22">
        <v>1</v>
      </c>
      <c r="X22" t="str">
        <f t="shared" ca="1" si="16"/>
        <v>JE</v>
      </c>
      <c r="Y22" t="s">
        <v>32</v>
      </c>
      <c r="Z22">
        <f t="shared" ca="1" si="17"/>
        <v>2.5</v>
      </c>
      <c r="AA22" t="str">
        <f t="shared" ca="1" si="18"/>
        <v>PAINT</v>
      </c>
      <c r="AB22">
        <f t="shared" ca="1" si="19"/>
        <v>1</v>
      </c>
      <c r="AC22">
        <f t="shared" ca="1" si="20"/>
        <v>64.75</v>
      </c>
      <c r="AD22" t="str">
        <f t="shared" si="2"/>
        <v>4093RN153</v>
      </c>
      <c r="AE22" t="str">
        <f t="shared" ca="1" si="21"/>
        <v>PWHITE</v>
      </c>
      <c r="AF22" t="str">
        <f t="shared" ca="1" si="22"/>
        <v/>
      </c>
      <c r="AG22">
        <v>1</v>
      </c>
      <c r="AH22" t="s">
        <v>136</v>
      </c>
      <c r="AI22" t="str">
        <f t="shared" si="3"/>
        <v>Lutheran Home 25</v>
      </c>
      <c r="AJ22" t="str">
        <f t="shared" si="4"/>
        <v>Green Bay</v>
      </c>
      <c r="AK22" t="str">
        <f t="shared" si="5"/>
        <v>WI</v>
      </c>
      <c r="AL22">
        <f t="shared" si="6"/>
        <v>4091142613</v>
      </c>
      <c r="AM22" t="str">
        <f t="shared" si="7"/>
        <v>4093RN153</v>
      </c>
      <c r="AN22" t="str">
        <f t="shared" si="8"/>
        <v/>
      </c>
      <c r="AO22" t="str">
        <f t="shared" si="9"/>
        <v>Pella</v>
      </c>
      <c r="AP22">
        <f t="shared" si="10"/>
        <v>54201</v>
      </c>
      <c r="AQ22">
        <f t="shared" ca="1" si="23"/>
        <v>0</v>
      </c>
      <c r="AR22" s="1">
        <f t="shared" si="11"/>
        <v>46135</v>
      </c>
    </row>
    <row r="23" spans="1:80" x14ac:dyDescent="0.25">
      <c r="A23" s="23" t="s">
        <v>140</v>
      </c>
      <c r="B23" s="23">
        <v>25</v>
      </c>
      <c r="C23" t="s">
        <v>615</v>
      </c>
      <c r="D23" s="24"/>
      <c r="E23" s="24"/>
      <c r="F23" s="25">
        <v>2.5</v>
      </c>
      <c r="G23">
        <v>43.5</v>
      </c>
      <c r="H23">
        <v>67</v>
      </c>
      <c r="I23" s="25">
        <v>1</v>
      </c>
      <c r="J23" s="24" t="s">
        <v>27</v>
      </c>
      <c r="K23" s="24" t="s">
        <v>157</v>
      </c>
      <c r="L23" s="24" t="s">
        <v>603</v>
      </c>
      <c r="M23" s="26">
        <f t="shared" si="12"/>
        <v>65.625</v>
      </c>
      <c r="N23" s="27">
        <f t="shared" si="13"/>
        <v>18.416666666666668</v>
      </c>
      <c r="T23">
        <f t="shared" si="1"/>
        <v>129</v>
      </c>
      <c r="U23">
        <f t="shared" si="14"/>
        <v>26053</v>
      </c>
      <c r="V23">
        <f t="shared" ca="1" si="15"/>
        <v>20</v>
      </c>
      <c r="W23">
        <v>2</v>
      </c>
      <c r="X23" t="str">
        <f t="shared" ca="1" si="16"/>
        <v>JE</v>
      </c>
      <c r="Y23" t="s">
        <v>9</v>
      </c>
      <c r="Z23">
        <f t="shared" ca="1" si="17"/>
        <v>2.5</v>
      </c>
      <c r="AA23" t="str">
        <f t="shared" ca="1" si="18"/>
        <v>PAINT</v>
      </c>
      <c r="AB23">
        <f t="shared" ca="1" si="19"/>
        <v>1</v>
      </c>
      <c r="AC23">
        <f ca="1">IF(OR(Y23="L",Y23="R"),(OFFSET($M$19,INT((ROW(A5)-1)/4),0)),IF(Y23="B",IF((OFFSET($A$19,INT((ROW(A5)-1)/4),0))="3 Sided Patio Door",0,(OFFSET($G$19,INT((ROW(A5)-1)/4),0))),(OFFSET($G$19,INT((ROW(A5)-1)/4),0))))</f>
        <v>53.625</v>
      </c>
      <c r="AD23" t="str">
        <f t="shared" si="2"/>
        <v>4093RN153</v>
      </c>
      <c r="AE23" t="str">
        <f t="shared" ca="1" si="21"/>
        <v>PWHITE</v>
      </c>
      <c r="AF23" t="str">
        <f t="shared" ca="1" si="22"/>
        <v/>
      </c>
      <c r="AG23">
        <v>2</v>
      </c>
      <c r="AH23" t="s">
        <v>136</v>
      </c>
      <c r="AI23" t="str">
        <f t="shared" si="3"/>
        <v>Lutheran Home 25</v>
      </c>
      <c r="AJ23" t="str">
        <f t="shared" si="4"/>
        <v>Green Bay</v>
      </c>
      <c r="AK23" t="str">
        <f t="shared" si="5"/>
        <v>WI</v>
      </c>
      <c r="AL23">
        <f t="shared" si="6"/>
        <v>4091142613</v>
      </c>
      <c r="AM23" t="str">
        <f t="shared" si="7"/>
        <v>4093RN153</v>
      </c>
      <c r="AN23" t="str">
        <f t="shared" si="8"/>
        <v/>
      </c>
      <c r="AO23" t="str">
        <f t="shared" si="9"/>
        <v>Pella</v>
      </c>
      <c r="AP23">
        <f t="shared" si="10"/>
        <v>54201</v>
      </c>
      <c r="AQ23">
        <f t="shared" ca="1" si="23"/>
        <v>0</v>
      </c>
      <c r="AR23" s="1">
        <f t="shared" si="11"/>
        <v>46135</v>
      </c>
      <c r="CB23" s="1"/>
    </row>
    <row r="24" spans="1:80" x14ac:dyDescent="0.25">
      <c r="A24" s="23" t="s">
        <v>140</v>
      </c>
      <c r="B24" s="23">
        <v>25</v>
      </c>
      <c r="C24" t="s">
        <v>615</v>
      </c>
      <c r="D24" s="24"/>
      <c r="E24" s="24"/>
      <c r="F24" s="25">
        <v>2.5</v>
      </c>
      <c r="G24">
        <v>43.5</v>
      </c>
      <c r="H24">
        <v>67</v>
      </c>
      <c r="I24" s="25">
        <v>1</v>
      </c>
      <c r="J24" s="24" t="s">
        <v>27</v>
      </c>
      <c r="K24" s="24" t="s">
        <v>157</v>
      </c>
      <c r="L24" s="24" t="s">
        <v>603</v>
      </c>
      <c r="M24" s="26">
        <f t="shared" si="12"/>
        <v>65.625</v>
      </c>
      <c r="N24" s="27">
        <f t="shared" si="13"/>
        <v>18.416666666666668</v>
      </c>
      <c r="T24">
        <f t="shared" si="1"/>
        <v>129</v>
      </c>
      <c r="U24">
        <f t="shared" si="14"/>
        <v>26053</v>
      </c>
      <c r="V24">
        <f t="shared" ca="1" si="15"/>
        <v>20</v>
      </c>
      <c r="W24">
        <v>2</v>
      </c>
      <c r="X24" t="str">
        <f t="shared" ca="1" si="16"/>
        <v>JE</v>
      </c>
      <c r="Y24" t="s">
        <v>33</v>
      </c>
      <c r="Z24">
        <f t="shared" ca="1" si="17"/>
        <v>2.5</v>
      </c>
      <c r="AA24" t="str">
        <f t="shared" ca="1" si="18"/>
        <v>PAINT</v>
      </c>
      <c r="AB24">
        <f t="shared" ca="1" si="19"/>
        <v>1</v>
      </c>
      <c r="AC24">
        <f t="shared" ca="1" si="20"/>
        <v>53.625</v>
      </c>
      <c r="AD24" t="str">
        <f t="shared" si="2"/>
        <v>4093RN153</v>
      </c>
      <c r="AE24" t="str">
        <f t="shared" ca="1" si="21"/>
        <v>PWHITE</v>
      </c>
      <c r="AF24" t="str">
        <f t="shared" ca="1" si="22"/>
        <v/>
      </c>
      <c r="AG24">
        <v>2</v>
      </c>
      <c r="AH24" t="s">
        <v>136</v>
      </c>
      <c r="AI24" t="str">
        <f t="shared" si="3"/>
        <v>Lutheran Home 25</v>
      </c>
      <c r="AJ24" t="str">
        <f t="shared" si="4"/>
        <v>Green Bay</v>
      </c>
      <c r="AK24" t="str">
        <f t="shared" si="5"/>
        <v>WI</v>
      </c>
      <c r="AL24">
        <f t="shared" si="6"/>
        <v>4091142613</v>
      </c>
      <c r="AM24" t="str">
        <f t="shared" si="7"/>
        <v>4093RN153</v>
      </c>
      <c r="AN24" t="str">
        <f t="shared" si="8"/>
        <v/>
      </c>
      <c r="AO24" t="str">
        <f t="shared" si="9"/>
        <v>Pella</v>
      </c>
      <c r="AP24">
        <f t="shared" si="10"/>
        <v>54201</v>
      </c>
      <c r="AQ24">
        <f t="shared" ca="1" si="23"/>
        <v>0</v>
      </c>
      <c r="AR24" s="1">
        <f t="shared" si="11"/>
        <v>46135</v>
      </c>
      <c r="CB24" s="1"/>
    </row>
    <row r="25" spans="1:80" x14ac:dyDescent="0.25">
      <c r="A25" s="23" t="s">
        <v>140</v>
      </c>
      <c r="B25" s="23">
        <v>25</v>
      </c>
      <c r="C25" t="s">
        <v>615</v>
      </c>
      <c r="D25" s="24"/>
      <c r="E25" s="24"/>
      <c r="F25" s="25">
        <v>2.5</v>
      </c>
      <c r="G25">
        <v>43.5</v>
      </c>
      <c r="H25">
        <v>67</v>
      </c>
      <c r="I25" s="25">
        <v>1</v>
      </c>
      <c r="J25" s="24" t="s">
        <v>27</v>
      </c>
      <c r="K25" s="24" t="s">
        <v>157</v>
      </c>
      <c r="L25" s="24" t="s">
        <v>603</v>
      </c>
      <c r="M25" s="26">
        <f t="shared" si="12"/>
        <v>65.625</v>
      </c>
      <c r="N25" s="27">
        <f t="shared" si="13"/>
        <v>18.416666666666668</v>
      </c>
      <c r="T25">
        <f t="shared" si="1"/>
        <v>129</v>
      </c>
      <c r="U25">
        <f t="shared" si="14"/>
        <v>26053</v>
      </c>
      <c r="V25">
        <f t="shared" ca="1" si="15"/>
        <v>20</v>
      </c>
      <c r="W25">
        <v>2</v>
      </c>
      <c r="X25" t="str">
        <f t="shared" ca="1" si="16"/>
        <v>JE</v>
      </c>
      <c r="Y25" t="s">
        <v>28</v>
      </c>
      <c r="Z25">
        <f t="shared" ca="1" si="17"/>
        <v>2.5</v>
      </c>
      <c r="AA25" t="str">
        <f t="shared" ca="1" si="18"/>
        <v>PAINT</v>
      </c>
      <c r="AB25">
        <f t="shared" ca="1" si="19"/>
        <v>1</v>
      </c>
      <c r="AC25">
        <f t="shared" ca="1" si="20"/>
        <v>64.75</v>
      </c>
      <c r="AD25" t="str">
        <f t="shared" si="2"/>
        <v>4093RN153</v>
      </c>
      <c r="AE25" t="str">
        <f t="shared" ca="1" si="21"/>
        <v>PWHITE</v>
      </c>
      <c r="AF25" t="str">
        <f t="shared" ca="1" si="22"/>
        <v/>
      </c>
      <c r="AG25">
        <v>2</v>
      </c>
      <c r="AH25" t="s">
        <v>136</v>
      </c>
      <c r="AI25" t="str">
        <f t="shared" si="3"/>
        <v>Lutheran Home 25</v>
      </c>
      <c r="AJ25" t="str">
        <f t="shared" si="4"/>
        <v>Green Bay</v>
      </c>
      <c r="AK25" t="str">
        <f t="shared" si="5"/>
        <v>WI</v>
      </c>
      <c r="AL25">
        <f t="shared" si="6"/>
        <v>4091142613</v>
      </c>
      <c r="AM25" t="str">
        <f t="shared" si="7"/>
        <v>4093RN153</v>
      </c>
      <c r="AN25" t="str">
        <f t="shared" si="8"/>
        <v/>
      </c>
      <c r="AO25" t="str">
        <f t="shared" si="9"/>
        <v>Pella</v>
      </c>
      <c r="AP25">
        <f t="shared" si="10"/>
        <v>54201</v>
      </c>
      <c r="AQ25">
        <f t="shared" ca="1" si="23"/>
        <v>0</v>
      </c>
      <c r="AR25" s="1">
        <f t="shared" si="11"/>
        <v>46135</v>
      </c>
      <c r="CB25" s="1"/>
    </row>
    <row r="26" spans="1:80" x14ac:dyDescent="0.25">
      <c r="A26" s="23" t="s">
        <v>140</v>
      </c>
      <c r="B26" s="23">
        <v>25</v>
      </c>
      <c r="C26" t="s">
        <v>615</v>
      </c>
      <c r="D26" s="24"/>
      <c r="E26" s="24"/>
      <c r="F26" s="25">
        <v>2.5</v>
      </c>
      <c r="G26">
        <v>43.5</v>
      </c>
      <c r="H26">
        <v>67</v>
      </c>
      <c r="I26" s="25">
        <v>1</v>
      </c>
      <c r="J26" s="24" t="s">
        <v>27</v>
      </c>
      <c r="K26" s="24" t="s">
        <v>157</v>
      </c>
      <c r="L26" s="24" t="s">
        <v>603</v>
      </c>
      <c r="M26" s="26">
        <f t="shared" si="12"/>
        <v>65.625</v>
      </c>
      <c r="N26" s="27">
        <f t="shared" si="13"/>
        <v>18.416666666666668</v>
      </c>
      <c r="T26">
        <f t="shared" si="1"/>
        <v>129</v>
      </c>
      <c r="U26">
        <f t="shared" si="14"/>
        <v>26053</v>
      </c>
      <c r="V26">
        <f t="shared" ca="1" si="15"/>
        <v>20</v>
      </c>
      <c r="W26">
        <v>2</v>
      </c>
      <c r="X26" t="str">
        <f t="shared" ca="1" si="16"/>
        <v>JE</v>
      </c>
      <c r="Y26" t="s">
        <v>32</v>
      </c>
      <c r="Z26">
        <f t="shared" ca="1" si="17"/>
        <v>2.5</v>
      </c>
      <c r="AA26" t="str">
        <f t="shared" ca="1" si="18"/>
        <v>PAINT</v>
      </c>
      <c r="AB26">
        <f t="shared" ca="1" si="19"/>
        <v>1</v>
      </c>
      <c r="AC26">
        <f t="shared" ca="1" si="20"/>
        <v>64.75</v>
      </c>
      <c r="AD26" t="str">
        <f t="shared" si="2"/>
        <v>4093RN153</v>
      </c>
      <c r="AE26" t="str">
        <f t="shared" ca="1" si="21"/>
        <v>PWHITE</v>
      </c>
      <c r="AF26" t="str">
        <f t="shared" ca="1" si="22"/>
        <v/>
      </c>
      <c r="AG26">
        <v>2</v>
      </c>
      <c r="AH26" t="s">
        <v>136</v>
      </c>
      <c r="AI26" t="str">
        <f t="shared" si="3"/>
        <v>Lutheran Home 25</v>
      </c>
      <c r="AJ26" t="str">
        <f t="shared" si="4"/>
        <v>Green Bay</v>
      </c>
      <c r="AK26" t="str">
        <f t="shared" si="5"/>
        <v>WI</v>
      </c>
      <c r="AL26">
        <f t="shared" si="6"/>
        <v>4091142613</v>
      </c>
      <c r="AM26" t="str">
        <f t="shared" si="7"/>
        <v>4093RN153</v>
      </c>
      <c r="AN26" t="str">
        <f t="shared" si="8"/>
        <v/>
      </c>
      <c r="AO26" t="str">
        <f t="shared" si="9"/>
        <v>Pella</v>
      </c>
      <c r="AP26">
        <f t="shared" si="10"/>
        <v>54201</v>
      </c>
      <c r="AQ26">
        <f t="shared" ca="1" si="23"/>
        <v>0</v>
      </c>
      <c r="AR26" s="1">
        <f t="shared" si="11"/>
        <v>46135</v>
      </c>
      <c r="CB26" s="1"/>
    </row>
    <row r="27" spans="1:80" x14ac:dyDescent="0.25">
      <c r="A27" s="23" t="s">
        <v>140</v>
      </c>
      <c r="B27" s="23">
        <v>26</v>
      </c>
      <c r="C27" t="s">
        <v>616</v>
      </c>
      <c r="D27" s="24"/>
      <c r="E27" s="24"/>
      <c r="F27" s="25">
        <v>2.5</v>
      </c>
      <c r="G27">
        <v>43.5</v>
      </c>
      <c r="H27">
        <v>67</v>
      </c>
      <c r="I27" s="25">
        <v>1</v>
      </c>
      <c r="J27" s="24" t="s">
        <v>27</v>
      </c>
      <c r="K27" s="24" t="s">
        <v>157</v>
      </c>
      <c r="L27" s="24" t="s">
        <v>603</v>
      </c>
      <c r="M27" s="26">
        <f t="shared" si="12"/>
        <v>65.625</v>
      </c>
      <c r="N27" s="27">
        <f t="shared" si="13"/>
        <v>18.416666666666668</v>
      </c>
      <c r="T27">
        <f t="shared" si="1"/>
        <v>129</v>
      </c>
      <c r="U27">
        <f t="shared" si="14"/>
        <v>26053</v>
      </c>
      <c r="V27">
        <f t="shared" ca="1" si="15"/>
        <v>25</v>
      </c>
      <c r="W27">
        <v>3</v>
      </c>
      <c r="X27" t="str">
        <f t="shared" ca="1" si="16"/>
        <v>JE</v>
      </c>
      <c r="Y27" t="s">
        <v>9</v>
      </c>
      <c r="Z27">
        <f t="shared" ca="1" si="17"/>
        <v>2.5</v>
      </c>
      <c r="AA27" t="str">
        <f t="shared" ca="1" si="18"/>
        <v>PAINT</v>
      </c>
      <c r="AB27">
        <f t="shared" ca="1" si="19"/>
        <v>1</v>
      </c>
      <c r="AC27">
        <f t="shared" ca="1" si="20"/>
        <v>65.625</v>
      </c>
      <c r="AD27" t="str">
        <f t="shared" si="2"/>
        <v>4093RN153</v>
      </c>
      <c r="AE27" t="str">
        <f t="shared" ca="1" si="21"/>
        <v>PWHITE</v>
      </c>
      <c r="AF27" t="str">
        <f t="shared" ca="1" si="22"/>
        <v/>
      </c>
      <c r="AG27">
        <v>3</v>
      </c>
      <c r="AH27" t="s">
        <v>136</v>
      </c>
      <c r="AI27" t="str">
        <f t="shared" si="3"/>
        <v>Lutheran Home 25</v>
      </c>
      <c r="AJ27" t="str">
        <f t="shared" si="4"/>
        <v>Green Bay</v>
      </c>
      <c r="AK27" t="str">
        <f t="shared" si="5"/>
        <v>WI</v>
      </c>
      <c r="AL27">
        <f t="shared" si="6"/>
        <v>4091142613</v>
      </c>
      <c r="AM27" t="str">
        <f t="shared" si="7"/>
        <v>4093RN153</v>
      </c>
      <c r="AN27" t="str">
        <f t="shared" si="8"/>
        <v/>
      </c>
      <c r="AO27" t="str">
        <f t="shared" si="9"/>
        <v>Pella</v>
      </c>
      <c r="AP27">
        <f t="shared" si="10"/>
        <v>54201</v>
      </c>
      <c r="AQ27">
        <f t="shared" ca="1" si="23"/>
        <v>0</v>
      </c>
      <c r="AR27" s="1">
        <f t="shared" si="11"/>
        <v>46135</v>
      </c>
      <c r="CB27" s="1"/>
    </row>
    <row r="28" spans="1:80" x14ac:dyDescent="0.25">
      <c r="A28" s="23" t="s">
        <v>140</v>
      </c>
      <c r="B28" s="23">
        <v>26</v>
      </c>
      <c r="C28" t="s">
        <v>616</v>
      </c>
      <c r="D28" s="24"/>
      <c r="E28" s="24"/>
      <c r="F28" s="25">
        <v>2.5</v>
      </c>
      <c r="G28">
        <v>43.5</v>
      </c>
      <c r="H28">
        <v>67</v>
      </c>
      <c r="I28" s="25">
        <v>1</v>
      </c>
      <c r="J28" s="24" t="s">
        <v>27</v>
      </c>
      <c r="K28" s="24" t="s">
        <v>157</v>
      </c>
      <c r="L28" s="24" t="s">
        <v>603</v>
      </c>
      <c r="M28" s="26">
        <f t="shared" si="12"/>
        <v>65.625</v>
      </c>
      <c r="N28" s="27">
        <f t="shared" si="13"/>
        <v>18.416666666666668</v>
      </c>
      <c r="T28">
        <f t="shared" si="1"/>
        <v>129</v>
      </c>
      <c r="U28">
        <f t="shared" si="14"/>
        <v>26053</v>
      </c>
      <c r="V28">
        <f t="shared" ca="1" si="15"/>
        <v>25</v>
      </c>
      <c r="W28">
        <v>3</v>
      </c>
      <c r="X28" t="str">
        <f t="shared" ca="1" si="16"/>
        <v>JE</v>
      </c>
      <c r="Y28" t="s">
        <v>33</v>
      </c>
      <c r="Z28">
        <f t="shared" ca="1" si="17"/>
        <v>2.5</v>
      </c>
      <c r="AA28" t="str">
        <f t="shared" ca="1" si="18"/>
        <v>PAINT</v>
      </c>
      <c r="AB28">
        <f t="shared" ca="1" si="19"/>
        <v>1</v>
      </c>
      <c r="AC28">
        <f ca="1">IF(OR(Y28="L",Y28="R"),(OFFSET($M$19,INT((ROW(A10)-1)/4),0)),IF(Y28="B",IF((OFFSET($A$19,INT((ROW(A10)-1)/4),0))="3 Sided Patio Door",0,(OFFSET($G$19,INT((ROW(A10)-1)/4),0))),(OFFSET($G$19,INT((ROW(A10)-1)/4),0))))</f>
        <v>65.625</v>
      </c>
      <c r="AD28" t="str">
        <f t="shared" si="2"/>
        <v>4093RN153</v>
      </c>
      <c r="AE28" t="str">
        <f t="shared" ca="1" si="21"/>
        <v>PWHITE</v>
      </c>
      <c r="AF28" t="str">
        <f t="shared" ca="1" si="22"/>
        <v/>
      </c>
      <c r="AG28">
        <v>3</v>
      </c>
      <c r="AH28" t="s">
        <v>136</v>
      </c>
      <c r="AI28" t="str">
        <f t="shared" si="3"/>
        <v>Lutheran Home 25</v>
      </c>
      <c r="AJ28" t="str">
        <f t="shared" si="4"/>
        <v>Green Bay</v>
      </c>
      <c r="AK28" t="str">
        <f t="shared" si="5"/>
        <v>WI</v>
      </c>
      <c r="AL28">
        <f t="shared" si="6"/>
        <v>4091142613</v>
      </c>
      <c r="AM28" t="str">
        <f t="shared" si="7"/>
        <v>4093RN153</v>
      </c>
      <c r="AN28" t="str">
        <f t="shared" si="8"/>
        <v/>
      </c>
      <c r="AO28" t="str">
        <f t="shared" si="9"/>
        <v>Pella</v>
      </c>
      <c r="AP28">
        <f t="shared" si="10"/>
        <v>54201</v>
      </c>
      <c r="AQ28">
        <f t="shared" ca="1" si="23"/>
        <v>0</v>
      </c>
      <c r="AR28" s="1">
        <f t="shared" si="11"/>
        <v>46135</v>
      </c>
      <c r="CB28" s="1"/>
    </row>
    <row r="29" spans="1:80" x14ac:dyDescent="0.25">
      <c r="A29" s="23" t="s">
        <v>140</v>
      </c>
      <c r="B29" s="23">
        <v>26</v>
      </c>
      <c r="C29" t="s">
        <v>616</v>
      </c>
      <c r="D29" s="24"/>
      <c r="E29" s="24"/>
      <c r="F29" s="25">
        <v>2.5</v>
      </c>
      <c r="G29">
        <v>43.5</v>
      </c>
      <c r="H29">
        <v>67</v>
      </c>
      <c r="I29" s="25">
        <v>1</v>
      </c>
      <c r="J29" s="24" t="s">
        <v>27</v>
      </c>
      <c r="K29" s="24" t="s">
        <v>157</v>
      </c>
      <c r="L29" s="24" t="s">
        <v>603</v>
      </c>
      <c r="M29" s="26">
        <f t="shared" si="12"/>
        <v>65.625</v>
      </c>
      <c r="N29" s="27">
        <f t="shared" si="13"/>
        <v>18.416666666666668</v>
      </c>
      <c r="T29">
        <f t="shared" si="1"/>
        <v>129</v>
      </c>
      <c r="U29">
        <f t="shared" si="14"/>
        <v>26053</v>
      </c>
      <c r="V29">
        <f t="shared" ca="1" si="15"/>
        <v>25</v>
      </c>
      <c r="W29">
        <v>3</v>
      </c>
      <c r="X29" t="str">
        <f t="shared" ca="1" si="16"/>
        <v>JE</v>
      </c>
      <c r="Y29" t="s">
        <v>28</v>
      </c>
      <c r="Z29">
        <f t="shared" ca="1" si="17"/>
        <v>2.5</v>
      </c>
      <c r="AA29" t="str">
        <f t="shared" ca="1" si="18"/>
        <v>PAINT</v>
      </c>
      <c r="AB29">
        <f t="shared" ca="1" si="19"/>
        <v>1</v>
      </c>
      <c r="AC29">
        <f t="shared" ca="1" si="20"/>
        <v>43.5</v>
      </c>
      <c r="AD29" t="str">
        <f t="shared" si="2"/>
        <v>4093RN153</v>
      </c>
      <c r="AE29" t="str">
        <f ca="1">(OFFSET($L$19,INT((ROW(A11)-1)/4),0))</f>
        <v>PWHITE</v>
      </c>
      <c r="AF29" t="str">
        <f t="shared" ca="1" si="22"/>
        <v/>
      </c>
      <c r="AG29">
        <v>3</v>
      </c>
      <c r="AH29" t="s">
        <v>136</v>
      </c>
      <c r="AI29" t="str">
        <f t="shared" si="3"/>
        <v>Lutheran Home 25</v>
      </c>
      <c r="AJ29" t="str">
        <f t="shared" si="4"/>
        <v>Green Bay</v>
      </c>
      <c r="AK29" t="str">
        <f t="shared" si="5"/>
        <v>WI</v>
      </c>
      <c r="AL29">
        <f t="shared" si="6"/>
        <v>4091142613</v>
      </c>
      <c r="AM29" t="str">
        <f t="shared" si="7"/>
        <v>4093RN153</v>
      </c>
      <c r="AN29" t="str">
        <f t="shared" si="8"/>
        <v/>
      </c>
      <c r="AO29" t="str">
        <f t="shared" si="9"/>
        <v>Pella</v>
      </c>
      <c r="AP29">
        <f t="shared" si="10"/>
        <v>54201</v>
      </c>
      <c r="AQ29">
        <f t="shared" ca="1" si="23"/>
        <v>0</v>
      </c>
      <c r="AR29" s="1">
        <f t="shared" si="11"/>
        <v>46135</v>
      </c>
      <c r="CB29" s="1"/>
    </row>
    <row r="30" spans="1:80" x14ac:dyDescent="0.25">
      <c r="A30" s="23" t="s">
        <v>140</v>
      </c>
      <c r="B30" s="23">
        <v>26</v>
      </c>
      <c r="C30" t="s">
        <v>616</v>
      </c>
      <c r="D30" s="24"/>
      <c r="E30" s="24"/>
      <c r="F30" s="25">
        <v>2.5</v>
      </c>
      <c r="G30">
        <v>43.5</v>
      </c>
      <c r="H30">
        <v>67</v>
      </c>
      <c r="I30" s="25">
        <v>1</v>
      </c>
      <c r="J30" s="24" t="s">
        <v>27</v>
      </c>
      <c r="K30" s="24" t="s">
        <v>157</v>
      </c>
      <c r="L30" s="24" t="s">
        <v>603</v>
      </c>
      <c r="M30" s="26">
        <f t="shared" si="12"/>
        <v>65.625</v>
      </c>
      <c r="N30" s="27">
        <f t="shared" si="13"/>
        <v>18.416666666666668</v>
      </c>
      <c r="T30">
        <f t="shared" si="1"/>
        <v>129</v>
      </c>
      <c r="U30">
        <f t="shared" si="14"/>
        <v>26053</v>
      </c>
      <c r="V30">
        <f t="shared" ca="1" si="15"/>
        <v>25</v>
      </c>
      <c r="W30">
        <v>3</v>
      </c>
      <c r="X30" t="str">
        <f t="shared" ca="1" si="16"/>
        <v>JE</v>
      </c>
      <c r="Y30" t="s">
        <v>32</v>
      </c>
      <c r="Z30">
        <f t="shared" ca="1" si="17"/>
        <v>2.5</v>
      </c>
      <c r="AA30" t="str">
        <f t="shared" ca="1" si="18"/>
        <v>PAINT</v>
      </c>
      <c r="AB30">
        <f t="shared" ca="1" si="19"/>
        <v>1</v>
      </c>
      <c r="AC30">
        <f ca="1">IF(OR(Y30="L",Y30="R"),(OFFSET($M$19,INT((ROW(A12)-1)/4),0)),IF(Y30="B",IF((OFFSET($A$19,INT((ROW(A12)-1)/4),0))="3 Sided Patio Door",0,(OFFSET($G$19,INT((ROW(A12)-1)/4),0))),(OFFSET($G$19,INT((ROW(A12)-1)/4),0))))</f>
        <v>43.5</v>
      </c>
      <c r="AD30" t="str">
        <f t="shared" si="2"/>
        <v>4093RN153</v>
      </c>
      <c r="AE30" t="str">
        <f t="shared" ca="1" si="21"/>
        <v>PWHITE</v>
      </c>
      <c r="AF30" t="str">
        <f t="shared" ca="1" si="22"/>
        <v/>
      </c>
      <c r="AG30">
        <v>3</v>
      </c>
      <c r="AH30" t="s">
        <v>136</v>
      </c>
      <c r="AI30" t="str">
        <f t="shared" si="3"/>
        <v>Lutheran Home 25</v>
      </c>
      <c r="AJ30" t="str">
        <f t="shared" si="4"/>
        <v>Green Bay</v>
      </c>
      <c r="AK30" t="str">
        <f t="shared" si="5"/>
        <v>WI</v>
      </c>
      <c r="AL30">
        <f t="shared" si="6"/>
        <v>4091142613</v>
      </c>
      <c r="AM30" t="str">
        <f t="shared" si="7"/>
        <v>4093RN153</v>
      </c>
      <c r="AN30" t="str">
        <f t="shared" si="8"/>
        <v/>
      </c>
      <c r="AO30" t="str">
        <f t="shared" si="9"/>
        <v>Pella</v>
      </c>
      <c r="AP30">
        <f t="shared" si="10"/>
        <v>54201</v>
      </c>
      <c r="AQ30">
        <f t="shared" ca="1" si="23"/>
        <v>0</v>
      </c>
      <c r="AR30" s="1">
        <f t="shared" si="11"/>
        <v>46135</v>
      </c>
      <c r="CB30" s="1"/>
    </row>
    <row r="31" spans="1:80" x14ac:dyDescent="0.25">
      <c r="A31" s="23" t="s">
        <v>140</v>
      </c>
      <c r="B31" s="23">
        <v>26</v>
      </c>
      <c r="C31" t="s">
        <v>616</v>
      </c>
      <c r="D31" s="24"/>
      <c r="E31" s="24"/>
      <c r="F31" s="25">
        <v>2.5</v>
      </c>
      <c r="G31">
        <v>43.5</v>
      </c>
      <c r="H31">
        <v>67</v>
      </c>
      <c r="I31" s="25">
        <v>1</v>
      </c>
      <c r="J31" s="24" t="s">
        <v>27</v>
      </c>
      <c r="K31" s="24" t="s">
        <v>157</v>
      </c>
      <c r="L31" s="24" t="s">
        <v>603</v>
      </c>
      <c r="M31" s="26">
        <f t="shared" si="12"/>
        <v>65.625</v>
      </c>
      <c r="N31" s="27">
        <f t="shared" si="13"/>
        <v>18.416666666666668</v>
      </c>
      <c r="T31">
        <f t="shared" si="1"/>
        <v>129</v>
      </c>
      <c r="U31">
        <f t="shared" si="14"/>
        <v>26053</v>
      </c>
      <c r="V31">
        <f t="shared" ca="1" si="15"/>
        <v>25</v>
      </c>
      <c r="W31">
        <v>4</v>
      </c>
      <c r="X31" t="str">
        <f t="shared" ca="1" si="16"/>
        <v>JE</v>
      </c>
      <c r="Y31" t="s">
        <v>9</v>
      </c>
      <c r="Z31">
        <f t="shared" ca="1" si="17"/>
        <v>2.5</v>
      </c>
      <c r="AA31" t="str">
        <f t="shared" ca="1" si="18"/>
        <v>PAINT</v>
      </c>
      <c r="AB31">
        <f t="shared" ca="1" si="19"/>
        <v>1</v>
      </c>
      <c r="AC31">
        <f ca="1">IF(OR(Y31="L",Y31="R"),(OFFSET($M$19,INT((ROW(A13)-1)/4),0)),IF(Y31="B",IF((OFFSET($A$19,INT((ROW(A13)-1)/4),0))="3 Sided Patio Door",0,(OFFSET($G$19,INT((ROW(A13)-1)/4),0))),(OFFSET($G$19,INT((ROW(A13)-1)/4),0))))</f>
        <v>65.625</v>
      </c>
      <c r="AD31" t="str">
        <f t="shared" si="2"/>
        <v>4093RN153</v>
      </c>
      <c r="AE31" t="str">
        <f t="shared" ca="1" si="21"/>
        <v>PWHITE</v>
      </c>
      <c r="AF31" t="str">
        <f t="shared" ca="1" si="22"/>
        <v/>
      </c>
      <c r="AG31">
        <v>4</v>
      </c>
      <c r="AH31" t="s">
        <v>136</v>
      </c>
      <c r="AI31" t="str">
        <f t="shared" si="3"/>
        <v>Lutheran Home 25</v>
      </c>
      <c r="AJ31" t="str">
        <f t="shared" si="4"/>
        <v>Green Bay</v>
      </c>
      <c r="AK31" t="str">
        <f t="shared" si="5"/>
        <v>WI</v>
      </c>
      <c r="AL31">
        <f t="shared" si="6"/>
        <v>4091142613</v>
      </c>
      <c r="AM31" t="str">
        <f t="shared" si="7"/>
        <v>4093RN153</v>
      </c>
      <c r="AN31" t="str">
        <f t="shared" si="8"/>
        <v/>
      </c>
      <c r="AO31" t="str">
        <f t="shared" si="9"/>
        <v>Pella</v>
      </c>
      <c r="AP31">
        <f t="shared" si="10"/>
        <v>54201</v>
      </c>
      <c r="AQ31">
        <f t="shared" ca="1" si="23"/>
        <v>0</v>
      </c>
      <c r="AR31" s="1">
        <f t="shared" si="11"/>
        <v>46135</v>
      </c>
      <c r="CB31" s="1"/>
    </row>
    <row r="32" spans="1:80" x14ac:dyDescent="0.25">
      <c r="A32" s="23" t="s">
        <v>140</v>
      </c>
      <c r="B32" s="23">
        <v>26</v>
      </c>
      <c r="C32" t="s">
        <v>616</v>
      </c>
      <c r="D32" s="24"/>
      <c r="E32" s="24"/>
      <c r="F32" s="25">
        <v>2.5</v>
      </c>
      <c r="G32">
        <v>43.5</v>
      </c>
      <c r="H32">
        <v>67</v>
      </c>
      <c r="I32" s="25">
        <v>1</v>
      </c>
      <c r="J32" s="24" t="s">
        <v>27</v>
      </c>
      <c r="K32" s="24" t="s">
        <v>157</v>
      </c>
      <c r="L32" s="24" t="s">
        <v>603</v>
      </c>
      <c r="M32" s="26">
        <f t="shared" si="12"/>
        <v>65.625</v>
      </c>
      <c r="N32" s="27">
        <f t="shared" si="13"/>
        <v>18.416666666666668</v>
      </c>
      <c r="O32" s="31"/>
      <c r="T32">
        <f t="shared" si="1"/>
        <v>129</v>
      </c>
      <c r="U32">
        <f t="shared" si="14"/>
        <v>26053</v>
      </c>
      <c r="V32">
        <f t="shared" ca="1" si="15"/>
        <v>25</v>
      </c>
      <c r="W32">
        <v>4</v>
      </c>
      <c r="X32" t="str">
        <f t="shared" ca="1" si="16"/>
        <v>JE</v>
      </c>
      <c r="Y32" t="s">
        <v>33</v>
      </c>
      <c r="Z32">
        <f t="shared" ca="1" si="17"/>
        <v>2.5</v>
      </c>
      <c r="AA32" t="str">
        <f t="shared" ca="1" si="18"/>
        <v>PAINT</v>
      </c>
      <c r="AB32">
        <f t="shared" ca="1" si="19"/>
        <v>1</v>
      </c>
      <c r="AC32">
        <f t="shared" ca="1" si="20"/>
        <v>65.625</v>
      </c>
      <c r="AD32" t="str">
        <f t="shared" si="2"/>
        <v>4093RN153</v>
      </c>
      <c r="AE32" t="str">
        <f t="shared" ca="1" si="21"/>
        <v>PWHITE</v>
      </c>
      <c r="AF32" t="str">
        <f t="shared" ca="1" si="22"/>
        <v/>
      </c>
      <c r="AG32">
        <v>4</v>
      </c>
      <c r="AH32" t="s">
        <v>136</v>
      </c>
      <c r="AI32" t="str">
        <f t="shared" si="3"/>
        <v>Lutheran Home 25</v>
      </c>
      <c r="AJ32" t="str">
        <f t="shared" si="4"/>
        <v>Green Bay</v>
      </c>
      <c r="AK32" t="str">
        <f t="shared" si="5"/>
        <v>WI</v>
      </c>
      <c r="AL32">
        <f t="shared" si="6"/>
        <v>4091142613</v>
      </c>
      <c r="AM32" t="str">
        <f t="shared" si="7"/>
        <v>4093RN153</v>
      </c>
      <c r="AN32" t="str">
        <f t="shared" si="8"/>
        <v/>
      </c>
      <c r="AO32" t="str">
        <f t="shared" si="9"/>
        <v>Pella</v>
      </c>
      <c r="AP32">
        <f t="shared" si="10"/>
        <v>54201</v>
      </c>
      <c r="AQ32">
        <f t="shared" ca="1" si="23"/>
        <v>0</v>
      </c>
      <c r="AR32" s="1">
        <f t="shared" si="11"/>
        <v>46135</v>
      </c>
      <c r="CB32" s="1"/>
    </row>
    <row r="33" spans="1:80" x14ac:dyDescent="0.25">
      <c r="A33" s="23" t="s">
        <v>140</v>
      </c>
      <c r="B33" s="23">
        <v>45</v>
      </c>
      <c r="C33" t="s">
        <v>617</v>
      </c>
      <c r="D33" s="24"/>
      <c r="E33" s="24"/>
      <c r="F33" s="25">
        <v>2.5</v>
      </c>
      <c r="G33">
        <v>105.5</v>
      </c>
      <c r="H33">
        <v>67</v>
      </c>
      <c r="I33" s="25">
        <v>1</v>
      </c>
      <c r="J33" s="24" t="s">
        <v>27</v>
      </c>
      <c r="K33" s="24" t="s">
        <v>157</v>
      </c>
      <c r="L33" s="24" t="s">
        <v>603</v>
      </c>
      <c r="M33" s="26">
        <f t="shared" si="12"/>
        <v>65.625</v>
      </c>
      <c r="N33" s="27">
        <f t="shared" si="13"/>
        <v>28.75</v>
      </c>
      <c r="O33" s="31"/>
      <c r="T33">
        <f t="shared" si="1"/>
        <v>129</v>
      </c>
      <c r="U33">
        <f t="shared" si="14"/>
        <v>26053</v>
      </c>
      <c r="V33">
        <f t="shared" ca="1" si="15"/>
        <v>25</v>
      </c>
      <c r="W33">
        <v>4</v>
      </c>
      <c r="X33" t="str">
        <f t="shared" ca="1" si="16"/>
        <v>JE</v>
      </c>
      <c r="Y33" t="s">
        <v>28</v>
      </c>
      <c r="Z33">
        <f t="shared" ca="1" si="17"/>
        <v>2.5</v>
      </c>
      <c r="AA33" t="str">
        <f t="shared" ca="1" si="18"/>
        <v>PAINT</v>
      </c>
      <c r="AB33">
        <f t="shared" ca="1" si="19"/>
        <v>1</v>
      </c>
      <c r="AC33">
        <f t="shared" ca="1" si="20"/>
        <v>43.5</v>
      </c>
      <c r="AD33" t="str">
        <f t="shared" si="2"/>
        <v>4093RN153</v>
      </c>
      <c r="AE33" t="str">
        <f t="shared" ca="1" si="21"/>
        <v>PWHITE</v>
      </c>
      <c r="AF33" t="str">
        <f t="shared" ca="1" si="22"/>
        <v/>
      </c>
      <c r="AG33">
        <v>4</v>
      </c>
      <c r="AH33" t="s">
        <v>136</v>
      </c>
      <c r="AI33" t="str">
        <f t="shared" si="3"/>
        <v>Lutheran Home 25</v>
      </c>
      <c r="AJ33" t="str">
        <f t="shared" si="4"/>
        <v>Green Bay</v>
      </c>
      <c r="AK33" t="str">
        <f t="shared" si="5"/>
        <v>WI</v>
      </c>
      <c r="AL33">
        <f t="shared" si="6"/>
        <v>4091142613</v>
      </c>
      <c r="AM33" t="str">
        <f t="shared" si="7"/>
        <v>4093RN153</v>
      </c>
      <c r="AN33" t="str">
        <f t="shared" si="8"/>
        <v/>
      </c>
      <c r="AO33" t="str">
        <f t="shared" si="9"/>
        <v>Pella</v>
      </c>
      <c r="AP33">
        <f t="shared" si="10"/>
        <v>54201</v>
      </c>
      <c r="AQ33">
        <f t="shared" ca="1" si="23"/>
        <v>0</v>
      </c>
      <c r="AR33" s="1">
        <f t="shared" si="11"/>
        <v>46135</v>
      </c>
      <c r="CB33" s="1"/>
    </row>
    <row r="34" spans="1:80" x14ac:dyDescent="0.25">
      <c r="A34" s="23" t="s">
        <v>140</v>
      </c>
      <c r="B34" s="23">
        <v>46</v>
      </c>
      <c r="C34" t="s">
        <v>618</v>
      </c>
      <c r="D34" s="24"/>
      <c r="E34" s="24"/>
      <c r="F34" s="25">
        <v>2.5</v>
      </c>
      <c r="G34">
        <v>105.5</v>
      </c>
      <c r="H34">
        <v>67</v>
      </c>
      <c r="I34" s="25">
        <v>1</v>
      </c>
      <c r="J34" s="24" t="s">
        <v>27</v>
      </c>
      <c r="K34" s="24" t="s">
        <v>157</v>
      </c>
      <c r="L34" s="24" t="s">
        <v>603</v>
      </c>
      <c r="M34" s="26">
        <f t="shared" si="12"/>
        <v>65.625</v>
      </c>
      <c r="N34" s="27">
        <f t="shared" si="13"/>
        <v>28.75</v>
      </c>
      <c r="O34" s="31"/>
      <c r="T34">
        <f t="shared" si="1"/>
        <v>129</v>
      </c>
      <c r="U34">
        <f t="shared" si="14"/>
        <v>26053</v>
      </c>
      <c r="V34">
        <f t="shared" ca="1" si="15"/>
        <v>25</v>
      </c>
      <c r="W34">
        <v>4</v>
      </c>
      <c r="X34" t="str">
        <f t="shared" ca="1" si="16"/>
        <v>JE</v>
      </c>
      <c r="Y34" t="s">
        <v>32</v>
      </c>
      <c r="Z34">
        <f t="shared" ca="1" si="17"/>
        <v>2.5</v>
      </c>
      <c r="AA34" t="str">
        <f t="shared" ca="1" si="18"/>
        <v>PAINT</v>
      </c>
      <c r="AB34">
        <f t="shared" ca="1" si="19"/>
        <v>1</v>
      </c>
      <c r="AC34">
        <f t="shared" ca="1" si="20"/>
        <v>43.5</v>
      </c>
      <c r="AD34" t="str">
        <f t="shared" si="2"/>
        <v>4093RN153</v>
      </c>
      <c r="AE34" t="str">
        <f t="shared" ca="1" si="21"/>
        <v>PWHITE</v>
      </c>
      <c r="AF34" t="str">
        <f t="shared" ca="1" si="22"/>
        <v/>
      </c>
      <c r="AG34">
        <v>4</v>
      </c>
      <c r="AH34" t="s">
        <v>136</v>
      </c>
      <c r="AI34" t="str">
        <f t="shared" si="3"/>
        <v>Lutheran Home 25</v>
      </c>
      <c r="AJ34" t="str">
        <f t="shared" si="4"/>
        <v>Green Bay</v>
      </c>
      <c r="AK34" t="str">
        <f t="shared" si="5"/>
        <v>WI</v>
      </c>
      <c r="AL34">
        <f t="shared" si="6"/>
        <v>4091142613</v>
      </c>
      <c r="AM34" t="str">
        <f t="shared" si="7"/>
        <v>4093RN153</v>
      </c>
      <c r="AN34" t="str">
        <f t="shared" si="8"/>
        <v/>
      </c>
      <c r="AO34" t="str">
        <f t="shared" si="9"/>
        <v>Pella</v>
      </c>
      <c r="AP34">
        <f t="shared" si="10"/>
        <v>54201</v>
      </c>
      <c r="AQ34">
        <f t="shared" ca="1" si="23"/>
        <v>0</v>
      </c>
      <c r="AR34" s="1">
        <f t="shared" si="11"/>
        <v>46135</v>
      </c>
      <c r="CB34" s="1"/>
    </row>
    <row r="35" spans="1:80" x14ac:dyDescent="0.25">
      <c r="A35" s="23" t="s">
        <v>140</v>
      </c>
      <c r="B35" s="23">
        <v>50</v>
      </c>
      <c r="C35" t="s">
        <v>619</v>
      </c>
      <c r="D35" s="24"/>
      <c r="E35" s="24"/>
      <c r="F35" s="25">
        <v>2.5</v>
      </c>
      <c r="G35">
        <v>138.5</v>
      </c>
      <c r="H35">
        <v>67</v>
      </c>
      <c r="I35" s="25">
        <v>1</v>
      </c>
      <c r="J35" s="24" t="s">
        <v>27</v>
      </c>
      <c r="K35" s="24" t="s">
        <v>157</v>
      </c>
      <c r="L35" s="24" t="s">
        <v>603</v>
      </c>
      <c r="M35" s="26">
        <f t="shared" si="12"/>
        <v>65.625</v>
      </c>
      <c r="N35" s="27">
        <f t="shared" si="13"/>
        <v>34.25</v>
      </c>
      <c r="O35" s="31"/>
      <c r="T35">
        <f t="shared" si="1"/>
        <v>129</v>
      </c>
      <c r="U35">
        <f t="shared" si="14"/>
        <v>26053</v>
      </c>
      <c r="V35">
        <f t="shared" ca="1" si="15"/>
        <v>25</v>
      </c>
      <c r="W35">
        <v>5</v>
      </c>
      <c r="X35" t="str">
        <f t="shared" ca="1" si="16"/>
        <v>JE</v>
      </c>
      <c r="Y35" t="s">
        <v>9</v>
      </c>
      <c r="Z35">
        <f t="shared" ca="1" si="17"/>
        <v>2.5</v>
      </c>
      <c r="AA35" t="str">
        <f t="shared" ca="1" si="18"/>
        <v>PAINT</v>
      </c>
      <c r="AB35">
        <f t="shared" ca="1" si="19"/>
        <v>1</v>
      </c>
      <c r="AC35">
        <f t="shared" ca="1" si="20"/>
        <v>65.625</v>
      </c>
      <c r="AD35" t="str">
        <f t="shared" si="2"/>
        <v>4093RN153</v>
      </c>
      <c r="AE35" t="str">
        <f t="shared" ca="1" si="21"/>
        <v>PWHITE</v>
      </c>
      <c r="AF35" t="str">
        <f t="shared" ca="1" si="22"/>
        <v/>
      </c>
      <c r="AG35">
        <v>5</v>
      </c>
      <c r="AH35" t="s">
        <v>136</v>
      </c>
      <c r="AI35" t="str">
        <f t="shared" si="3"/>
        <v>Lutheran Home 25</v>
      </c>
      <c r="AJ35" t="str">
        <f t="shared" si="4"/>
        <v>Green Bay</v>
      </c>
      <c r="AK35" t="str">
        <f t="shared" si="5"/>
        <v>WI</v>
      </c>
      <c r="AL35">
        <f t="shared" si="6"/>
        <v>4091142613</v>
      </c>
      <c r="AM35" t="str">
        <f t="shared" si="7"/>
        <v>4093RN153</v>
      </c>
      <c r="AN35" t="str">
        <f t="shared" si="8"/>
        <v/>
      </c>
      <c r="AO35" t="str">
        <f t="shared" si="9"/>
        <v>Pella</v>
      </c>
      <c r="AP35">
        <f t="shared" si="10"/>
        <v>54201</v>
      </c>
      <c r="AQ35">
        <f t="shared" ca="1" si="23"/>
        <v>0</v>
      </c>
      <c r="AR35" s="1">
        <f t="shared" si="11"/>
        <v>46135</v>
      </c>
      <c r="CB35" s="1"/>
    </row>
    <row r="36" spans="1:80" x14ac:dyDescent="0.25">
      <c r="A36" s="23" t="s">
        <v>140</v>
      </c>
      <c r="B36" s="23">
        <v>50</v>
      </c>
      <c r="C36" t="s">
        <v>619</v>
      </c>
      <c r="D36" s="24"/>
      <c r="E36" s="24"/>
      <c r="F36" s="25">
        <v>2.5</v>
      </c>
      <c r="G36">
        <v>138.5</v>
      </c>
      <c r="H36">
        <v>67</v>
      </c>
      <c r="I36" s="25">
        <v>1</v>
      </c>
      <c r="J36" s="24" t="s">
        <v>27</v>
      </c>
      <c r="K36" s="24" t="s">
        <v>157</v>
      </c>
      <c r="L36" s="24" t="s">
        <v>603</v>
      </c>
      <c r="M36" s="26">
        <f t="shared" si="12"/>
        <v>65.625</v>
      </c>
      <c r="N36" s="27">
        <f t="shared" si="13"/>
        <v>34.25</v>
      </c>
      <c r="O36" s="31"/>
      <c r="T36">
        <f t="shared" si="1"/>
        <v>129</v>
      </c>
      <c r="U36">
        <f t="shared" si="14"/>
        <v>26053</v>
      </c>
      <c r="V36">
        <f t="shared" ca="1" si="15"/>
        <v>25</v>
      </c>
      <c r="W36">
        <v>5</v>
      </c>
      <c r="X36" t="str">
        <f t="shared" ca="1" si="16"/>
        <v>JE</v>
      </c>
      <c r="Y36" t="s">
        <v>33</v>
      </c>
      <c r="Z36">
        <f t="shared" ca="1" si="17"/>
        <v>2.5</v>
      </c>
      <c r="AA36" t="str">
        <f t="shared" ca="1" si="18"/>
        <v>PAINT</v>
      </c>
      <c r="AB36">
        <f t="shared" ca="1" si="19"/>
        <v>1</v>
      </c>
      <c r="AC36">
        <f t="shared" ca="1" si="20"/>
        <v>65.625</v>
      </c>
      <c r="AD36" t="str">
        <f t="shared" si="2"/>
        <v>4093RN153</v>
      </c>
      <c r="AE36" t="str">
        <f t="shared" ca="1" si="21"/>
        <v>PWHITE</v>
      </c>
      <c r="AF36" t="str">
        <f t="shared" ca="1" si="22"/>
        <v/>
      </c>
      <c r="AG36">
        <v>5</v>
      </c>
      <c r="AH36" t="s">
        <v>136</v>
      </c>
      <c r="AI36" t="str">
        <f t="shared" si="3"/>
        <v>Lutheran Home 25</v>
      </c>
      <c r="AJ36" t="str">
        <f t="shared" si="4"/>
        <v>Green Bay</v>
      </c>
      <c r="AK36" t="str">
        <f t="shared" si="5"/>
        <v>WI</v>
      </c>
      <c r="AL36">
        <f t="shared" si="6"/>
        <v>4091142613</v>
      </c>
      <c r="AM36" t="str">
        <f t="shared" si="7"/>
        <v>4093RN153</v>
      </c>
      <c r="AN36" t="str">
        <f t="shared" si="8"/>
        <v/>
      </c>
      <c r="AO36" t="str">
        <f t="shared" si="9"/>
        <v>Pella</v>
      </c>
      <c r="AP36">
        <f t="shared" si="10"/>
        <v>54201</v>
      </c>
      <c r="AQ36">
        <f t="shared" ca="1" si="23"/>
        <v>0</v>
      </c>
      <c r="AR36" s="1">
        <f t="shared" si="11"/>
        <v>46135</v>
      </c>
      <c r="CB36" s="1"/>
    </row>
    <row r="37" spans="1:80" x14ac:dyDescent="0.25">
      <c r="A37" s="23" t="s">
        <v>140</v>
      </c>
      <c r="B37" s="23">
        <v>50</v>
      </c>
      <c r="C37" t="s">
        <v>619</v>
      </c>
      <c r="D37" s="24"/>
      <c r="E37" s="24"/>
      <c r="F37" s="25">
        <v>2.5</v>
      </c>
      <c r="G37">
        <v>138.5</v>
      </c>
      <c r="H37">
        <v>67</v>
      </c>
      <c r="I37" s="25">
        <v>1</v>
      </c>
      <c r="J37" s="24" t="s">
        <v>27</v>
      </c>
      <c r="K37" s="24" t="s">
        <v>157</v>
      </c>
      <c r="L37" s="24" t="s">
        <v>603</v>
      </c>
      <c r="M37" s="26">
        <f t="shared" si="12"/>
        <v>65.625</v>
      </c>
      <c r="N37" s="27">
        <f t="shared" si="13"/>
        <v>34.25</v>
      </c>
      <c r="O37" s="31"/>
      <c r="T37">
        <f t="shared" si="1"/>
        <v>129</v>
      </c>
      <c r="U37">
        <f t="shared" si="14"/>
        <v>26053</v>
      </c>
      <c r="V37">
        <f t="shared" ca="1" si="15"/>
        <v>25</v>
      </c>
      <c r="W37">
        <v>5</v>
      </c>
      <c r="X37" t="str">
        <f t="shared" ca="1" si="16"/>
        <v>JE</v>
      </c>
      <c r="Y37" t="s">
        <v>28</v>
      </c>
      <c r="Z37">
        <f t="shared" ca="1" si="17"/>
        <v>2.5</v>
      </c>
      <c r="AA37" t="str">
        <f t="shared" ca="1" si="18"/>
        <v>PAINT</v>
      </c>
      <c r="AB37">
        <f t="shared" ca="1" si="19"/>
        <v>1</v>
      </c>
      <c r="AC37">
        <f t="shared" ca="1" si="20"/>
        <v>43.5</v>
      </c>
      <c r="AD37" t="str">
        <f t="shared" si="2"/>
        <v>4093RN153</v>
      </c>
      <c r="AE37" t="str">
        <f t="shared" ca="1" si="21"/>
        <v>PWHITE</v>
      </c>
      <c r="AF37" t="str">
        <f t="shared" ca="1" si="22"/>
        <v/>
      </c>
      <c r="AG37">
        <v>5</v>
      </c>
      <c r="AH37" t="s">
        <v>136</v>
      </c>
      <c r="AI37" t="str">
        <f t="shared" si="3"/>
        <v>Lutheran Home 25</v>
      </c>
      <c r="AJ37" t="str">
        <f t="shared" si="4"/>
        <v>Green Bay</v>
      </c>
      <c r="AK37" t="str">
        <f t="shared" si="5"/>
        <v>WI</v>
      </c>
      <c r="AL37">
        <f t="shared" si="6"/>
        <v>4091142613</v>
      </c>
      <c r="AM37" t="str">
        <f t="shared" si="7"/>
        <v>4093RN153</v>
      </c>
      <c r="AN37" t="str">
        <f t="shared" si="8"/>
        <v/>
      </c>
      <c r="AO37" t="str">
        <f t="shared" si="9"/>
        <v>Pella</v>
      </c>
      <c r="AP37">
        <f t="shared" si="10"/>
        <v>54201</v>
      </c>
      <c r="AQ37">
        <f t="shared" ca="1" si="23"/>
        <v>0</v>
      </c>
      <c r="AR37" s="1">
        <f t="shared" si="11"/>
        <v>46135</v>
      </c>
      <c r="CB37" s="1"/>
    </row>
    <row r="38" spans="1:80" x14ac:dyDescent="0.25">
      <c r="A38" s="23" t="s">
        <v>140</v>
      </c>
      <c r="B38" s="23">
        <v>50</v>
      </c>
      <c r="C38" t="s">
        <v>619</v>
      </c>
      <c r="D38" s="24"/>
      <c r="E38" s="24"/>
      <c r="F38" s="25">
        <v>2.5</v>
      </c>
      <c r="G38">
        <v>138.5</v>
      </c>
      <c r="H38">
        <v>67</v>
      </c>
      <c r="I38" s="25">
        <v>1</v>
      </c>
      <c r="J38" s="24" t="s">
        <v>27</v>
      </c>
      <c r="K38" s="24" t="s">
        <v>157</v>
      </c>
      <c r="L38" s="24" t="s">
        <v>603</v>
      </c>
      <c r="M38" s="26">
        <f t="shared" si="12"/>
        <v>65.625</v>
      </c>
      <c r="N38" s="27">
        <f t="shared" si="13"/>
        <v>34.25</v>
      </c>
      <c r="O38" s="31"/>
      <c r="T38">
        <f t="shared" si="1"/>
        <v>129</v>
      </c>
      <c r="U38">
        <f t="shared" si="14"/>
        <v>26053</v>
      </c>
      <c r="V38">
        <f t="shared" ca="1" si="15"/>
        <v>25</v>
      </c>
      <c r="W38">
        <v>5</v>
      </c>
      <c r="X38" t="str">
        <f t="shared" ca="1" si="16"/>
        <v>JE</v>
      </c>
      <c r="Y38" t="s">
        <v>32</v>
      </c>
      <c r="Z38">
        <f t="shared" ca="1" si="17"/>
        <v>2.5</v>
      </c>
      <c r="AA38" t="str">
        <f t="shared" ca="1" si="18"/>
        <v>PAINT</v>
      </c>
      <c r="AB38">
        <f t="shared" ca="1" si="19"/>
        <v>1</v>
      </c>
      <c r="AC38">
        <f t="shared" ca="1" si="20"/>
        <v>43.5</v>
      </c>
      <c r="AD38" t="str">
        <f t="shared" si="2"/>
        <v>4093RN153</v>
      </c>
      <c r="AE38" t="str">
        <f t="shared" ca="1" si="21"/>
        <v>PWHITE</v>
      </c>
      <c r="AF38" t="str">
        <f t="shared" ca="1" si="22"/>
        <v/>
      </c>
      <c r="AG38">
        <v>5</v>
      </c>
      <c r="AH38" t="s">
        <v>136</v>
      </c>
      <c r="AI38" t="str">
        <f t="shared" si="3"/>
        <v>Lutheran Home 25</v>
      </c>
      <c r="AJ38" t="str">
        <f t="shared" si="4"/>
        <v>Green Bay</v>
      </c>
      <c r="AK38" t="str">
        <f t="shared" si="5"/>
        <v>WI</v>
      </c>
      <c r="AL38">
        <f t="shared" si="6"/>
        <v>4091142613</v>
      </c>
      <c r="AM38" t="str">
        <f t="shared" si="7"/>
        <v>4093RN153</v>
      </c>
      <c r="AN38" t="str">
        <f t="shared" si="8"/>
        <v/>
      </c>
      <c r="AO38" t="str">
        <f t="shared" si="9"/>
        <v>Pella</v>
      </c>
      <c r="AP38">
        <f t="shared" si="10"/>
        <v>54201</v>
      </c>
      <c r="AQ38">
        <f t="shared" ca="1" si="23"/>
        <v>0</v>
      </c>
      <c r="AR38" s="1">
        <f t="shared" si="11"/>
        <v>46135</v>
      </c>
      <c r="CB38" s="1"/>
    </row>
    <row r="39" spans="1:80" x14ac:dyDescent="0.25">
      <c r="A39" s="23" t="s">
        <v>140</v>
      </c>
      <c r="B39" s="23">
        <v>50</v>
      </c>
      <c r="C39" t="s">
        <v>619</v>
      </c>
      <c r="D39" s="24"/>
      <c r="E39" s="24"/>
      <c r="F39" s="25">
        <v>2.5</v>
      </c>
      <c r="G39">
        <v>138.5</v>
      </c>
      <c r="H39">
        <v>67</v>
      </c>
      <c r="I39" s="25">
        <v>1</v>
      </c>
      <c r="J39" s="24" t="s">
        <v>27</v>
      </c>
      <c r="K39" s="24" t="s">
        <v>157</v>
      </c>
      <c r="L39" s="24" t="s">
        <v>603</v>
      </c>
      <c r="M39" s="26">
        <f t="shared" si="12"/>
        <v>65.625</v>
      </c>
      <c r="N39" s="27">
        <f t="shared" si="13"/>
        <v>34.25</v>
      </c>
      <c r="T39">
        <f t="shared" si="1"/>
        <v>129</v>
      </c>
      <c r="U39">
        <f t="shared" si="14"/>
        <v>26053</v>
      </c>
      <c r="V39">
        <f t="shared" ca="1" si="15"/>
        <v>25</v>
      </c>
      <c r="W39">
        <v>6</v>
      </c>
      <c r="X39" t="str">
        <f t="shared" ca="1" si="16"/>
        <v>JE</v>
      </c>
      <c r="Y39" t="s">
        <v>9</v>
      </c>
      <c r="Z39">
        <f t="shared" ca="1" si="17"/>
        <v>2.5</v>
      </c>
      <c r="AA39" t="str">
        <f t="shared" ca="1" si="18"/>
        <v>PAINT</v>
      </c>
      <c r="AB39">
        <f t="shared" ca="1" si="19"/>
        <v>1</v>
      </c>
      <c r="AC39">
        <f t="shared" ca="1" si="20"/>
        <v>65.625</v>
      </c>
      <c r="AD39" t="str">
        <f t="shared" si="2"/>
        <v>4093RN153</v>
      </c>
      <c r="AE39" t="str">
        <f t="shared" ca="1" si="21"/>
        <v>PWHITE</v>
      </c>
      <c r="AF39" t="str">
        <f t="shared" ca="1" si="22"/>
        <v/>
      </c>
      <c r="AG39">
        <v>6</v>
      </c>
      <c r="AH39" t="s">
        <v>136</v>
      </c>
      <c r="AI39" t="str">
        <f t="shared" si="3"/>
        <v>Lutheran Home 25</v>
      </c>
      <c r="AJ39" t="str">
        <f t="shared" si="4"/>
        <v>Green Bay</v>
      </c>
      <c r="AK39" t="str">
        <f t="shared" si="5"/>
        <v>WI</v>
      </c>
      <c r="AL39">
        <f t="shared" si="6"/>
        <v>4091142613</v>
      </c>
      <c r="AM39" t="str">
        <f t="shared" si="7"/>
        <v>4093RN153</v>
      </c>
      <c r="AN39" t="str">
        <f t="shared" si="8"/>
        <v/>
      </c>
      <c r="AO39" t="str">
        <f t="shared" si="9"/>
        <v>Pella</v>
      </c>
      <c r="AP39">
        <f t="shared" si="10"/>
        <v>54201</v>
      </c>
      <c r="AQ39">
        <f t="shared" ca="1" si="23"/>
        <v>0</v>
      </c>
      <c r="AR39" s="1">
        <f t="shared" si="11"/>
        <v>46135</v>
      </c>
      <c r="CB39" s="1"/>
    </row>
    <row r="40" spans="1:80" x14ac:dyDescent="0.25">
      <c r="A40" s="23" t="s">
        <v>140</v>
      </c>
      <c r="B40" s="23">
        <v>55</v>
      </c>
      <c r="C40" t="s">
        <v>620</v>
      </c>
      <c r="D40" s="24"/>
      <c r="E40" s="24"/>
      <c r="F40" s="25">
        <v>2.5</v>
      </c>
      <c r="G40">
        <v>138.5</v>
      </c>
      <c r="H40">
        <v>55</v>
      </c>
      <c r="I40" s="25">
        <v>1</v>
      </c>
      <c r="J40" s="24" t="s">
        <v>27</v>
      </c>
      <c r="K40" s="24" t="s">
        <v>157</v>
      </c>
      <c r="L40" s="24" t="s">
        <v>603</v>
      </c>
      <c r="M40" s="26">
        <f t="shared" si="12"/>
        <v>53.625</v>
      </c>
      <c r="N40" s="27">
        <f t="shared" si="13"/>
        <v>32.25</v>
      </c>
      <c r="T40">
        <f t="shared" si="1"/>
        <v>129</v>
      </c>
      <c r="U40">
        <f t="shared" si="14"/>
        <v>26053</v>
      </c>
      <c r="V40">
        <f t="shared" ca="1" si="15"/>
        <v>25</v>
      </c>
      <c r="W40">
        <v>6</v>
      </c>
      <c r="X40" t="str">
        <f t="shared" ca="1" si="16"/>
        <v>JE</v>
      </c>
      <c r="Y40" t="s">
        <v>33</v>
      </c>
      <c r="Z40">
        <f t="shared" ca="1" si="17"/>
        <v>2.5</v>
      </c>
      <c r="AA40" t="str">
        <f t="shared" ca="1" si="18"/>
        <v>PAINT</v>
      </c>
      <c r="AB40">
        <f t="shared" ca="1" si="19"/>
        <v>1</v>
      </c>
      <c r="AC40">
        <f t="shared" ca="1" si="20"/>
        <v>65.625</v>
      </c>
      <c r="AD40" t="str">
        <f t="shared" si="2"/>
        <v>4093RN153</v>
      </c>
      <c r="AE40" t="str">
        <f t="shared" ca="1" si="21"/>
        <v>PWHITE</v>
      </c>
      <c r="AF40" t="str">
        <f t="shared" ca="1" si="22"/>
        <v/>
      </c>
      <c r="AG40">
        <v>6</v>
      </c>
      <c r="AH40" t="s">
        <v>136</v>
      </c>
      <c r="AI40" t="str">
        <f t="shared" si="3"/>
        <v>Lutheran Home 25</v>
      </c>
      <c r="AJ40" t="str">
        <f t="shared" si="4"/>
        <v>Green Bay</v>
      </c>
      <c r="AK40" t="str">
        <f t="shared" si="5"/>
        <v>WI</v>
      </c>
      <c r="AL40">
        <f t="shared" si="6"/>
        <v>4091142613</v>
      </c>
      <c r="AM40" t="str">
        <f t="shared" si="7"/>
        <v>4093RN153</v>
      </c>
      <c r="AN40" t="str">
        <f t="shared" si="8"/>
        <v/>
      </c>
      <c r="AO40" t="str">
        <f t="shared" si="9"/>
        <v>Pella</v>
      </c>
      <c r="AP40">
        <f t="shared" si="10"/>
        <v>54201</v>
      </c>
      <c r="AQ40">
        <f t="shared" ca="1" si="23"/>
        <v>0</v>
      </c>
      <c r="AR40" s="1">
        <f t="shared" si="11"/>
        <v>46135</v>
      </c>
      <c r="CB40" s="1"/>
    </row>
    <row r="41" spans="1:80" x14ac:dyDescent="0.25">
      <c r="A41" s="23" t="s">
        <v>140</v>
      </c>
      <c r="B41" s="23">
        <v>56</v>
      </c>
      <c r="C41" t="s">
        <v>621</v>
      </c>
      <c r="D41" s="24"/>
      <c r="E41" s="24"/>
      <c r="F41" s="25">
        <v>2.5</v>
      </c>
      <c r="G41">
        <v>132.5</v>
      </c>
      <c r="H41">
        <v>70.25</v>
      </c>
      <c r="I41" s="25">
        <v>1</v>
      </c>
      <c r="J41" s="24" t="s">
        <v>27</v>
      </c>
      <c r="K41" s="24" t="s">
        <v>157</v>
      </c>
      <c r="L41" s="24" t="s">
        <v>603</v>
      </c>
      <c r="M41" s="26">
        <f t="shared" si="12"/>
        <v>68.875</v>
      </c>
      <c r="N41" s="27">
        <f t="shared" si="13"/>
        <v>33.791666666666664</v>
      </c>
      <c r="T41">
        <f t="shared" si="1"/>
        <v>129</v>
      </c>
      <c r="U41">
        <f t="shared" si="14"/>
        <v>26053</v>
      </c>
      <c r="V41">
        <f t="shared" ca="1" si="15"/>
        <v>25</v>
      </c>
      <c r="W41">
        <v>6</v>
      </c>
      <c r="X41" t="str">
        <f t="shared" ca="1" si="16"/>
        <v>JE</v>
      </c>
      <c r="Y41" t="s">
        <v>28</v>
      </c>
      <c r="Z41">
        <f t="shared" ca="1" si="17"/>
        <v>2.5</v>
      </c>
      <c r="AA41" t="str">
        <f t="shared" ca="1" si="18"/>
        <v>PAINT</v>
      </c>
      <c r="AB41">
        <f t="shared" ca="1" si="19"/>
        <v>1</v>
      </c>
      <c r="AC41">
        <f t="shared" ca="1" si="20"/>
        <v>43.5</v>
      </c>
      <c r="AD41" t="str">
        <f t="shared" si="2"/>
        <v>4093RN153</v>
      </c>
      <c r="AE41" t="str">
        <f t="shared" ca="1" si="21"/>
        <v>PWHITE</v>
      </c>
      <c r="AF41" t="str">
        <f t="shared" ca="1" si="22"/>
        <v/>
      </c>
      <c r="AG41">
        <v>6</v>
      </c>
      <c r="AH41" t="s">
        <v>136</v>
      </c>
      <c r="AI41" t="str">
        <f t="shared" si="3"/>
        <v>Lutheran Home 25</v>
      </c>
      <c r="AJ41" t="str">
        <f t="shared" si="4"/>
        <v>Green Bay</v>
      </c>
      <c r="AK41" t="str">
        <f t="shared" si="5"/>
        <v>WI</v>
      </c>
      <c r="AL41">
        <f t="shared" si="6"/>
        <v>4091142613</v>
      </c>
      <c r="AM41" t="str">
        <f t="shared" si="7"/>
        <v>4093RN153</v>
      </c>
      <c r="AN41" t="str">
        <f t="shared" si="8"/>
        <v/>
      </c>
      <c r="AO41" t="str">
        <f t="shared" si="9"/>
        <v>Pella</v>
      </c>
      <c r="AP41">
        <f t="shared" si="10"/>
        <v>54201</v>
      </c>
      <c r="AQ41">
        <f t="shared" ca="1" si="23"/>
        <v>0</v>
      </c>
      <c r="AR41" s="1">
        <f t="shared" si="11"/>
        <v>46135</v>
      </c>
      <c r="CB41" s="1"/>
    </row>
    <row r="42" spans="1:80" x14ac:dyDescent="0.25">
      <c r="A42" s="23" t="s">
        <v>140</v>
      </c>
      <c r="B42" s="23">
        <v>56</v>
      </c>
      <c r="C42" t="s">
        <v>621</v>
      </c>
      <c r="D42" s="24"/>
      <c r="E42" s="24"/>
      <c r="F42" s="25">
        <v>2.5</v>
      </c>
      <c r="G42">
        <v>132.5</v>
      </c>
      <c r="H42">
        <v>70.25</v>
      </c>
      <c r="I42" s="25">
        <v>1</v>
      </c>
      <c r="J42" s="24" t="s">
        <v>27</v>
      </c>
      <c r="K42" s="24" t="s">
        <v>157</v>
      </c>
      <c r="L42" s="24" t="s">
        <v>603</v>
      </c>
      <c r="M42" s="26">
        <f t="shared" si="12"/>
        <v>68.875</v>
      </c>
      <c r="N42" s="27">
        <f t="shared" si="13"/>
        <v>33.791666666666664</v>
      </c>
      <c r="T42">
        <f t="shared" si="1"/>
        <v>129</v>
      </c>
      <c r="U42">
        <f t="shared" si="14"/>
        <v>26053</v>
      </c>
      <c r="V42">
        <f t="shared" ca="1" si="15"/>
        <v>25</v>
      </c>
      <c r="W42">
        <v>6</v>
      </c>
      <c r="X42" t="str">
        <f t="shared" ca="1" si="16"/>
        <v>JE</v>
      </c>
      <c r="Y42" t="s">
        <v>32</v>
      </c>
      <c r="Z42">
        <f t="shared" ca="1" si="17"/>
        <v>2.5</v>
      </c>
      <c r="AA42" t="str">
        <f t="shared" ca="1" si="18"/>
        <v>PAINT</v>
      </c>
      <c r="AB42">
        <f t="shared" ca="1" si="19"/>
        <v>1</v>
      </c>
      <c r="AC42">
        <f t="shared" ca="1" si="20"/>
        <v>43.5</v>
      </c>
      <c r="AD42" t="str">
        <f t="shared" si="2"/>
        <v>4093RN153</v>
      </c>
      <c r="AE42" t="str">
        <f t="shared" ca="1" si="21"/>
        <v>PWHITE</v>
      </c>
      <c r="AF42" t="str">
        <f t="shared" ca="1" si="22"/>
        <v/>
      </c>
      <c r="AG42">
        <v>6</v>
      </c>
      <c r="AH42" t="s">
        <v>136</v>
      </c>
      <c r="AI42" t="str">
        <f t="shared" si="3"/>
        <v>Lutheran Home 25</v>
      </c>
      <c r="AJ42" t="str">
        <f t="shared" si="4"/>
        <v>Green Bay</v>
      </c>
      <c r="AK42" t="str">
        <f t="shared" si="5"/>
        <v>WI</v>
      </c>
      <c r="AL42">
        <f t="shared" si="6"/>
        <v>4091142613</v>
      </c>
      <c r="AM42" t="str">
        <f t="shared" si="7"/>
        <v>4093RN153</v>
      </c>
      <c r="AN42" t="str">
        <f t="shared" si="8"/>
        <v/>
      </c>
      <c r="AO42" t="str">
        <f t="shared" si="9"/>
        <v>Pella</v>
      </c>
      <c r="AP42">
        <f t="shared" si="10"/>
        <v>54201</v>
      </c>
      <c r="AQ42">
        <f t="shared" ca="1" si="23"/>
        <v>0</v>
      </c>
      <c r="AR42" s="1">
        <f t="shared" si="11"/>
        <v>46135</v>
      </c>
      <c r="CB42" s="1"/>
    </row>
    <row r="43" spans="1:80" x14ac:dyDescent="0.25">
      <c r="A43" s="23" t="s">
        <v>140</v>
      </c>
      <c r="B43" s="23">
        <v>56</v>
      </c>
      <c r="C43" t="s">
        <v>621</v>
      </c>
      <c r="D43" s="24"/>
      <c r="E43" s="24"/>
      <c r="F43" s="25">
        <v>2.5</v>
      </c>
      <c r="G43">
        <v>132.5</v>
      </c>
      <c r="H43">
        <v>70.25</v>
      </c>
      <c r="I43" s="25">
        <v>1</v>
      </c>
      <c r="J43" s="24" t="s">
        <v>27</v>
      </c>
      <c r="K43" s="24" t="s">
        <v>157</v>
      </c>
      <c r="L43" s="24" t="s">
        <v>603</v>
      </c>
      <c r="M43" s="26">
        <f t="shared" si="12"/>
        <v>68.875</v>
      </c>
      <c r="N43" s="27">
        <f t="shared" si="13"/>
        <v>33.791666666666664</v>
      </c>
      <c r="T43">
        <f t="shared" si="1"/>
        <v>129</v>
      </c>
      <c r="U43">
        <f t="shared" si="14"/>
        <v>26053</v>
      </c>
      <c r="V43">
        <f t="shared" ca="1" si="15"/>
        <v>25</v>
      </c>
      <c r="W43">
        <v>7</v>
      </c>
      <c r="X43" t="str">
        <f t="shared" ca="1" si="16"/>
        <v>JE</v>
      </c>
      <c r="Y43" t="s">
        <v>9</v>
      </c>
      <c r="Z43">
        <f t="shared" ca="1" si="17"/>
        <v>2.5</v>
      </c>
      <c r="AA43" t="str">
        <f t="shared" ca="1" si="18"/>
        <v>PAINT</v>
      </c>
      <c r="AB43">
        <f t="shared" ca="1" si="19"/>
        <v>1</v>
      </c>
      <c r="AC43">
        <f t="shared" ca="1" si="20"/>
        <v>65.625</v>
      </c>
      <c r="AD43" t="str">
        <f t="shared" si="2"/>
        <v>4093RN153</v>
      </c>
      <c r="AE43" t="str">
        <f t="shared" ca="1" si="21"/>
        <v>PWHITE</v>
      </c>
      <c r="AF43" t="str">
        <f t="shared" ca="1" si="22"/>
        <v/>
      </c>
      <c r="AG43">
        <v>7</v>
      </c>
      <c r="AH43" t="s">
        <v>136</v>
      </c>
      <c r="AI43" t="str">
        <f t="shared" si="3"/>
        <v>Lutheran Home 25</v>
      </c>
      <c r="AJ43" t="str">
        <f t="shared" si="4"/>
        <v>Green Bay</v>
      </c>
      <c r="AK43" t="str">
        <f t="shared" si="5"/>
        <v>WI</v>
      </c>
      <c r="AL43">
        <f t="shared" si="6"/>
        <v>4091142613</v>
      </c>
      <c r="AM43" t="str">
        <f t="shared" si="7"/>
        <v>4093RN153</v>
      </c>
      <c r="AN43" t="str">
        <f t="shared" si="8"/>
        <v/>
      </c>
      <c r="AO43" t="str">
        <f t="shared" si="9"/>
        <v>Pella</v>
      </c>
      <c r="AP43">
        <f t="shared" si="10"/>
        <v>54201</v>
      </c>
      <c r="AQ43">
        <f t="shared" ca="1" si="23"/>
        <v>0</v>
      </c>
      <c r="AR43" s="1">
        <f t="shared" si="11"/>
        <v>46135</v>
      </c>
      <c r="CB43" s="1"/>
    </row>
    <row r="44" spans="1:80" x14ac:dyDescent="0.25">
      <c r="A44" s="23" t="s">
        <v>140</v>
      </c>
      <c r="B44" s="23">
        <v>56</v>
      </c>
      <c r="C44" t="s">
        <v>621</v>
      </c>
      <c r="D44" s="24"/>
      <c r="E44" s="24"/>
      <c r="F44" s="25">
        <v>2.5</v>
      </c>
      <c r="G44">
        <v>132.5</v>
      </c>
      <c r="H44">
        <v>70.25</v>
      </c>
      <c r="I44" s="25">
        <v>1</v>
      </c>
      <c r="J44" s="24" t="s">
        <v>27</v>
      </c>
      <c r="K44" s="24" t="s">
        <v>157</v>
      </c>
      <c r="L44" s="24" t="s">
        <v>603</v>
      </c>
      <c r="M44" s="26">
        <f t="shared" si="12"/>
        <v>68.875</v>
      </c>
      <c r="N44" s="27">
        <f t="shared" si="13"/>
        <v>33.791666666666664</v>
      </c>
      <c r="T44">
        <f t="shared" si="1"/>
        <v>129</v>
      </c>
      <c r="U44">
        <f t="shared" si="14"/>
        <v>26053</v>
      </c>
      <c r="V44">
        <f t="shared" ca="1" si="15"/>
        <v>25</v>
      </c>
      <c r="W44">
        <v>7</v>
      </c>
      <c r="X44" t="str">
        <f t="shared" ca="1" si="16"/>
        <v>JE</v>
      </c>
      <c r="Y44" t="s">
        <v>33</v>
      </c>
      <c r="Z44">
        <f t="shared" ca="1" si="17"/>
        <v>2.5</v>
      </c>
      <c r="AA44" t="str">
        <f t="shared" ca="1" si="18"/>
        <v>PAINT</v>
      </c>
      <c r="AB44">
        <f t="shared" ca="1" si="19"/>
        <v>1</v>
      </c>
      <c r="AC44">
        <f t="shared" ca="1" si="20"/>
        <v>65.625</v>
      </c>
      <c r="AD44" t="str">
        <f t="shared" si="2"/>
        <v>4093RN153</v>
      </c>
      <c r="AE44" t="str">
        <f t="shared" ca="1" si="21"/>
        <v>PWHITE</v>
      </c>
      <c r="AF44" t="str">
        <f t="shared" ca="1" si="22"/>
        <v/>
      </c>
      <c r="AG44">
        <v>7</v>
      </c>
      <c r="AH44" t="s">
        <v>136</v>
      </c>
      <c r="AI44" t="str">
        <f t="shared" si="3"/>
        <v>Lutheran Home 25</v>
      </c>
      <c r="AJ44" t="str">
        <f t="shared" si="4"/>
        <v>Green Bay</v>
      </c>
      <c r="AK44" t="str">
        <f t="shared" si="5"/>
        <v>WI</v>
      </c>
      <c r="AL44">
        <f t="shared" si="6"/>
        <v>4091142613</v>
      </c>
      <c r="AM44" t="str">
        <f t="shared" si="7"/>
        <v>4093RN153</v>
      </c>
      <c r="AN44" t="str">
        <f t="shared" si="8"/>
        <v/>
      </c>
      <c r="AO44" t="str">
        <f t="shared" si="9"/>
        <v>Pella</v>
      </c>
      <c r="AP44">
        <f t="shared" si="10"/>
        <v>54201</v>
      </c>
      <c r="AQ44">
        <f t="shared" ca="1" si="23"/>
        <v>0</v>
      </c>
      <c r="AR44" s="1">
        <f t="shared" si="11"/>
        <v>46135</v>
      </c>
      <c r="CB44" s="1"/>
    </row>
    <row r="45" spans="1:80" x14ac:dyDescent="0.25">
      <c r="A45" s="23" t="s">
        <v>140</v>
      </c>
      <c r="B45" s="23">
        <v>60</v>
      </c>
      <c r="C45" t="s">
        <v>622</v>
      </c>
      <c r="D45" s="24"/>
      <c r="E45" s="24"/>
      <c r="F45" s="25">
        <v>2.5</v>
      </c>
      <c r="G45" s="24">
        <v>168</v>
      </c>
      <c r="H45" s="24">
        <v>67</v>
      </c>
      <c r="I45" s="25">
        <v>1</v>
      </c>
      <c r="J45" s="24" t="s">
        <v>27</v>
      </c>
      <c r="K45" s="24" t="s">
        <v>157</v>
      </c>
      <c r="L45" s="24" t="s">
        <v>603</v>
      </c>
      <c r="M45" s="26">
        <f t="shared" si="12"/>
        <v>65.625</v>
      </c>
      <c r="N45" s="27">
        <f t="shared" si="13"/>
        <v>39.166666666666664</v>
      </c>
      <c r="T45">
        <f t="shared" si="1"/>
        <v>129</v>
      </c>
      <c r="U45">
        <f t="shared" si="14"/>
        <v>26053</v>
      </c>
      <c r="V45">
        <f t="shared" ca="1" si="15"/>
        <v>25</v>
      </c>
      <c r="W45">
        <v>7</v>
      </c>
      <c r="X45" t="str">
        <f t="shared" ca="1" si="16"/>
        <v>JE</v>
      </c>
      <c r="Y45" t="s">
        <v>28</v>
      </c>
      <c r="Z45">
        <f t="shared" ca="1" si="17"/>
        <v>2.5</v>
      </c>
      <c r="AA45" t="str">
        <f t="shared" ca="1" si="18"/>
        <v>PAINT</v>
      </c>
      <c r="AB45">
        <f t="shared" ca="1" si="19"/>
        <v>1</v>
      </c>
      <c r="AC45">
        <f t="shared" ca="1" si="20"/>
        <v>43.5</v>
      </c>
      <c r="AD45" t="str">
        <f t="shared" si="2"/>
        <v>4093RN153</v>
      </c>
      <c r="AE45" t="str">
        <f t="shared" ca="1" si="21"/>
        <v>PWHITE</v>
      </c>
      <c r="AF45" t="str">
        <f t="shared" ca="1" si="22"/>
        <v/>
      </c>
      <c r="AG45">
        <v>7</v>
      </c>
      <c r="AH45" t="s">
        <v>136</v>
      </c>
      <c r="AI45" t="str">
        <f t="shared" si="3"/>
        <v>Lutheran Home 25</v>
      </c>
      <c r="AJ45" t="str">
        <f t="shared" si="4"/>
        <v>Green Bay</v>
      </c>
      <c r="AK45" t="str">
        <f t="shared" si="5"/>
        <v>WI</v>
      </c>
      <c r="AL45">
        <f t="shared" si="6"/>
        <v>4091142613</v>
      </c>
      <c r="AM45" t="str">
        <f t="shared" si="7"/>
        <v>4093RN153</v>
      </c>
      <c r="AN45" t="str">
        <f t="shared" si="8"/>
        <v/>
      </c>
      <c r="AO45" t="str">
        <f t="shared" si="9"/>
        <v>Pella</v>
      </c>
      <c r="AP45">
        <f t="shared" si="10"/>
        <v>54201</v>
      </c>
      <c r="AQ45">
        <f t="shared" ca="1" si="23"/>
        <v>0</v>
      </c>
      <c r="AR45" s="1">
        <f t="shared" si="11"/>
        <v>46135</v>
      </c>
      <c r="CB45" s="1"/>
    </row>
    <row r="46" spans="1:80" x14ac:dyDescent="0.25">
      <c r="A46" s="23" t="s">
        <v>140</v>
      </c>
      <c r="B46" s="23">
        <v>60</v>
      </c>
      <c r="C46" t="s">
        <v>622</v>
      </c>
      <c r="D46" s="24"/>
      <c r="E46" s="24"/>
      <c r="F46" s="25">
        <v>2.5</v>
      </c>
      <c r="G46" s="24">
        <v>168</v>
      </c>
      <c r="H46" s="24">
        <v>67</v>
      </c>
      <c r="I46" s="25">
        <v>1</v>
      </c>
      <c r="J46" s="24" t="s">
        <v>27</v>
      </c>
      <c r="K46" s="24" t="s">
        <v>157</v>
      </c>
      <c r="L46" s="24" t="s">
        <v>603</v>
      </c>
      <c r="M46" s="26">
        <f t="shared" si="12"/>
        <v>65.625</v>
      </c>
      <c r="N46" s="27">
        <f t="shared" si="13"/>
        <v>39.166666666666664</v>
      </c>
      <c r="T46">
        <f t="shared" si="1"/>
        <v>129</v>
      </c>
      <c r="U46">
        <f t="shared" si="14"/>
        <v>26053</v>
      </c>
      <c r="V46">
        <f t="shared" ca="1" si="15"/>
        <v>25</v>
      </c>
      <c r="W46">
        <v>7</v>
      </c>
      <c r="X46" t="str">
        <f t="shared" ca="1" si="16"/>
        <v>JE</v>
      </c>
      <c r="Y46" t="s">
        <v>32</v>
      </c>
      <c r="Z46">
        <f t="shared" ca="1" si="17"/>
        <v>2.5</v>
      </c>
      <c r="AA46" t="str">
        <f t="shared" ca="1" si="18"/>
        <v>PAINT</v>
      </c>
      <c r="AB46">
        <f t="shared" ca="1" si="19"/>
        <v>1</v>
      </c>
      <c r="AC46">
        <f t="shared" ca="1" si="20"/>
        <v>43.5</v>
      </c>
      <c r="AD46" t="str">
        <f t="shared" si="2"/>
        <v>4093RN153</v>
      </c>
      <c r="AE46" t="str">
        <f t="shared" ca="1" si="21"/>
        <v>PWHITE</v>
      </c>
      <c r="AF46" t="str">
        <f t="shared" ca="1" si="22"/>
        <v/>
      </c>
      <c r="AG46">
        <v>7</v>
      </c>
      <c r="AH46" t="s">
        <v>136</v>
      </c>
      <c r="AI46" t="str">
        <f t="shared" si="3"/>
        <v>Lutheran Home 25</v>
      </c>
      <c r="AJ46" t="str">
        <f t="shared" si="4"/>
        <v>Green Bay</v>
      </c>
      <c r="AK46" t="str">
        <f t="shared" si="5"/>
        <v>WI</v>
      </c>
      <c r="AL46">
        <f t="shared" si="6"/>
        <v>4091142613</v>
      </c>
      <c r="AM46" t="str">
        <f t="shared" si="7"/>
        <v>4093RN153</v>
      </c>
      <c r="AN46" t="str">
        <f t="shared" si="8"/>
        <v/>
      </c>
      <c r="AO46" t="str">
        <f t="shared" si="9"/>
        <v>Pella</v>
      </c>
      <c r="AP46">
        <f t="shared" si="10"/>
        <v>54201</v>
      </c>
      <c r="AQ46">
        <f t="shared" ca="1" si="23"/>
        <v>0</v>
      </c>
      <c r="AR46" s="1">
        <f t="shared" si="11"/>
        <v>46135</v>
      </c>
      <c r="CB46" s="1"/>
    </row>
    <row r="47" spans="1:80" x14ac:dyDescent="0.25">
      <c r="A47" s="23" t="s">
        <v>140</v>
      </c>
      <c r="B47" s="23">
        <v>60</v>
      </c>
      <c r="C47" t="s">
        <v>622</v>
      </c>
      <c r="D47" s="24"/>
      <c r="E47" s="24"/>
      <c r="F47" s="25">
        <v>2.5</v>
      </c>
      <c r="G47" s="24">
        <v>168</v>
      </c>
      <c r="H47" s="24">
        <v>67</v>
      </c>
      <c r="I47" s="25">
        <v>1</v>
      </c>
      <c r="J47" s="24" t="s">
        <v>27</v>
      </c>
      <c r="K47" s="24" t="s">
        <v>157</v>
      </c>
      <c r="L47" s="24" t="s">
        <v>603</v>
      </c>
      <c r="M47" s="26">
        <f t="shared" si="12"/>
        <v>65.625</v>
      </c>
      <c r="N47" s="27">
        <f t="shared" si="13"/>
        <v>39.166666666666664</v>
      </c>
      <c r="T47">
        <f t="shared" si="1"/>
        <v>129</v>
      </c>
      <c r="U47">
        <f t="shared" si="14"/>
        <v>26053</v>
      </c>
      <c r="V47">
        <f t="shared" ca="1" si="15"/>
        <v>25</v>
      </c>
      <c r="W47">
        <v>8</v>
      </c>
      <c r="X47" t="str">
        <f t="shared" ca="1" si="16"/>
        <v>JE</v>
      </c>
      <c r="Y47" t="s">
        <v>9</v>
      </c>
      <c r="Z47">
        <f t="shared" ca="1" si="17"/>
        <v>2.5</v>
      </c>
      <c r="AA47" t="str">
        <f t="shared" ca="1" si="18"/>
        <v>PAINT</v>
      </c>
      <c r="AB47">
        <f t="shared" ca="1" si="19"/>
        <v>1</v>
      </c>
      <c r="AC47">
        <f t="shared" ca="1" si="20"/>
        <v>65.625</v>
      </c>
      <c r="AD47" t="str">
        <f t="shared" si="2"/>
        <v>4093RN153</v>
      </c>
      <c r="AE47" t="str">
        <f t="shared" ca="1" si="21"/>
        <v>PWHITE</v>
      </c>
      <c r="AF47" t="str">
        <f t="shared" ca="1" si="22"/>
        <v/>
      </c>
      <c r="AG47">
        <v>8</v>
      </c>
      <c r="AH47" t="s">
        <v>136</v>
      </c>
      <c r="AI47" t="str">
        <f t="shared" si="3"/>
        <v>Lutheran Home 25</v>
      </c>
      <c r="AJ47" t="str">
        <f t="shared" si="4"/>
        <v>Green Bay</v>
      </c>
      <c r="AK47" t="str">
        <f t="shared" si="5"/>
        <v>WI</v>
      </c>
      <c r="AL47">
        <f t="shared" si="6"/>
        <v>4091142613</v>
      </c>
      <c r="AM47" t="str">
        <f t="shared" si="7"/>
        <v>4093RN153</v>
      </c>
      <c r="AN47" t="str">
        <f t="shared" si="8"/>
        <v/>
      </c>
      <c r="AO47" t="str">
        <f t="shared" si="9"/>
        <v>Pella</v>
      </c>
      <c r="AP47">
        <f t="shared" si="10"/>
        <v>54201</v>
      </c>
      <c r="AQ47">
        <f t="shared" ca="1" si="23"/>
        <v>0</v>
      </c>
      <c r="AR47" s="1">
        <f t="shared" si="11"/>
        <v>46135</v>
      </c>
      <c r="CB47" s="1"/>
    </row>
    <row r="48" spans="1:80" x14ac:dyDescent="0.25">
      <c r="A48" s="23" t="s">
        <v>140</v>
      </c>
      <c r="B48" s="23">
        <v>61</v>
      </c>
      <c r="C48" t="s">
        <v>623</v>
      </c>
      <c r="D48" s="24"/>
      <c r="E48" s="24"/>
      <c r="F48" s="25">
        <v>2.5</v>
      </c>
      <c r="G48" s="24">
        <v>168</v>
      </c>
      <c r="H48" s="24">
        <v>67</v>
      </c>
      <c r="I48" s="25">
        <v>1</v>
      </c>
      <c r="J48" s="24" t="s">
        <v>27</v>
      </c>
      <c r="K48" s="24" t="s">
        <v>157</v>
      </c>
      <c r="L48" s="24" t="s">
        <v>603</v>
      </c>
      <c r="M48" s="26">
        <f t="shared" si="12"/>
        <v>65.625</v>
      </c>
      <c r="N48" s="27">
        <f t="shared" si="13"/>
        <v>39.166666666666664</v>
      </c>
      <c r="T48">
        <f t="shared" si="1"/>
        <v>129</v>
      </c>
      <c r="U48">
        <f t="shared" si="14"/>
        <v>26053</v>
      </c>
      <c r="V48">
        <f t="shared" ca="1" si="15"/>
        <v>25</v>
      </c>
      <c r="W48">
        <v>8</v>
      </c>
      <c r="X48" t="str">
        <f t="shared" ca="1" si="16"/>
        <v>JE</v>
      </c>
      <c r="Y48" t="s">
        <v>33</v>
      </c>
      <c r="Z48">
        <f t="shared" ca="1" si="17"/>
        <v>2.5</v>
      </c>
      <c r="AA48" t="str">
        <f t="shared" ca="1" si="18"/>
        <v>PAINT</v>
      </c>
      <c r="AB48">
        <f t="shared" ca="1" si="19"/>
        <v>1</v>
      </c>
      <c r="AC48">
        <f t="shared" ca="1" si="20"/>
        <v>65.625</v>
      </c>
      <c r="AD48" t="str">
        <f t="shared" si="2"/>
        <v>4093RN153</v>
      </c>
      <c r="AE48" t="str">
        <f t="shared" ca="1" si="21"/>
        <v>PWHITE</v>
      </c>
      <c r="AF48" t="str">
        <f t="shared" ca="1" si="22"/>
        <v/>
      </c>
      <c r="AG48">
        <v>8</v>
      </c>
      <c r="AH48" t="s">
        <v>136</v>
      </c>
      <c r="AI48" t="str">
        <f t="shared" si="3"/>
        <v>Lutheran Home 25</v>
      </c>
      <c r="AJ48" t="str">
        <f t="shared" si="4"/>
        <v>Green Bay</v>
      </c>
      <c r="AK48" t="str">
        <f t="shared" si="5"/>
        <v>WI</v>
      </c>
      <c r="AL48">
        <f t="shared" si="6"/>
        <v>4091142613</v>
      </c>
      <c r="AM48" t="str">
        <f t="shared" si="7"/>
        <v>4093RN153</v>
      </c>
      <c r="AN48" t="str">
        <f t="shared" si="8"/>
        <v/>
      </c>
      <c r="AO48" t="str">
        <f t="shared" si="9"/>
        <v>Pella</v>
      </c>
      <c r="AP48">
        <f t="shared" si="10"/>
        <v>54201</v>
      </c>
      <c r="AQ48">
        <f t="shared" ca="1" si="23"/>
        <v>0</v>
      </c>
      <c r="AR48" s="1">
        <f t="shared" si="11"/>
        <v>46135</v>
      </c>
      <c r="CB48" s="1"/>
    </row>
    <row r="49" spans="1:80" x14ac:dyDescent="0.25">
      <c r="A49" s="23" t="s">
        <v>140</v>
      </c>
      <c r="B49" s="23">
        <v>61</v>
      </c>
      <c r="C49" t="s">
        <v>623</v>
      </c>
      <c r="D49" s="24"/>
      <c r="E49" s="24"/>
      <c r="F49" s="25">
        <v>2.5</v>
      </c>
      <c r="G49" s="24">
        <v>168</v>
      </c>
      <c r="H49" s="24">
        <v>67</v>
      </c>
      <c r="I49" s="25">
        <v>1</v>
      </c>
      <c r="J49" s="24" t="s">
        <v>27</v>
      </c>
      <c r="K49" s="24" t="s">
        <v>157</v>
      </c>
      <c r="L49" s="24" t="s">
        <v>603</v>
      </c>
      <c r="M49" s="26">
        <f t="shared" si="12"/>
        <v>65.625</v>
      </c>
      <c r="N49" s="27">
        <f t="shared" si="13"/>
        <v>39.166666666666664</v>
      </c>
      <c r="T49">
        <f t="shared" si="1"/>
        <v>129</v>
      </c>
      <c r="U49">
        <f t="shared" si="14"/>
        <v>26053</v>
      </c>
      <c r="V49">
        <f t="shared" ca="1" si="15"/>
        <v>25</v>
      </c>
      <c r="W49">
        <v>8</v>
      </c>
      <c r="X49" t="str">
        <f t="shared" ca="1" si="16"/>
        <v>JE</v>
      </c>
      <c r="Y49" t="s">
        <v>28</v>
      </c>
      <c r="Z49">
        <f t="shared" ca="1" si="17"/>
        <v>2.5</v>
      </c>
      <c r="AA49" t="str">
        <f t="shared" ca="1" si="18"/>
        <v>PAINT</v>
      </c>
      <c r="AB49">
        <f t="shared" ca="1" si="19"/>
        <v>1</v>
      </c>
      <c r="AC49">
        <f t="shared" ca="1" si="20"/>
        <v>43.5</v>
      </c>
      <c r="AD49" t="str">
        <f t="shared" si="2"/>
        <v>4093RN153</v>
      </c>
      <c r="AE49" t="str">
        <f t="shared" ca="1" si="21"/>
        <v>PWHITE</v>
      </c>
      <c r="AF49" t="str">
        <f t="shared" ca="1" si="22"/>
        <v/>
      </c>
      <c r="AG49">
        <v>8</v>
      </c>
      <c r="AH49" t="s">
        <v>136</v>
      </c>
      <c r="AI49" t="str">
        <f t="shared" si="3"/>
        <v>Lutheran Home 25</v>
      </c>
      <c r="AJ49" t="str">
        <f t="shared" si="4"/>
        <v>Green Bay</v>
      </c>
      <c r="AK49" t="str">
        <f t="shared" si="5"/>
        <v>WI</v>
      </c>
      <c r="AL49">
        <f t="shared" si="6"/>
        <v>4091142613</v>
      </c>
      <c r="AM49" t="str">
        <f t="shared" si="7"/>
        <v>4093RN153</v>
      </c>
      <c r="AN49" t="str">
        <f t="shared" si="8"/>
        <v/>
      </c>
      <c r="AO49" t="str">
        <f t="shared" si="9"/>
        <v>Pella</v>
      </c>
      <c r="AP49">
        <f t="shared" si="10"/>
        <v>54201</v>
      </c>
      <c r="AQ49">
        <f t="shared" ca="1" si="23"/>
        <v>0</v>
      </c>
      <c r="AR49" s="1">
        <f t="shared" si="11"/>
        <v>46135</v>
      </c>
      <c r="CB49" s="1"/>
    </row>
    <row r="50" spans="1:80" x14ac:dyDescent="0.25">
      <c r="A50" s="23" t="s">
        <v>140</v>
      </c>
      <c r="B50" s="23">
        <v>61</v>
      </c>
      <c r="C50" t="s">
        <v>623</v>
      </c>
      <c r="D50" s="24"/>
      <c r="E50" s="24"/>
      <c r="F50" s="25">
        <v>2.5</v>
      </c>
      <c r="G50" s="24">
        <v>168</v>
      </c>
      <c r="H50" s="24">
        <v>67</v>
      </c>
      <c r="I50" s="25">
        <v>1</v>
      </c>
      <c r="J50" s="24" t="s">
        <v>27</v>
      </c>
      <c r="K50" s="24" t="s">
        <v>157</v>
      </c>
      <c r="L50" s="24" t="s">
        <v>603</v>
      </c>
      <c r="M50" s="26">
        <f t="shared" si="12"/>
        <v>65.625</v>
      </c>
      <c r="N50" s="27">
        <f t="shared" si="13"/>
        <v>39.166666666666664</v>
      </c>
      <c r="T50">
        <f t="shared" si="1"/>
        <v>129</v>
      </c>
      <c r="U50">
        <f t="shared" si="14"/>
        <v>26053</v>
      </c>
      <c r="V50">
        <f t="shared" ca="1" si="15"/>
        <v>25</v>
      </c>
      <c r="W50">
        <v>8</v>
      </c>
      <c r="X50" t="str">
        <f t="shared" ca="1" si="16"/>
        <v>JE</v>
      </c>
      <c r="Y50" t="s">
        <v>32</v>
      </c>
      <c r="Z50">
        <f t="shared" ca="1" si="17"/>
        <v>2.5</v>
      </c>
      <c r="AA50" t="str">
        <f t="shared" ca="1" si="18"/>
        <v>PAINT</v>
      </c>
      <c r="AB50">
        <f t="shared" ca="1" si="19"/>
        <v>1</v>
      </c>
      <c r="AC50">
        <f t="shared" ca="1" si="20"/>
        <v>43.5</v>
      </c>
      <c r="AD50" t="str">
        <f t="shared" si="2"/>
        <v>4093RN153</v>
      </c>
      <c r="AE50" t="str">
        <f t="shared" ca="1" si="21"/>
        <v>PWHITE</v>
      </c>
      <c r="AF50" t="str">
        <f t="shared" ca="1" si="22"/>
        <v/>
      </c>
      <c r="AG50">
        <v>8</v>
      </c>
      <c r="AH50" t="s">
        <v>136</v>
      </c>
      <c r="AI50" t="str">
        <f t="shared" si="3"/>
        <v>Lutheran Home 25</v>
      </c>
      <c r="AJ50" t="str">
        <f t="shared" si="4"/>
        <v>Green Bay</v>
      </c>
      <c r="AK50" t="str">
        <f t="shared" si="5"/>
        <v>WI</v>
      </c>
      <c r="AL50">
        <f t="shared" si="6"/>
        <v>4091142613</v>
      </c>
      <c r="AM50" t="str">
        <f t="shared" si="7"/>
        <v>4093RN153</v>
      </c>
      <c r="AN50" t="str">
        <f t="shared" si="8"/>
        <v/>
      </c>
      <c r="AO50" t="str">
        <f t="shared" si="9"/>
        <v>Pella</v>
      </c>
      <c r="AP50">
        <f t="shared" si="10"/>
        <v>54201</v>
      </c>
      <c r="AQ50">
        <f t="shared" ca="1" si="23"/>
        <v>0</v>
      </c>
      <c r="AR50" s="1">
        <f t="shared" si="11"/>
        <v>46135</v>
      </c>
      <c r="CB50" s="1"/>
    </row>
    <row r="51" spans="1:80" x14ac:dyDescent="0.25">
      <c r="A51" s="23"/>
      <c r="B51" s="23"/>
      <c r="C51" s="23"/>
      <c r="D51" s="24"/>
      <c r="E51" s="24"/>
      <c r="F51" s="25">
        <f t="shared" ref="F51:F83" si="24">D51-E51</f>
        <v>0</v>
      </c>
      <c r="G51" s="24"/>
      <c r="H51" s="24"/>
      <c r="I51" s="25">
        <v>1</v>
      </c>
      <c r="J51" s="24"/>
      <c r="K51" s="24"/>
      <c r="L51" s="24"/>
      <c r="M51" s="26" t="str">
        <f t="shared" si="12"/>
        <v/>
      </c>
      <c r="N51" s="27">
        <f t="shared" si="13"/>
        <v>0</v>
      </c>
      <c r="T51">
        <f t="shared" si="1"/>
        <v>129</v>
      </c>
      <c r="U51">
        <f t="shared" si="14"/>
        <v>26053</v>
      </c>
      <c r="V51">
        <f t="shared" ca="1" si="15"/>
        <v>26</v>
      </c>
      <c r="W51">
        <v>9</v>
      </c>
      <c r="X51" t="str">
        <f t="shared" ca="1" si="16"/>
        <v>JE</v>
      </c>
      <c r="Y51" t="s">
        <v>9</v>
      </c>
      <c r="Z51">
        <f t="shared" ca="1" si="17"/>
        <v>2.5</v>
      </c>
      <c r="AA51" t="str">
        <f t="shared" ca="1" si="18"/>
        <v>PAINT</v>
      </c>
      <c r="AB51">
        <f t="shared" ca="1" si="19"/>
        <v>1</v>
      </c>
      <c r="AC51">
        <f t="shared" ca="1" si="20"/>
        <v>65.625</v>
      </c>
      <c r="AD51" t="str">
        <f t="shared" si="2"/>
        <v>4093RN153</v>
      </c>
      <c r="AE51" t="str">
        <f t="shared" ca="1" si="21"/>
        <v>PWHITE</v>
      </c>
      <c r="AF51" t="str">
        <f t="shared" ca="1" si="22"/>
        <v/>
      </c>
      <c r="AG51">
        <v>9</v>
      </c>
      <c r="AH51" t="s">
        <v>136</v>
      </c>
      <c r="AI51" t="str">
        <f t="shared" si="3"/>
        <v>Lutheran Home 25</v>
      </c>
      <c r="AJ51" t="str">
        <f t="shared" si="4"/>
        <v>Green Bay</v>
      </c>
      <c r="AK51" t="str">
        <f t="shared" si="5"/>
        <v>WI</v>
      </c>
      <c r="AL51">
        <f t="shared" si="6"/>
        <v>4091142613</v>
      </c>
      <c r="AM51" t="str">
        <f t="shared" si="7"/>
        <v>4093RN153</v>
      </c>
      <c r="AN51" t="str">
        <f t="shared" si="8"/>
        <v/>
      </c>
      <c r="AO51" t="str">
        <f t="shared" si="9"/>
        <v>Pella</v>
      </c>
      <c r="AP51">
        <f t="shared" si="10"/>
        <v>54201</v>
      </c>
      <c r="AQ51">
        <f t="shared" ca="1" si="23"/>
        <v>0</v>
      </c>
      <c r="AR51" s="1">
        <f t="shared" si="11"/>
        <v>46135</v>
      </c>
      <c r="CB51" s="1"/>
    </row>
    <row r="52" spans="1:80" x14ac:dyDescent="0.25">
      <c r="A52" s="23"/>
      <c r="B52" s="23"/>
      <c r="C52" s="23"/>
      <c r="D52" s="24"/>
      <c r="E52" s="24"/>
      <c r="F52" s="25">
        <f t="shared" si="24"/>
        <v>0</v>
      </c>
      <c r="G52" s="24"/>
      <c r="H52" s="24"/>
      <c r="I52" s="25">
        <v>1</v>
      </c>
      <c r="J52" s="24"/>
      <c r="K52" s="24"/>
      <c r="L52" s="24"/>
      <c r="M52" s="26" t="str">
        <f t="shared" si="12"/>
        <v/>
      </c>
      <c r="N52" s="27">
        <f t="shared" si="13"/>
        <v>0</v>
      </c>
      <c r="T52">
        <f t="shared" si="1"/>
        <v>129</v>
      </c>
      <c r="U52">
        <f t="shared" si="14"/>
        <v>26053</v>
      </c>
      <c r="V52">
        <f t="shared" ca="1" si="15"/>
        <v>26</v>
      </c>
      <c r="W52">
        <v>9</v>
      </c>
      <c r="X52" t="str">
        <f t="shared" ca="1" si="16"/>
        <v>JE</v>
      </c>
      <c r="Y52" t="s">
        <v>33</v>
      </c>
      <c r="Z52">
        <f t="shared" ca="1" si="17"/>
        <v>2.5</v>
      </c>
      <c r="AA52" t="str">
        <f t="shared" ca="1" si="18"/>
        <v>PAINT</v>
      </c>
      <c r="AB52">
        <f t="shared" ca="1" si="19"/>
        <v>1</v>
      </c>
      <c r="AC52">
        <f t="shared" ca="1" si="20"/>
        <v>65.625</v>
      </c>
      <c r="AD52" t="str">
        <f t="shared" si="2"/>
        <v>4093RN153</v>
      </c>
      <c r="AE52" t="str">
        <f t="shared" ca="1" si="21"/>
        <v>PWHITE</v>
      </c>
      <c r="AF52" t="str">
        <f t="shared" ca="1" si="22"/>
        <v/>
      </c>
      <c r="AG52">
        <v>9</v>
      </c>
      <c r="AH52" t="s">
        <v>136</v>
      </c>
      <c r="AI52" t="str">
        <f t="shared" si="3"/>
        <v>Lutheran Home 25</v>
      </c>
      <c r="AJ52" t="str">
        <f t="shared" si="4"/>
        <v>Green Bay</v>
      </c>
      <c r="AK52" t="str">
        <f t="shared" si="5"/>
        <v>WI</v>
      </c>
      <c r="AL52">
        <f t="shared" si="6"/>
        <v>4091142613</v>
      </c>
      <c r="AM52" t="str">
        <f t="shared" si="7"/>
        <v>4093RN153</v>
      </c>
      <c r="AN52" t="str">
        <f t="shared" si="8"/>
        <v/>
      </c>
      <c r="AO52" t="str">
        <f t="shared" si="9"/>
        <v>Pella</v>
      </c>
      <c r="AP52">
        <f t="shared" si="10"/>
        <v>54201</v>
      </c>
      <c r="AQ52">
        <f t="shared" ca="1" si="23"/>
        <v>0</v>
      </c>
      <c r="AR52" s="1">
        <f t="shared" si="11"/>
        <v>46135</v>
      </c>
      <c r="CB52" s="1"/>
    </row>
    <row r="53" spans="1:80" x14ac:dyDescent="0.25">
      <c r="A53" s="23"/>
      <c r="B53" s="23"/>
      <c r="C53" s="23"/>
      <c r="D53" s="24"/>
      <c r="E53" s="24"/>
      <c r="F53" s="25">
        <f t="shared" si="24"/>
        <v>0</v>
      </c>
      <c r="G53" s="24"/>
      <c r="H53" s="24"/>
      <c r="I53" s="25">
        <v>1</v>
      </c>
      <c r="J53" s="24"/>
      <c r="K53" s="24"/>
      <c r="L53" s="24"/>
      <c r="M53" s="26" t="str">
        <f t="shared" si="12"/>
        <v/>
      </c>
      <c r="N53" s="27">
        <f t="shared" si="13"/>
        <v>0</v>
      </c>
      <c r="T53">
        <f t="shared" si="1"/>
        <v>129</v>
      </c>
      <c r="U53">
        <f t="shared" si="14"/>
        <v>26053</v>
      </c>
      <c r="V53">
        <f t="shared" ca="1" si="15"/>
        <v>26</v>
      </c>
      <c r="W53">
        <v>9</v>
      </c>
      <c r="X53" t="str">
        <f t="shared" ca="1" si="16"/>
        <v>JE</v>
      </c>
      <c r="Y53" t="s">
        <v>28</v>
      </c>
      <c r="Z53">
        <f t="shared" ca="1" si="17"/>
        <v>2.5</v>
      </c>
      <c r="AA53" t="str">
        <f t="shared" ca="1" si="18"/>
        <v>PAINT</v>
      </c>
      <c r="AB53">
        <f t="shared" ca="1" si="19"/>
        <v>1</v>
      </c>
      <c r="AC53">
        <f t="shared" ca="1" si="20"/>
        <v>43.5</v>
      </c>
      <c r="AD53" t="str">
        <f t="shared" si="2"/>
        <v>4093RN153</v>
      </c>
      <c r="AE53" t="str">
        <f t="shared" ca="1" si="21"/>
        <v>PWHITE</v>
      </c>
      <c r="AF53" t="str">
        <f t="shared" ca="1" si="22"/>
        <v/>
      </c>
      <c r="AG53">
        <v>9</v>
      </c>
      <c r="AH53" t="s">
        <v>136</v>
      </c>
      <c r="AI53" t="str">
        <f t="shared" si="3"/>
        <v>Lutheran Home 25</v>
      </c>
      <c r="AJ53" t="str">
        <f t="shared" si="4"/>
        <v>Green Bay</v>
      </c>
      <c r="AK53" t="str">
        <f t="shared" si="5"/>
        <v>WI</v>
      </c>
      <c r="AL53">
        <f t="shared" si="6"/>
        <v>4091142613</v>
      </c>
      <c r="AM53" t="str">
        <f t="shared" si="7"/>
        <v>4093RN153</v>
      </c>
      <c r="AN53" t="str">
        <f t="shared" si="8"/>
        <v/>
      </c>
      <c r="AO53" t="str">
        <f t="shared" si="9"/>
        <v>Pella</v>
      </c>
      <c r="AP53">
        <f t="shared" si="10"/>
        <v>54201</v>
      </c>
      <c r="AQ53">
        <f t="shared" ca="1" si="23"/>
        <v>0</v>
      </c>
      <c r="AR53" s="1">
        <f t="shared" si="11"/>
        <v>46135</v>
      </c>
      <c r="CB53" s="1"/>
    </row>
    <row r="54" spans="1:80" x14ac:dyDescent="0.25">
      <c r="A54" s="23"/>
      <c r="B54" s="23"/>
      <c r="C54" s="23"/>
      <c r="D54" s="24"/>
      <c r="E54" s="24"/>
      <c r="F54" s="25">
        <f t="shared" si="24"/>
        <v>0</v>
      </c>
      <c r="G54" s="24"/>
      <c r="H54" s="24"/>
      <c r="I54" s="25">
        <v>1</v>
      </c>
      <c r="J54" s="24"/>
      <c r="K54" s="24"/>
      <c r="L54" s="24"/>
      <c r="M54" s="26" t="str">
        <f t="shared" si="12"/>
        <v/>
      </c>
      <c r="N54" s="27">
        <f t="shared" si="13"/>
        <v>0</v>
      </c>
      <c r="T54">
        <f t="shared" si="1"/>
        <v>129</v>
      </c>
      <c r="U54">
        <f t="shared" si="14"/>
        <v>26053</v>
      </c>
      <c r="V54">
        <f t="shared" ca="1" si="15"/>
        <v>26</v>
      </c>
      <c r="W54">
        <v>9</v>
      </c>
      <c r="X54" t="str">
        <f t="shared" ca="1" si="16"/>
        <v>JE</v>
      </c>
      <c r="Y54" t="s">
        <v>32</v>
      </c>
      <c r="Z54">
        <f t="shared" ca="1" si="17"/>
        <v>2.5</v>
      </c>
      <c r="AA54" t="str">
        <f t="shared" ca="1" si="18"/>
        <v>PAINT</v>
      </c>
      <c r="AB54">
        <f t="shared" ca="1" si="19"/>
        <v>1</v>
      </c>
      <c r="AC54">
        <f t="shared" ca="1" si="20"/>
        <v>43.5</v>
      </c>
      <c r="AD54" t="str">
        <f t="shared" si="2"/>
        <v>4093RN153</v>
      </c>
      <c r="AE54" t="str">
        <f t="shared" ca="1" si="21"/>
        <v>PWHITE</v>
      </c>
      <c r="AF54" t="str">
        <f t="shared" ca="1" si="22"/>
        <v/>
      </c>
      <c r="AG54">
        <v>9</v>
      </c>
      <c r="AH54" t="s">
        <v>136</v>
      </c>
      <c r="AI54" t="str">
        <f t="shared" si="3"/>
        <v>Lutheran Home 25</v>
      </c>
      <c r="AJ54" t="str">
        <f t="shared" si="4"/>
        <v>Green Bay</v>
      </c>
      <c r="AK54" t="str">
        <f t="shared" si="5"/>
        <v>WI</v>
      </c>
      <c r="AL54">
        <f t="shared" si="6"/>
        <v>4091142613</v>
      </c>
      <c r="AM54" t="str">
        <f t="shared" si="7"/>
        <v>4093RN153</v>
      </c>
      <c r="AN54" t="str">
        <f t="shared" si="8"/>
        <v/>
      </c>
      <c r="AO54" t="str">
        <f t="shared" si="9"/>
        <v>Pella</v>
      </c>
      <c r="AP54">
        <f t="shared" si="10"/>
        <v>54201</v>
      </c>
      <c r="AQ54">
        <f t="shared" ca="1" si="23"/>
        <v>0</v>
      </c>
      <c r="AR54" s="1">
        <f t="shared" si="11"/>
        <v>46135</v>
      </c>
      <c r="CB54" s="1"/>
    </row>
    <row r="55" spans="1:80" x14ac:dyDescent="0.25">
      <c r="A55" s="23"/>
      <c r="B55" s="23"/>
      <c r="C55" s="23"/>
      <c r="D55" s="24"/>
      <c r="E55" s="24"/>
      <c r="F55" s="25">
        <f t="shared" si="24"/>
        <v>0</v>
      </c>
      <c r="G55" s="24"/>
      <c r="H55" s="24"/>
      <c r="I55" s="25">
        <v>1</v>
      </c>
      <c r="J55" s="24"/>
      <c r="K55" s="24"/>
      <c r="L55" s="24"/>
      <c r="M55" s="26" t="str">
        <f t="shared" si="12"/>
        <v/>
      </c>
      <c r="N55" s="27">
        <f t="shared" si="13"/>
        <v>0</v>
      </c>
      <c r="T55">
        <f t="shared" si="1"/>
        <v>129</v>
      </c>
      <c r="U55">
        <f t="shared" si="14"/>
        <v>26053</v>
      </c>
      <c r="V55">
        <f t="shared" ca="1" si="15"/>
        <v>26</v>
      </c>
      <c r="W55">
        <v>10</v>
      </c>
      <c r="X55" t="str">
        <f t="shared" ca="1" si="16"/>
        <v>JE</v>
      </c>
      <c r="Y55" t="s">
        <v>9</v>
      </c>
      <c r="Z55">
        <f t="shared" ca="1" si="17"/>
        <v>2.5</v>
      </c>
      <c r="AA55" t="str">
        <f t="shared" ca="1" si="18"/>
        <v>PAINT</v>
      </c>
      <c r="AB55">
        <f t="shared" ca="1" si="19"/>
        <v>1</v>
      </c>
      <c r="AC55">
        <f t="shared" ca="1" si="20"/>
        <v>65.625</v>
      </c>
      <c r="AD55" t="str">
        <f t="shared" si="2"/>
        <v>4093RN153</v>
      </c>
      <c r="AE55" t="str">
        <f t="shared" ca="1" si="21"/>
        <v>PWHITE</v>
      </c>
      <c r="AF55" t="str">
        <f t="shared" ca="1" si="22"/>
        <v/>
      </c>
      <c r="AG55">
        <v>10</v>
      </c>
      <c r="AH55" t="s">
        <v>136</v>
      </c>
      <c r="AI55" t="str">
        <f t="shared" si="3"/>
        <v>Lutheran Home 25</v>
      </c>
      <c r="AJ55" t="str">
        <f t="shared" si="4"/>
        <v>Green Bay</v>
      </c>
      <c r="AK55" t="str">
        <f t="shared" si="5"/>
        <v>WI</v>
      </c>
      <c r="AL55">
        <f t="shared" si="6"/>
        <v>4091142613</v>
      </c>
      <c r="AM55" t="str">
        <f t="shared" si="7"/>
        <v>4093RN153</v>
      </c>
      <c r="AN55" t="str">
        <f t="shared" si="8"/>
        <v/>
      </c>
      <c r="AO55" t="str">
        <f t="shared" si="9"/>
        <v>Pella</v>
      </c>
      <c r="AP55">
        <f t="shared" si="10"/>
        <v>54201</v>
      </c>
      <c r="AQ55">
        <f t="shared" ca="1" si="23"/>
        <v>0</v>
      </c>
      <c r="AR55" s="1">
        <f t="shared" si="11"/>
        <v>46135</v>
      </c>
      <c r="CB55" s="1"/>
    </row>
    <row r="56" spans="1:80" x14ac:dyDescent="0.25">
      <c r="A56" s="23"/>
      <c r="B56" s="23"/>
      <c r="C56" s="23"/>
      <c r="D56" s="24"/>
      <c r="E56" s="24"/>
      <c r="F56" s="25">
        <f t="shared" si="24"/>
        <v>0</v>
      </c>
      <c r="G56" s="24"/>
      <c r="H56" s="24"/>
      <c r="I56" s="25">
        <v>1</v>
      </c>
      <c r="J56" s="24"/>
      <c r="K56" s="24"/>
      <c r="L56" s="24"/>
      <c r="M56" s="26" t="str">
        <f t="shared" si="12"/>
        <v/>
      </c>
      <c r="N56" s="27">
        <f t="shared" si="13"/>
        <v>0</v>
      </c>
      <c r="T56">
        <f t="shared" si="1"/>
        <v>129</v>
      </c>
      <c r="U56">
        <f t="shared" si="14"/>
        <v>26053</v>
      </c>
      <c r="V56">
        <f t="shared" ca="1" si="15"/>
        <v>26</v>
      </c>
      <c r="W56">
        <v>10</v>
      </c>
      <c r="X56" t="str">
        <f t="shared" ca="1" si="16"/>
        <v>JE</v>
      </c>
      <c r="Y56" t="s">
        <v>33</v>
      </c>
      <c r="Z56">
        <f t="shared" ca="1" si="17"/>
        <v>2.5</v>
      </c>
      <c r="AA56" t="str">
        <f t="shared" ca="1" si="18"/>
        <v>PAINT</v>
      </c>
      <c r="AB56">
        <f t="shared" ca="1" si="19"/>
        <v>1</v>
      </c>
      <c r="AC56">
        <f t="shared" ca="1" si="20"/>
        <v>65.625</v>
      </c>
      <c r="AD56" t="str">
        <f t="shared" si="2"/>
        <v>4093RN153</v>
      </c>
      <c r="AE56" t="str">
        <f t="shared" ca="1" si="21"/>
        <v>PWHITE</v>
      </c>
      <c r="AF56" t="str">
        <f t="shared" ca="1" si="22"/>
        <v/>
      </c>
      <c r="AG56">
        <v>10</v>
      </c>
      <c r="AH56" t="s">
        <v>136</v>
      </c>
      <c r="AI56" t="str">
        <f t="shared" si="3"/>
        <v>Lutheran Home 25</v>
      </c>
      <c r="AJ56" t="str">
        <f t="shared" si="4"/>
        <v>Green Bay</v>
      </c>
      <c r="AK56" t="str">
        <f t="shared" si="5"/>
        <v>WI</v>
      </c>
      <c r="AL56">
        <f t="shared" si="6"/>
        <v>4091142613</v>
      </c>
      <c r="AM56" t="str">
        <f t="shared" si="7"/>
        <v>4093RN153</v>
      </c>
      <c r="AN56" t="str">
        <f t="shared" si="8"/>
        <v/>
      </c>
      <c r="AO56" t="str">
        <f t="shared" si="9"/>
        <v>Pella</v>
      </c>
      <c r="AP56">
        <f t="shared" si="10"/>
        <v>54201</v>
      </c>
      <c r="AQ56">
        <f t="shared" ca="1" si="23"/>
        <v>0</v>
      </c>
      <c r="AR56" s="1">
        <f t="shared" si="11"/>
        <v>46135</v>
      </c>
      <c r="CB56" s="1"/>
    </row>
    <row r="57" spans="1:80" x14ac:dyDescent="0.25">
      <c r="A57" s="23"/>
      <c r="B57" s="23"/>
      <c r="C57" s="23"/>
      <c r="D57" s="24"/>
      <c r="E57" s="24"/>
      <c r="F57" s="25">
        <f t="shared" si="24"/>
        <v>0</v>
      </c>
      <c r="G57" s="24"/>
      <c r="H57" s="24"/>
      <c r="I57" s="25">
        <v>1</v>
      </c>
      <c r="J57" s="24"/>
      <c r="K57" s="24"/>
      <c r="L57" s="24"/>
      <c r="M57" s="26" t="str">
        <f t="shared" si="12"/>
        <v/>
      </c>
      <c r="N57" s="27">
        <f t="shared" si="13"/>
        <v>0</v>
      </c>
      <c r="T57">
        <f t="shared" si="1"/>
        <v>129</v>
      </c>
      <c r="U57">
        <f t="shared" si="14"/>
        <v>26053</v>
      </c>
      <c r="V57">
        <f t="shared" ca="1" si="15"/>
        <v>26</v>
      </c>
      <c r="W57">
        <v>10</v>
      </c>
      <c r="X57" t="str">
        <f t="shared" ca="1" si="16"/>
        <v>JE</v>
      </c>
      <c r="Y57" t="s">
        <v>28</v>
      </c>
      <c r="Z57">
        <f t="shared" ca="1" si="17"/>
        <v>2.5</v>
      </c>
      <c r="AA57" t="str">
        <f t="shared" ca="1" si="18"/>
        <v>PAINT</v>
      </c>
      <c r="AB57">
        <f t="shared" ca="1" si="19"/>
        <v>1</v>
      </c>
      <c r="AC57">
        <f t="shared" ca="1" si="20"/>
        <v>43.5</v>
      </c>
      <c r="AD57" t="str">
        <f t="shared" si="2"/>
        <v>4093RN153</v>
      </c>
      <c r="AE57" t="str">
        <f t="shared" ca="1" si="21"/>
        <v>PWHITE</v>
      </c>
      <c r="AF57" t="str">
        <f t="shared" ca="1" si="22"/>
        <v/>
      </c>
      <c r="AG57">
        <v>10</v>
      </c>
      <c r="AH57" t="s">
        <v>136</v>
      </c>
      <c r="AI57" t="str">
        <f t="shared" si="3"/>
        <v>Lutheran Home 25</v>
      </c>
      <c r="AJ57" t="str">
        <f t="shared" si="4"/>
        <v>Green Bay</v>
      </c>
      <c r="AK57" t="str">
        <f t="shared" si="5"/>
        <v>WI</v>
      </c>
      <c r="AL57">
        <f t="shared" si="6"/>
        <v>4091142613</v>
      </c>
      <c r="AM57" t="str">
        <f t="shared" si="7"/>
        <v>4093RN153</v>
      </c>
      <c r="AN57" t="str">
        <f t="shared" si="8"/>
        <v/>
      </c>
      <c r="AO57" t="str">
        <f t="shared" si="9"/>
        <v>Pella</v>
      </c>
      <c r="AP57">
        <f t="shared" si="10"/>
        <v>54201</v>
      </c>
      <c r="AQ57">
        <f t="shared" ca="1" si="23"/>
        <v>0</v>
      </c>
      <c r="AR57" s="1">
        <f t="shared" si="11"/>
        <v>46135</v>
      </c>
      <c r="CB57" s="1"/>
    </row>
    <row r="58" spans="1:80" x14ac:dyDescent="0.25">
      <c r="A58" s="23"/>
      <c r="B58" s="23"/>
      <c r="C58" s="23"/>
      <c r="D58" s="24"/>
      <c r="E58" s="24"/>
      <c r="F58" s="25">
        <f t="shared" si="24"/>
        <v>0</v>
      </c>
      <c r="G58" s="24"/>
      <c r="H58" s="24"/>
      <c r="I58" s="25">
        <v>1</v>
      </c>
      <c r="J58" s="24"/>
      <c r="K58" s="24"/>
      <c r="L58" s="24"/>
      <c r="M58" s="26" t="str">
        <f t="shared" si="12"/>
        <v/>
      </c>
      <c r="N58" s="27">
        <f t="shared" si="13"/>
        <v>0</v>
      </c>
      <c r="T58">
        <f t="shared" si="1"/>
        <v>129</v>
      </c>
      <c r="U58">
        <f t="shared" si="14"/>
        <v>26053</v>
      </c>
      <c r="V58">
        <f t="shared" ca="1" si="15"/>
        <v>26</v>
      </c>
      <c r="W58">
        <v>10</v>
      </c>
      <c r="X58" t="str">
        <f t="shared" ca="1" si="16"/>
        <v>JE</v>
      </c>
      <c r="Y58" t="s">
        <v>32</v>
      </c>
      <c r="Z58">
        <f t="shared" ca="1" si="17"/>
        <v>2.5</v>
      </c>
      <c r="AA58" t="str">
        <f t="shared" ca="1" si="18"/>
        <v>PAINT</v>
      </c>
      <c r="AB58">
        <f t="shared" ca="1" si="19"/>
        <v>1</v>
      </c>
      <c r="AC58">
        <f t="shared" ca="1" si="20"/>
        <v>43.5</v>
      </c>
      <c r="AD58" t="str">
        <f t="shared" si="2"/>
        <v>4093RN153</v>
      </c>
      <c r="AE58" t="str">
        <f t="shared" ca="1" si="21"/>
        <v>PWHITE</v>
      </c>
      <c r="AF58" t="str">
        <f t="shared" ca="1" si="22"/>
        <v/>
      </c>
      <c r="AG58">
        <v>10</v>
      </c>
      <c r="AH58" t="s">
        <v>136</v>
      </c>
      <c r="AI58" t="str">
        <f t="shared" si="3"/>
        <v>Lutheran Home 25</v>
      </c>
      <c r="AJ58" t="str">
        <f t="shared" si="4"/>
        <v>Green Bay</v>
      </c>
      <c r="AK58" t="str">
        <f t="shared" si="5"/>
        <v>WI</v>
      </c>
      <c r="AL58">
        <f t="shared" si="6"/>
        <v>4091142613</v>
      </c>
      <c r="AM58" t="str">
        <f t="shared" si="7"/>
        <v>4093RN153</v>
      </c>
      <c r="AN58" t="str">
        <f t="shared" si="8"/>
        <v/>
      </c>
      <c r="AO58" t="str">
        <f t="shared" si="9"/>
        <v>Pella</v>
      </c>
      <c r="AP58">
        <f t="shared" si="10"/>
        <v>54201</v>
      </c>
      <c r="AQ58">
        <f t="shared" ca="1" si="23"/>
        <v>0</v>
      </c>
      <c r="AR58" s="1">
        <f t="shared" si="11"/>
        <v>46135</v>
      </c>
      <c r="CB58" s="1"/>
    </row>
    <row r="59" spans="1:80" x14ac:dyDescent="0.25">
      <c r="A59" s="23"/>
      <c r="B59" s="23"/>
      <c r="C59" s="23"/>
      <c r="D59" s="24"/>
      <c r="E59" s="24"/>
      <c r="F59" s="25">
        <f t="shared" si="24"/>
        <v>0</v>
      </c>
      <c r="G59" s="24"/>
      <c r="H59" s="24"/>
      <c r="I59" s="25">
        <v>1</v>
      </c>
      <c r="J59" s="24"/>
      <c r="K59" s="24"/>
      <c r="L59" s="24"/>
      <c r="M59" s="26" t="str">
        <f t="shared" si="12"/>
        <v/>
      </c>
      <c r="N59" s="27">
        <f t="shared" si="13"/>
        <v>0</v>
      </c>
      <c r="T59">
        <f t="shared" si="1"/>
        <v>129</v>
      </c>
      <c r="U59">
        <f t="shared" si="14"/>
        <v>26053</v>
      </c>
      <c r="V59">
        <f t="shared" ca="1" si="15"/>
        <v>26</v>
      </c>
      <c r="W59">
        <v>11</v>
      </c>
      <c r="X59" t="str">
        <f t="shared" ca="1" si="16"/>
        <v>JE</v>
      </c>
      <c r="Y59" t="s">
        <v>9</v>
      </c>
      <c r="Z59">
        <f t="shared" ca="1" si="17"/>
        <v>2.5</v>
      </c>
      <c r="AA59" t="str">
        <f t="shared" ca="1" si="18"/>
        <v>PAINT</v>
      </c>
      <c r="AB59">
        <f t="shared" ca="1" si="19"/>
        <v>1</v>
      </c>
      <c r="AC59">
        <f t="shared" ca="1" si="20"/>
        <v>65.625</v>
      </c>
      <c r="AD59" t="str">
        <f t="shared" si="2"/>
        <v>4093RN153</v>
      </c>
      <c r="AE59" t="str">
        <f t="shared" ca="1" si="21"/>
        <v>PWHITE</v>
      </c>
      <c r="AF59" t="str">
        <f t="shared" ca="1" si="22"/>
        <v/>
      </c>
      <c r="AG59">
        <v>11</v>
      </c>
      <c r="AH59" t="s">
        <v>136</v>
      </c>
      <c r="AI59" t="str">
        <f t="shared" si="3"/>
        <v>Lutheran Home 25</v>
      </c>
      <c r="AJ59" t="str">
        <f t="shared" si="4"/>
        <v>Green Bay</v>
      </c>
      <c r="AK59" t="str">
        <f t="shared" si="5"/>
        <v>WI</v>
      </c>
      <c r="AL59">
        <f t="shared" si="6"/>
        <v>4091142613</v>
      </c>
      <c r="AM59" t="str">
        <f t="shared" si="7"/>
        <v>4093RN153</v>
      </c>
      <c r="AN59" t="str">
        <f t="shared" si="8"/>
        <v/>
      </c>
      <c r="AO59" t="str">
        <f t="shared" si="9"/>
        <v>Pella</v>
      </c>
      <c r="AP59">
        <f t="shared" si="10"/>
        <v>54201</v>
      </c>
      <c r="AQ59">
        <f t="shared" ca="1" si="23"/>
        <v>0</v>
      </c>
      <c r="AR59" s="1">
        <f t="shared" si="11"/>
        <v>46135</v>
      </c>
      <c r="CB59" s="1"/>
    </row>
    <row r="60" spans="1:80" x14ac:dyDescent="0.25">
      <c r="A60" s="23"/>
      <c r="B60" s="23"/>
      <c r="C60" s="23"/>
      <c r="D60" s="24"/>
      <c r="E60" s="24"/>
      <c r="F60" s="25">
        <f t="shared" si="24"/>
        <v>0</v>
      </c>
      <c r="G60" s="24"/>
      <c r="H60" s="24"/>
      <c r="I60" s="25">
        <v>1</v>
      </c>
      <c r="J60" s="24"/>
      <c r="K60" s="24"/>
      <c r="L60" s="24"/>
      <c r="M60" s="26" t="str">
        <f t="shared" si="12"/>
        <v/>
      </c>
      <c r="N60" s="27">
        <f t="shared" si="13"/>
        <v>0</v>
      </c>
      <c r="T60">
        <f t="shared" si="1"/>
        <v>129</v>
      </c>
      <c r="U60">
        <f t="shared" si="14"/>
        <v>26053</v>
      </c>
      <c r="V60">
        <f t="shared" ca="1" si="15"/>
        <v>26</v>
      </c>
      <c r="W60">
        <v>11</v>
      </c>
      <c r="X60" t="str">
        <f t="shared" ca="1" si="16"/>
        <v>JE</v>
      </c>
      <c r="Y60" t="s">
        <v>33</v>
      </c>
      <c r="Z60">
        <f t="shared" ca="1" si="17"/>
        <v>2.5</v>
      </c>
      <c r="AA60" t="str">
        <f t="shared" ca="1" si="18"/>
        <v>PAINT</v>
      </c>
      <c r="AB60">
        <f t="shared" ca="1" si="19"/>
        <v>1</v>
      </c>
      <c r="AC60">
        <f t="shared" ca="1" si="20"/>
        <v>65.625</v>
      </c>
      <c r="AD60" t="str">
        <f t="shared" si="2"/>
        <v>4093RN153</v>
      </c>
      <c r="AE60" t="str">
        <f t="shared" ca="1" si="21"/>
        <v>PWHITE</v>
      </c>
      <c r="AF60" t="str">
        <f t="shared" ca="1" si="22"/>
        <v/>
      </c>
      <c r="AG60">
        <v>11</v>
      </c>
      <c r="AH60" t="s">
        <v>136</v>
      </c>
      <c r="AI60" t="str">
        <f t="shared" si="3"/>
        <v>Lutheran Home 25</v>
      </c>
      <c r="AJ60" t="str">
        <f t="shared" si="4"/>
        <v>Green Bay</v>
      </c>
      <c r="AK60" t="str">
        <f t="shared" si="5"/>
        <v>WI</v>
      </c>
      <c r="AL60">
        <f t="shared" si="6"/>
        <v>4091142613</v>
      </c>
      <c r="AM60" t="str">
        <f t="shared" si="7"/>
        <v>4093RN153</v>
      </c>
      <c r="AN60" t="str">
        <f t="shared" si="8"/>
        <v/>
      </c>
      <c r="AO60" t="str">
        <f t="shared" si="9"/>
        <v>Pella</v>
      </c>
      <c r="AP60">
        <f t="shared" si="10"/>
        <v>54201</v>
      </c>
      <c r="AQ60">
        <f t="shared" ca="1" si="23"/>
        <v>0</v>
      </c>
      <c r="AR60" s="1">
        <f t="shared" si="11"/>
        <v>46135</v>
      </c>
      <c r="CB60" s="1"/>
    </row>
    <row r="61" spans="1:80" x14ac:dyDescent="0.25">
      <c r="A61" s="23"/>
      <c r="B61" s="23"/>
      <c r="C61" s="23"/>
      <c r="D61" s="24"/>
      <c r="E61" s="24"/>
      <c r="F61" s="25">
        <f t="shared" si="24"/>
        <v>0</v>
      </c>
      <c r="G61" s="24"/>
      <c r="H61" s="24"/>
      <c r="I61" s="25">
        <v>1</v>
      </c>
      <c r="J61" s="24"/>
      <c r="K61" s="24"/>
      <c r="L61" s="24"/>
      <c r="M61" s="26" t="str">
        <f t="shared" si="12"/>
        <v/>
      </c>
      <c r="N61" s="27">
        <f t="shared" si="13"/>
        <v>0</v>
      </c>
      <c r="T61">
        <f t="shared" si="1"/>
        <v>129</v>
      </c>
      <c r="U61">
        <f t="shared" si="14"/>
        <v>26053</v>
      </c>
      <c r="V61">
        <f t="shared" ca="1" si="15"/>
        <v>26</v>
      </c>
      <c r="W61">
        <v>11</v>
      </c>
      <c r="X61" t="str">
        <f t="shared" ca="1" si="16"/>
        <v>JE</v>
      </c>
      <c r="Y61" t="s">
        <v>28</v>
      </c>
      <c r="Z61">
        <f t="shared" ca="1" si="17"/>
        <v>2.5</v>
      </c>
      <c r="AA61" t="str">
        <f t="shared" ca="1" si="18"/>
        <v>PAINT</v>
      </c>
      <c r="AB61">
        <f t="shared" ca="1" si="19"/>
        <v>1</v>
      </c>
      <c r="AC61">
        <f t="shared" ca="1" si="20"/>
        <v>43.5</v>
      </c>
      <c r="AD61" t="str">
        <f t="shared" si="2"/>
        <v>4093RN153</v>
      </c>
      <c r="AE61" t="str">
        <f t="shared" ca="1" si="21"/>
        <v>PWHITE</v>
      </c>
      <c r="AF61" t="str">
        <f t="shared" ca="1" si="22"/>
        <v/>
      </c>
      <c r="AG61">
        <v>11</v>
      </c>
      <c r="AH61" t="s">
        <v>136</v>
      </c>
      <c r="AI61" t="str">
        <f t="shared" si="3"/>
        <v>Lutheran Home 25</v>
      </c>
      <c r="AJ61" t="str">
        <f t="shared" si="4"/>
        <v>Green Bay</v>
      </c>
      <c r="AK61" t="str">
        <f t="shared" si="5"/>
        <v>WI</v>
      </c>
      <c r="AL61">
        <f t="shared" si="6"/>
        <v>4091142613</v>
      </c>
      <c r="AM61" t="str">
        <f t="shared" si="7"/>
        <v>4093RN153</v>
      </c>
      <c r="AN61" t="str">
        <f t="shared" si="8"/>
        <v/>
      </c>
      <c r="AO61" t="str">
        <f t="shared" si="9"/>
        <v>Pella</v>
      </c>
      <c r="AP61">
        <f t="shared" si="10"/>
        <v>54201</v>
      </c>
      <c r="AQ61">
        <f t="shared" ca="1" si="23"/>
        <v>0</v>
      </c>
      <c r="AR61" s="1">
        <f t="shared" si="11"/>
        <v>46135</v>
      </c>
      <c r="CB61" s="1"/>
    </row>
    <row r="62" spans="1:80" x14ac:dyDescent="0.25">
      <c r="A62" s="23"/>
      <c r="B62" s="23"/>
      <c r="C62" s="23"/>
      <c r="D62" s="24"/>
      <c r="E62" s="24"/>
      <c r="F62" s="25">
        <f t="shared" si="24"/>
        <v>0</v>
      </c>
      <c r="G62" s="24"/>
      <c r="H62" s="24"/>
      <c r="I62" s="25">
        <v>1</v>
      </c>
      <c r="J62" s="24"/>
      <c r="K62" s="24"/>
      <c r="L62" s="24"/>
      <c r="M62" s="26" t="str">
        <f t="shared" si="12"/>
        <v/>
      </c>
      <c r="N62" s="27">
        <f t="shared" si="13"/>
        <v>0</v>
      </c>
      <c r="T62">
        <f t="shared" si="1"/>
        <v>129</v>
      </c>
      <c r="U62">
        <f t="shared" si="14"/>
        <v>26053</v>
      </c>
      <c r="V62">
        <f t="shared" ca="1" si="15"/>
        <v>26</v>
      </c>
      <c r="W62">
        <v>11</v>
      </c>
      <c r="X62" t="str">
        <f t="shared" ca="1" si="16"/>
        <v>JE</v>
      </c>
      <c r="Y62" t="s">
        <v>32</v>
      </c>
      <c r="Z62">
        <f t="shared" ca="1" si="17"/>
        <v>2.5</v>
      </c>
      <c r="AA62" t="str">
        <f t="shared" ca="1" si="18"/>
        <v>PAINT</v>
      </c>
      <c r="AB62">
        <f t="shared" ca="1" si="19"/>
        <v>1</v>
      </c>
      <c r="AC62">
        <f t="shared" ca="1" si="20"/>
        <v>43.5</v>
      </c>
      <c r="AD62" t="str">
        <f t="shared" si="2"/>
        <v>4093RN153</v>
      </c>
      <c r="AE62" t="str">
        <f t="shared" ca="1" si="21"/>
        <v>PWHITE</v>
      </c>
      <c r="AF62" t="str">
        <f t="shared" ca="1" si="22"/>
        <v/>
      </c>
      <c r="AG62">
        <v>11</v>
      </c>
      <c r="AH62" t="s">
        <v>136</v>
      </c>
      <c r="AI62" t="str">
        <f t="shared" si="3"/>
        <v>Lutheran Home 25</v>
      </c>
      <c r="AJ62" t="str">
        <f t="shared" si="4"/>
        <v>Green Bay</v>
      </c>
      <c r="AK62" t="str">
        <f t="shared" si="5"/>
        <v>WI</v>
      </c>
      <c r="AL62">
        <f t="shared" si="6"/>
        <v>4091142613</v>
      </c>
      <c r="AM62" t="str">
        <f t="shared" si="7"/>
        <v>4093RN153</v>
      </c>
      <c r="AN62" t="str">
        <f t="shared" si="8"/>
        <v/>
      </c>
      <c r="AO62" t="str">
        <f t="shared" si="9"/>
        <v>Pella</v>
      </c>
      <c r="AP62">
        <f t="shared" si="10"/>
        <v>54201</v>
      </c>
      <c r="AQ62">
        <f t="shared" ca="1" si="23"/>
        <v>0</v>
      </c>
      <c r="AR62" s="1">
        <f t="shared" si="11"/>
        <v>46135</v>
      </c>
      <c r="CB62" s="1"/>
    </row>
    <row r="63" spans="1:80" x14ac:dyDescent="0.25">
      <c r="A63" s="23"/>
      <c r="B63" s="23"/>
      <c r="C63" s="23"/>
      <c r="D63" s="24"/>
      <c r="E63" s="24"/>
      <c r="F63" s="25">
        <f t="shared" si="24"/>
        <v>0</v>
      </c>
      <c r="G63" s="24"/>
      <c r="H63" s="24"/>
      <c r="I63" s="25">
        <v>1</v>
      </c>
      <c r="J63" s="24"/>
      <c r="K63" s="24"/>
      <c r="L63" s="24"/>
      <c r="M63" s="26" t="str">
        <f t="shared" si="12"/>
        <v/>
      </c>
      <c r="N63" s="27">
        <f t="shared" si="13"/>
        <v>0</v>
      </c>
      <c r="T63">
        <f t="shared" si="1"/>
        <v>129</v>
      </c>
      <c r="U63">
        <f t="shared" si="14"/>
        <v>26053</v>
      </c>
      <c r="V63">
        <f t="shared" ca="1" si="15"/>
        <v>26</v>
      </c>
      <c r="W63">
        <v>12</v>
      </c>
      <c r="X63" t="str">
        <f t="shared" ca="1" si="16"/>
        <v>JE</v>
      </c>
      <c r="Y63" t="s">
        <v>9</v>
      </c>
      <c r="Z63">
        <f t="shared" ca="1" si="17"/>
        <v>2.5</v>
      </c>
      <c r="AA63" t="str">
        <f t="shared" ca="1" si="18"/>
        <v>PAINT</v>
      </c>
      <c r="AB63">
        <f t="shared" ca="1" si="19"/>
        <v>1</v>
      </c>
      <c r="AC63">
        <f t="shared" ca="1" si="20"/>
        <v>65.625</v>
      </c>
      <c r="AD63" t="str">
        <f t="shared" si="2"/>
        <v>4093RN153</v>
      </c>
      <c r="AE63" t="str">
        <f t="shared" ca="1" si="21"/>
        <v>PWHITE</v>
      </c>
      <c r="AF63" t="str">
        <f t="shared" ca="1" si="22"/>
        <v/>
      </c>
      <c r="AG63">
        <v>12</v>
      </c>
      <c r="AH63" t="s">
        <v>136</v>
      </c>
      <c r="AI63" t="str">
        <f t="shared" si="3"/>
        <v>Lutheran Home 25</v>
      </c>
      <c r="AJ63" t="str">
        <f t="shared" si="4"/>
        <v>Green Bay</v>
      </c>
      <c r="AK63" t="str">
        <f t="shared" si="5"/>
        <v>WI</v>
      </c>
      <c r="AL63">
        <f t="shared" si="6"/>
        <v>4091142613</v>
      </c>
      <c r="AM63" t="str">
        <f t="shared" si="7"/>
        <v>4093RN153</v>
      </c>
      <c r="AN63" t="str">
        <f t="shared" si="8"/>
        <v/>
      </c>
      <c r="AO63" t="str">
        <f t="shared" si="9"/>
        <v>Pella</v>
      </c>
      <c r="AP63">
        <f t="shared" si="10"/>
        <v>54201</v>
      </c>
      <c r="AQ63">
        <f t="shared" ca="1" si="23"/>
        <v>0</v>
      </c>
      <c r="AR63" s="1">
        <f t="shared" si="11"/>
        <v>46135</v>
      </c>
      <c r="CB63" s="1"/>
    </row>
    <row r="64" spans="1:80" x14ac:dyDescent="0.25">
      <c r="A64" s="23"/>
      <c r="B64" s="23"/>
      <c r="C64" s="23"/>
      <c r="D64" s="24"/>
      <c r="E64" s="24"/>
      <c r="F64" s="25">
        <f t="shared" si="24"/>
        <v>0</v>
      </c>
      <c r="G64" s="24"/>
      <c r="H64" s="24"/>
      <c r="I64" s="25">
        <v>1</v>
      </c>
      <c r="J64" s="24"/>
      <c r="K64" s="24"/>
      <c r="L64" s="24"/>
      <c r="M64" s="26" t="str">
        <f t="shared" si="12"/>
        <v/>
      </c>
      <c r="N64" s="27">
        <f t="shared" si="13"/>
        <v>0</v>
      </c>
      <c r="T64">
        <f t="shared" si="1"/>
        <v>129</v>
      </c>
      <c r="U64">
        <f t="shared" si="14"/>
        <v>26053</v>
      </c>
      <c r="V64">
        <f t="shared" ca="1" si="15"/>
        <v>26</v>
      </c>
      <c r="W64">
        <v>12</v>
      </c>
      <c r="X64" t="str">
        <f t="shared" ca="1" si="16"/>
        <v>JE</v>
      </c>
      <c r="Y64" t="s">
        <v>33</v>
      </c>
      <c r="Z64">
        <f t="shared" ca="1" si="17"/>
        <v>2.5</v>
      </c>
      <c r="AA64" t="str">
        <f t="shared" ca="1" si="18"/>
        <v>PAINT</v>
      </c>
      <c r="AB64">
        <f t="shared" ca="1" si="19"/>
        <v>1</v>
      </c>
      <c r="AC64">
        <f t="shared" ca="1" si="20"/>
        <v>65.625</v>
      </c>
      <c r="AD64" t="str">
        <f t="shared" si="2"/>
        <v>4093RN153</v>
      </c>
      <c r="AE64" t="str">
        <f t="shared" ca="1" si="21"/>
        <v>PWHITE</v>
      </c>
      <c r="AF64" t="str">
        <f t="shared" ca="1" si="22"/>
        <v/>
      </c>
      <c r="AG64">
        <v>12</v>
      </c>
      <c r="AH64" t="s">
        <v>136</v>
      </c>
      <c r="AI64" t="str">
        <f t="shared" si="3"/>
        <v>Lutheran Home 25</v>
      </c>
      <c r="AJ64" t="str">
        <f t="shared" si="4"/>
        <v>Green Bay</v>
      </c>
      <c r="AK64" t="str">
        <f t="shared" si="5"/>
        <v>WI</v>
      </c>
      <c r="AL64">
        <f t="shared" si="6"/>
        <v>4091142613</v>
      </c>
      <c r="AM64" t="str">
        <f t="shared" si="7"/>
        <v>4093RN153</v>
      </c>
      <c r="AN64" t="str">
        <f t="shared" si="8"/>
        <v/>
      </c>
      <c r="AO64" t="str">
        <f t="shared" si="9"/>
        <v>Pella</v>
      </c>
      <c r="AP64">
        <f t="shared" si="10"/>
        <v>54201</v>
      </c>
      <c r="AQ64">
        <f t="shared" ca="1" si="23"/>
        <v>0</v>
      </c>
      <c r="AR64" s="1">
        <f t="shared" si="11"/>
        <v>46135</v>
      </c>
      <c r="CB64" s="1"/>
    </row>
    <row r="65" spans="1:80" x14ac:dyDescent="0.25">
      <c r="A65" s="23"/>
      <c r="B65" s="23"/>
      <c r="C65" s="23"/>
      <c r="D65" s="24"/>
      <c r="E65" s="24"/>
      <c r="F65" s="25">
        <f t="shared" si="24"/>
        <v>0</v>
      </c>
      <c r="G65" s="24"/>
      <c r="H65" s="24"/>
      <c r="I65" s="25">
        <v>1</v>
      </c>
      <c r="J65" s="24"/>
      <c r="K65" s="24"/>
      <c r="L65" s="24"/>
      <c r="M65" s="26" t="str">
        <f t="shared" si="12"/>
        <v/>
      </c>
      <c r="N65" s="27">
        <f t="shared" si="13"/>
        <v>0</v>
      </c>
      <c r="T65">
        <f t="shared" si="1"/>
        <v>129</v>
      </c>
      <c r="U65">
        <f t="shared" si="14"/>
        <v>26053</v>
      </c>
      <c r="V65">
        <f t="shared" ca="1" si="15"/>
        <v>26</v>
      </c>
      <c r="W65">
        <v>12</v>
      </c>
      <c r="X65" t="str">
        <f t="shared" ca="1" si="16"/>
        <v>JE</v>
      </c>
      <c r="Y65" t="s">
        <v>28</v>
      </c>
      <c r="Z65">
        <f t="shared" ca="1" si="17"/>
        <v>2.5</v>
      </c>
      <c r="AA65" t="str">
        <f t="shared" ca="1" si="18"/>
        <v>PAINT</v>
      </c>
      <c r="AB65">
        <f t="shared" ca="1" si="19"/>
        <v>1</v>
      </c>
      <c r="AC65">
        <f t="shared" ca="1" si="20"/>
        <v>43.5</v>
      </c>
      <c r="AD65" t="str">
        <f t="shared" si="2"/>
        <v>4093RN153</v>
      </c>
      <c r="AE65" t="str">
        <f t="shared" ca="1" si="21"/>
        <v>PWHITE</v>
      </c>
      <c r="AF65" t="str">
        <f t="shared" ca="1" si="22"/>
        <v/>
      </c>
      <c r="AG65">
        <v>12</v>
      </c>
      <c r="AH65" t="s">
        <v>136</v>
      </c>
      <c r="AI65" t="str">
        <f t="shared" si="3"/>
        <v>Lutheran Home 25</v>
      </c>
      <c r="AJ65" t="str">
        <f t="shared" si="4"/>
        <v>Green Bay</v>
      </c>
      <c r="AK65" t="str">
        <f t="shared" si="5"/>
        <v>WI</v>
      </c>
      <c r="AL65">
        <f t="shared" si="6"/>
        <v>4091142613</v>
      </c>
      <c r="AM65" t="str">
        <f t="shared" si="7"/>
        <v>4093RN153</v>
      </c>
      <c r="AN65" t="str">
        <f t="shared" si="8"/>
        <v/>
      </c>
      <c r="AO65" t="str">
        <f t="shared" si="9"/>
        <v>Pella</v>
      </c>
      <c r="AP65">
        <f t="shared" si="10"/>
        <v>54201</v>
      </c>
      <c r="AQ65">
        <f t="shared" ca="1" si="23"/>
        <v>0</v>
      </c>
      <c r="AR65" s="1">
        <f t="shared" si="11"/>
        <v>46135</v>
      </c>
      <c r="CB65" s="1"/>
    </row>
    <row r="66" spans="1:80" x14ac:dyDescent="0.25">
      <c r="A66" s="23"/>
      <c r="B66" s="23"/>
      <c r="C66" s="23"/>
      <c r="D66" s="24"/>
      <c r="E66" s="24"/>
      <c r="F66" s="25">
        <f t="shared" si="24"/>
        <v>0</v>
      </c>
      <c r="G66" s="24"/>
      <c r="H66" s="24"/>
      <c r="I66" s="25">
        <v>1</v>
      </c>
      <c r="J66" s="24"/>
      <c r="K66" s="24"/>
      <c r="L66" s="24"/>
      <c r="M66" s="26" t="str">
        <f t="shared" si="12"/>
        <v/>
      </c>
      <c r="N66" s="27">
        <f t="shared" si="13"/>
        <v>0</v>
      </c>
      <c r="T66">
        <f t="shared" si="1"/>
        <v>129</v>
      </c>
      <c r="U66">
        <f t="shared" si="14"/>
        <v>26053</v>
      </c>
      <c r="V66">
        <f t="shared" ca="1" si="15"/>
        <v>26</v>
      </c>
      <c r="W66">
        <v>12</v>
      </c>
      <c r="X66" t="str">
        <f t="shared" ca="1" si="16"/>
        <v>JE</v>
      </c>
      <c r="Y66" t="s">
        <v>32</v>
      </c>
      <c r="Z66">
        <f t="shared" ca="1" si="17"/>
        <v>2.5</v>
      </c>
      <c r="AA66" t="str">
        <f t="shared" ca="1" si="18"/>
        <v>PAINT</v>
      </c>
      <c r="AB66">
        <f t="shared" ca="1" si="19"/>
        <v>1</v>
      </c>
      <c r="AC66">
        <f t="shared" ca="1" si="20"/>
        <v>43.5</v>
      </c>
      <c r="AD66" t="str">
        <f t="shared" si="2"/>
        <v>4093RN153</v>
      </c>
      <c r="AE66" t="str">
        <f t="shared" ca="1" si="21"/>
        <v>PWHITE</v>
      </c>
      <c r="AF66" t="str">
        <f t="shared" ca="1" si="22"/>
        <v/>
      </c>
      <c r="AG66">
        <v>12</v>
      </c>
      <c r="AH66" t="s">
        <v>136</v>
      </c>
      <c r="AI66" t="str">
        <f t="shared" si="3"/>
        <v>Lutheran Home 25</v>
      </c>
      <c r="AJ66" t="str">
        <f t="shared" si="4"/>
        <v>Green Bay</v>
      </c>
      <c r="AK66" t="str">
        <f t="shared" si="5"/>
        <v>WI</v>
      </c>
      <c r="AL66">
        <f t="shared" si="6"/>
        <v>4091142613</v>
      </c>
      <c r="AM66" t="str">
        <f t="shared" si="7"/>
        <v>4093RN153</v>
      </c>
      <c r="AN66" t="str">
        <f t="shared" si="8"/>
        <v/>
      </c>
      <c r="AO66" t="str">
        <f t="shared" si="9"/>
        <v>Pella</v>
      </c>
      <c r="AP66">
        <f t="shared" si="10"/>
        <v>54201</v>
      </c>
      <c r="AQ66">
        <f t="shared" ca="1" si="23"/>
        <v>0</v>
      </c>
      <c r="AR66" s="1">
        <f t="shared" si="11"/>
        <v>46135</v>
      </c>
      <c r="CB66" s="1"/>
    </row>
    <row r="67" spans="1:80" x14ac:dyDescent="0.25">
      <c r="A67" s="23"/>
      <c r="B67" s="23"/>
      <c r="C67" s="23"/>
      <c r="D67" s="24"/>
      <c r="E67" s="24"/>
      <c r="F67" s="25">
        <f t="shared" si="24"/>
        <v>0</v>
      </c>
      <c r="G67" s="24"/>
      <c r="H67" s="24"/>
      <c r="I67" s="25">
        <v>1</v>
      </c>
      <c r="J67" s="24"/>
      <c r="K67" s="24"/>
      <c r="L67" s="24"/>
      <c r="M67" s="26" t="str">
        <f t="shared" si="12"/>
        <v/>
      </c>
      <c r="N67" s="27">
        <f t="shared" si="13"/>
        <v>0</v>
      </c>
      <c r="T67">
        <f t="shared" si="1"/>
        <v>129</v>
      </c>
      <c r="U67">
        <f t="shared" si="14"/>
        <v>26053</v>
      </c>
      <c r="V67">
        <f t="shared" ca="1" si="15"/>
        <v>26</v>
      </c>
      <c r="W67">
        <v>13</v>
      </c>
      <c r="X67" t="str">
        <f t="shared" ca="1" si="16"/>
        <v>JE</v>
      </c>
      <c r="Y67" t="s">
        <v>9</v>
      </c>
      <c r="Z67">
        <f t="shared" ca="1" si="17"/>
        <v>2.5</v>
      </c>
      <c r="AA67" t="str">
        <f t="shared" ca="1" si="18"/>
        <v>PAINT</v>
      </c>
      <c r="AB67">
        <f t="shared" ca="1" si="19"/>
        <v>1</v>
      </c>
      <c r="AC67">
        <f t="shared" ca="1" si="20"/>
        <v>65.625</v>
      </c>
      <c r="AD67" t="str">
        <f t="shared" si="2"/>
        <v>4093RN153</v>
      </c>
      <c r="AE67" t="str">
        <f t="shared" ca="1" si="21"/>
        <v>PWHITE</v>
      </c>
      <c r="AF67" t="str">
        <f t="shared" ca="1" si="22"/>
        <v/>
      </c>
      <c r="AG67">
        <v>13</v>
      </c>
      <c r="AH67" t="s">
        <v>136</v>
      </c>
      <c r="AI67" t="str">
        <f t="shared" si="3"/>
        <v>Lutheran Home 25</v>
      </c>
      <c r="AJ67" t="str">
        <f t="shared" si="4"/>
        <v>Green Bay</v>
      </c>
      <c r="AK67" t="str">
        <f t="shared" si="5"/>
        <v>WI</v>
      </c>
      <c r="AL67">
        <f t="shared" si="6"/>
        <v>4091142613</v>
      </c>
      <c r="AM67" t="str">
        <f t="shared" si="7"/>
        <v>4093RN153</v>
      </c>
      <c r="AN67" t="str">
        <f t="shared" si="8"/>
        <v/>
      </c>
      <c r="AO67" t="str">
        <f t="shared" si="9"/>
        <v>Pella</v>
      </c>
      <c r="AP67">
        <f t="shared" si="10"/>
        <v>54201</v>
      </c>
      <c r="AQ67">
        <f t="shared" ca="1" si="23"/>
        <v>0</v>
      </c>
      <c r="AR67" s="1">
        <f t="shared" si="11"/>
        <v>46135</v>
      </c>
      <c r="CB67" s="1"/>
    </row>
    <row r="68" spans="1:80" x14ac:dyDescent="0.25">
      <c r="A68" s="23"/>
      <c r="B68" s="23"/>
      <c r="C68" s="23"/>
      <c r="D68" s="24"/>
      <c r="E68" s="24"/>
      <c r="F68" s="25">
        <f t="shared" si="24"/>
        <v>0</v>
      </c>
      <c r="G68" s="24"/>
      <c r="H68" s="24"/>
      <c r="I68" s="25">
        <v>1</v>
      </c>
      <c r="J68" s="24"/>
      <c r="K68" s="24"/>
      <c r="L68" s="24"/>
      <c r="M68" s="26" t="str">
        <f t="shared" si="12"/>
        <v/>
      </c>
      <c r="N68" s="27">
        <f t="shared" si="13"/>
        <v>0</v>
      </c>
      <c r="T68">
        <f t="shared" si="1"/>
        <v>129</v>
      </c>
      <c r="U68">
        <f t="shared" si="14"/>
        <v>26053</v>
      </c>
      <c r="V68">
        <f t="shared" ca="1" si="15"/>
        <v>26</v>
      </c>
      <c r="W68">
        <v>13</v>
      </c>
      <c r="X68" t="str">
        <f t="shared" ca="1" si="16"/>
        <v>JE</v>
      </c>
      <c r="Y68" t="s">
        <v>33</v>
      </c>
      <c r="Z68">
        <f t="shared" ca="1" si="17"/>
        <v>2.5</v>
      </c>
      <c r="AA68" t="str">
        <f t="shared" ca="1" si="18"/>
        <v>PAINT</v>
      </c>
      <c r="AB68">
        <f t="shared" ca="1" si="19"/>
        <v>1</v>
      </c>
      <c r="AC68">
        <f t="shared" ca="1" si="20"/>
        <v>65.625</v>
      </c>
      <c r="AD68" t="str">
        <f t="shared" si="2"/>
        <v>4093RN153</v>
      </c>
      <c r="AE68" t="str">
        <f t="shared" ca="1" si="21"/>
        <v>PWHITE</v>
      </c>
      <c r="AF68" t="str">
        <f t="shared" ca="1" si="22"/>
        <v/>
      </c>
      <c r="AG68">
        <v>13</v>
      </c>
      <c r="AH68" t="s">
        <v>136</v>
      </c>
      <c r="AI68" t="str">
        <f t="shared" si="3"/>
        <v>Lutheran Home 25</v>
      </c>
      <c r="AJ68" t="str">
        <f t="shared" si="4"/>
        <v>Green Bay</v>
      </c>
      <c r="AK68" t="str">
        <f t="shared" si="5"/>
        <v>WI</v>
      </c>
      <c r="AL68">
        <f t="shared" si="6"/>
        <v>4091142613</v>
      </c>
      <c r="AM68" t="str">
        <f t="shared" si="7"/>
        <v>4093RN153</v>
      </c>
      <c r="AN68" t="str">
        <f t="shared" si="8"/>
        <v/>
      </c>
      <c r="AO68" t="str">
        <f t="shared" si="9"/>
        <v>Pella</v>
      </c>
      <c r="AP68">
        <f t="shared" si="10"/>
        <v>54201</v>
      </c>
      <c r="AQ68">
        <f t="shared" ca="1" si="23"/>
        <v>0</v>
      </c>
      <c r="AR68" s="1">
        <f t="shared" si="11"/>
        <v>46135</v>
      </c>
      <c r="CB68" s="1"/>
    </row>
    <row r="69" spans="1:80" x14ac:dyDescent="0.25">
      <c r="A69" s="23"/>
      <c r="B69" s="23"/>
      <c r="C69" s="23"/>
      <c r="D69" s="24"/>
      <c r="E69" s="24"/>
      <c r="F69" s="25">
        <f t="shared" si="24"/>
        <v>0</v>
      </c>
      <c r="G69" s="24"/>
      <c r="H69" s="24"/>
      <c r="I69" s="25">
        <v>1</v>
      </c>
      <c r="J69" s="24"/>
      <c r="K69" s="24"/>
      <c r="L69" s="24"/>
      <c r="M69" s="26" t="str">
        <f t="shared" si="12"/>
        <v/>
      </c>
      <c r="N69" s="27">
        <f t="shared" si="13"/>
        <v>0</v>
      </c>
      <c r="T69">
        <f t="shared" si="1"/>
        <v>129</v>
      </c>
      <c r="U69">
        <f t="shared" si="14"/>
        <v>26053</v>
      </c>
      <c r="V69">
        <f t="shared" ca="1" si="15"/>
        <v>26</v>
      </c>
      <c r="W69">
        <v>13</v>
      </c>
      <c r="X69" t="str">
        <f t="shared" ca="1" si="16"/>
        <v>JE</v>
      </c>
      <c r="Y69" t="s">
        <v>28</v>
      </c>
      <c r="Z69">
        <f t="shared" ca="1" si="17"/>
        <v>2.5</v>
      </c>
      <c r="AA69" t="str">
        <f t="shared" ca="1" si="18"/>
        <v>PAINT</v>
      </c>
      <c r="AB69">
        <f t="shared" ca="1" si="19"/>
        <v>1</v>
      </c>
      <c r="AC69">
        <f t="shared" ca="1" si="20"/>
        <v>43.5</v>
      </c>
      <c r="AD69" t="str">
        <f t="shared" si="2"/>
        <v>4093RN153</v>
      </c>
      <c r="AE69" t="str">
        <f t="shared" ca="1" si="21"/>
        <v>PWHITE</v>
      </c>
      <c r="AF69" t="str">
        <f t="shared" ca="1" si="22"/>
        <v/>
      </c>
      <c r="AG69">
        <v>13</v>
      </c>
      <c r="AH69" t="s">
        <v>136</v>
      </c>
      <c r="AI69" t="str">
        <f t="shared" si="3"/>
        <v>Lutheran Home 25</v>
      </c>
      <c r="AJ69" t="str">
        <f t="shared" si="4"/>
        <v>Green Bay</v>
      </c>
      <c r="AK69" t="str">
        <f t="shared" si="5"/>
        <v>WI</v>
      </c>
      <c r="AL69">
        <f t="shared" si="6"/>
        <v>4091142613</v>
      </c>
      <c r="AM69" t="str">
        <f t="shared" si="7"/>
        <v>4093RN153</v>
      </c>
      <c r="AN69" t="str">
        <f t="shared" si="8"/>
        <v/>
      </c>
      <c r="AO69" t="str">
        <f t="shared" si="9"/>
        <v>Pella</v>
      </c>
      <c r="AP69">
        <f t="shared" si="10"/>
        <v>54201</v>
      </c>
      <c r="AQ69">
        <f t="shared" ca="1" si="23"/>
        <v>0</v>
      </c>
      <c r="AR69" s="1">
        <f t="shared" si="11"/>
        <v>46135</v>
      </c>
      <c r="CB69" s="1"/>
    </row>
    <row r="70" spans="1:80" x14ac:dyDescent="0.25">
      <c r="A70" s="23"/>
      <c r="B70" s="23"/>
      <c r="C70" s="23"/>
      <c r="D70" s="24"/>
      <c r="E70" s="24"/>
      <c r="F70" s="25">
        <f t="shared" si="24"/>
        <v>0</v>
      </c>
      <c r="G70" s="24"/>
      <c r="H70" s="24"/>
      <c r="I70" s="25">
        <v>1</v>
      </c>
      <c r="J70" s="24"/>
      <c r="K70" s="24"/>
      <c r="L70" s="24"/>
      <c r="M70" s="26" t="str">
        <f t="shared" si="12"/>
        <v/>
      </c>
      <c r="N70" s="27">
        <f t="shared" si="13"/>
        <v>0</v>
      </c>
      <c r="T70">
        <f t="shared" si="1"/>
        <v>129</v>
      </c>
      <c r="U70">
        <f t="shared" si="14"/>
        <v>26053</v>
      </c>
      <c r="V70">
        <f t="shared" ca="1" si="15"/>
        <v>26</v>
      </c>
      <c r="W70">
        <v>13</v>
      </c>
      <c r="X70" t="str">
        <f t="shared" ca="1" si="16"/>
        <v>JE</v>
      </c>
      <c r="Y70" t="s">
        <v>32</v>
      </c>
      <c r="Z70">
        <f t="shared" ca="1" si="17"/>
        <v>2.5</v>
      </c>
      <c r="AA70" t="str">
        <f t="shared" ca="1" si="18"/>
        <v>PAINT</v>
      </c>
      <c r="AB70">
        <f t="shared" ca="1" si="19"/>
        <v>1</v>
      </c>
      <c r="AC70">
        <f t="shared" ca="1" si="20"/>
        <v>43.5</v>
      </c>
      <c r="AD70" t="str">
        <f t="shared" si="2"/>
        <v>4093RN153</v>
      </c>
      <c r="AE70" t="str">
        <f t="shared" ca="1" si="21"/>
        <v>PWHITE</v>
      </c>
      <c r="AF70" t="str">
        <f t="shared" ca="1" si="22"/>
        <v/>
      </c>
      <c r="AG70">
        <v>13</v>
      </c>
      <c r="AH70" t="s">
        <v>136</v>
      </c>
      <c r="AI70" t="str">
        <f t="shared" si="3"/>
        <v>Lutheran Home 25</v>
      </c>
      <c r="AJ70" t="str">
        <f t="shared" si="4"/>
        <v>Green Bay</v>
      </c>
      <c r="AK70" t="str">
        <f t="shared" si="5"/>
        <v>WI</v>
      </c>
      <c r="AL70">
        <f t="shared" si="6"/>
        <v>4091142613</v>
      </c>
      <c r="AM70" t="str">
        <f t="shared" si="7"/>
        <v>4093RN153</v>
      </c>
      <c r="AN70" t="str">
        <f t="shared" si="8"/>
        <v/>
      </c>
      <c r="AO70" t="str">
        <f t="shared" si="9"/>
        <v>Pella</v>
      </c>
      <c r="AP70">
        <f t="shared" si="10"/>
        <v>54201</v>
      </c>
      <c r="AQ70">
        <f t="shared" ca="1" si="23"/>
        <v>0</v>
      </c>
      <c r="AR70" s="1">
        <f t="shared" si="11"/>
        <v>46135</v>
      </c>
      <c r="CB70" s="1"/>
    </row>
    <row r="71" spans="1:80" x14ac:dyDescent="0.25">
      <c r="A71" s="23"/>
      <c r="B71" s="23"/>
      <c r="C71" s="23"/>
      <c r="D71" s="24"/>
      <c r="E71" s="24"/>
      <c r="F71" s="25">
        <f t="shared" si="24"/>
        <v>0</v>
      </c>
      <c r="G71" s="24"/>
      <c r="H71" s="24"/>
      <c r="I71" s="25">
        <v>1</v>
      </c>
      <c r="J71" s="24"/>
      <c r="K71" s="24"/>
      <c r="L71" s="24"/>
      <c r="M71" s="26" t="str">
        <f t="shared" si="12"/>
        <v/>
      </c>
      <c r="N71" s="27">
        <f t="shared" si="13"/>
        <v>0</v>
      </c>
      <c r="T71">
        <f t="shared" si="1"/>
        <v>129</v>
      </c>
      <c r="U71">
        <f t="shared" si="14"/>
        <v>26053</v>
      </c>
      <c r="V71">
        <f t="shared" ca="1" si="15"/>
        <v>26</v>
      </c>
      <c r="W71">
        <v>14</v>
      </c>
      <c r="X71" t="str">
        <f t="shared" ca="1" si="16"/>
        <v>JE</v>
      </c>
      <c r="Y71" t="s">
        <v>9</v>
      </c>
      <c r="Z71">
        <f t="shared" ca="1" si="17"/>
        <v>2.5</v>
      </c>
      <c r="AA71" t="str">
        <f t="shared" ca="1" si="18"/>
        <v>PAINT</v>
      </c>
      <c r="AB71">
        <f t="shared" ca="1" si="19"/>
        <v>1</v>
      </c>
      <c r="AC71">
        <f t="shared" ca="1" si="20"/>
        <v>65.625</v>
      </c>
      <c r="AD71" t="str">
        <f t="shared" si="2"/>
        <v>4093RN153</v>
      </c>
      <c r="AE71" t="str">
        <f t="shared" ca="1" si="21"/>
        <v>PWHITE</v>
      </c>
      <c r="AF71" t="str">
        <f t="shared" ca="1" si="22"/>
        <v/>
      </c>
      <c r="AG71">
        <v>14</v>
      </c>
      <c r="AH71" t="s">
        <v>136</v>
      </c>
      <c r="AI71" t="str">
        <f t="shared" si="3"/>
        <v>Lutheran Home 25</v>
      </c>
      <c r="AJ71" t="str">
        <f t="shared" si="4"/>
        <v>Green Bay</v>
      </c>
      <c r="AK71" t="str">
        <f t="shared" si="5"/>
        <v>WI</v>
      </c>
      <c r="AL71">
        <f t="shared" si="6"/>
        <v>4091142613</v>
      </c>
      <c r="AM71" t="str">
        <f t="shared" si="7"/>
        <v>4093RN153</v>
      </c>
      <c r="AN71" t="str">
        <f t="shared" si="8"/>
        <v/>
      </c>
      <c r="AO71" t="str">
        <f t="shared" si="9"/>
        <v>Pella</v>
      </c>
      <c r="AP71">
        <f t="shared" si="10"/>
        <v>54201</v>
      </c>
      <c r="AQ71">
        <f t="shared" ca="1" si="23"/>
        <v>0</v>
      </c>
      <c r="AR71" s="1">
        <f t="shared" si="11"/>
        <v>46135</v>
      </c>
      <c r="CB71" s="1"/>
    </row>
    <row r="72" spans="1:80" x14ac:dyDescent="0.25">
      <c r="A72" s="23"/>
      <c r="B72" s="23"/>
      <c r="C72" s="23"/>
      <c r="D72" s="24"/>
      <c r="E72" s="24"/>
      <c r="F72" s="25">
        <f t="shared" si="24"/>
        <v>0</v>
      </c>
      <c r="G72" s="24"/>
      <c r="H72" s="24"/>
      <c r="I72" s="25">
        <v>1</v>
      </c>
      <c r="J72" s="24"/>
      <c r="K72" s="24"/>
      <c r="L72" s="24"/>
      <c r="M72" s="26" t="str">
        <f t="shared" si="12"/>
        <v/>
      </c>
      <c r="N72" s="27">
        <f t="shared" si="13"/>
        <v>0</v>
      </c>
      <c r="T72">
        <f t="shared" si="1"/>
        <v>129</v>
      </c>
      <c r="U72">
        <f t="shared" si="14"/>
        <v>26053</v>
      </c>
      <c r="V72">
        <f t="shared" ca="1" si="15"/>
        <v>26</v>
      </c>
      <c r="W72">
        <v>14</v>
      </c>
      <c r="X72" t="str">
        <f t="shared" ca="1" si="16"/>
        <v>JE</v>
      </c>
      <c r="Y72" t="s">
        <v>33</v>
      </c>
      <c r="Z72">
        <f t="shared" ca="1" si="17"/>
        <v>2.5</v>
      </c>
      <c r="AA72" t="str">
        <f t="shared" ca="1" si="18"/>
        <v>PAINT</v>
      </c>
      <c r="AB72">
        <f t="shared" ca="1" si="19"/>
        <v>1</v>
      </c>
      <c r="AC72">
        <f t="shared" ca="1" si="20"/>
        <v>65.625</v>
      </c>
      <c r="AD72" t="str">
        <f t="shared" si="2"/>
        <v>4093RN153</v>
      </c>
      <c r="AE72" t="str">
        <f t="shared" ca="1" si="21"/>
        <v>PWHITE</v>
      </c>
      <c r="AF72" t="str">
        <f t="shared" ca="1" si="22"/>
        <v/>
      </c>
      <c r="AG72">
        <v>14</v>
      </c>
      <c r="AH72" t="s">
        <v>136</v>
      </c>
      <c r="AI72" t="str">
        <f t="shared" si="3"/>
        <v>Lutheran Home 25</v>
      </c>
      <c r="AJ72" t="str">
        <f t="shared" si="4"/>
        <v>Green Bay</v>
      </c>
      <c r="AK72" t="str">
        <f t="shared" si="5"/>
        <v>WI</v>
      </c>
      <c r="AL72">
        <f t="shared" si="6"/>
        <v>4091142613</v>
      </c>
      <c r="AM72" t="str">
        <f t="shared" si="7"/>
        <v>4093RN153</v>
      </c>
      <c r="AN72" t="str">
        <f t="shared" si="8"/>
        <v/>
      </c>
      <c r="AO72" t="str">
        <f t="shared" si="9"/>
        <v>Pella</v>
      </c>
      <c r="AP72">
        <f t="shared" si="10"/>
        <v>54201</v>
      </c>
      <c r="AQ72">
        <f t="shared" ca="1" si="23"/>
        <v>0</v>
      </c>
      <c r="AR72" s="1">
        <f t="shared" si="11"/>
        <v>46135</v>
      </c>
      <c r="CB72" s="1"/>
    </row>
    <row r="73" spans="1:80" x14ac:dyDescent="0.25">
      <c r="A73" s="23"/>
      <c r="B73" s="23"/>
      <c r="C73" s="23"/>
      <c r="D73" s="24"/>
      <c r="E73" s="24"/>
      <c r="F73" s="25">
        <f t="shared" si="24"/>
        <v>0</v>
      </c>
      <c r="G73" s="24"/>
      <c r="H73" s="24"/>
      <c r="I73" s="25">
        <v>1</v>
      </c>
      <c r="J73" s="24"/>
      <c r="K73" s="24"/>
      <c r="L73" s="24"/>
      <c r="M73" s="26" t="str">
        <f t="shared" si="12"/>
        <v/>
      </c>
      <c r="N73" s="27">
        <f t="shared" si="13"/>
        <v>0</v>
      </c>
      <c r="T73">
        <f t="shared" si="1"/>
        <v>129</v>
      </c>
      <c r="U73">
        <f t="shared" si="14"/>
        <v>26053</v>
      </c>
      <c r="V73">
        <f t="shared" ca="1" si="15"/>
        <v>26</v>
      </c>
      <c r="W73">
        <v>14</v>
      </c>
      <c r="X73" t="str">
        <f t="shared" ca="1" si="16"/>
        <v>JE</v>
      </c>
      <c r="Y73" t="s">
        <v>28</v>
      </c>
      <c r="Z73">
        <f t="shared" ca="1" si="17"/>
        <v>2.5</v>
      </c>
      <c r="AA73" t="str">
        <f t="shared" ca="1" si="18"/>
        <v>PAINT</v>
      </c>
      <c r="AB73">
        <f t="shared" ca="1" si="19"/>
        <v>1</v>
      </c>
      <c r="AC73">
        <f t="shared" ca="1" si="20"/>
        <v>43.5</v>
      </c>
      <c r="AD73" t="str">
        <f t="shared" si="2"/>
        <v>4093RN153</v>
      </c>
      <c r="AE73" t="str">
        <f t="shared" ca="1" si="21"/>
        <v>PWHITE</v>
      </c>
      <c r="AF73" t="str">
        <f t="shared" ca="1" si="22"/>
        <v/>
      </c>
      <c r="AG73">
        <v>14</v>
      </c>
      <c r="AH73" t="s">
        <v>136</v>
      </c>
      <c r="AI73" t="str">
        <f t="shared" si="3"/>
        <v>Lutheran Home 25</v>
      </c>
      <c r="AJ73" t="str">
        <f t="shared" si="4"/>
        <v>Green Bay</v>
      </c>
      <c r="AK73" t="str">
        <f t="shared" si="5"/>
        <v>WI</v>
      </c>
      <c r="AL73">
        <f t="shared" si="6"/>
        <v>4091142613</v>
      </c>
      <c r="AM73" t="str">
        <f t="shared" si="7"/>
        <v>4093RN153</v>
      </c>
      <c r="AN73" t="str">
        <f t="shared" si="8"/>
        <v/>
      </c>
      <c r="AO73" t="str">
        <f t="shared" si="9"/>
        <v>Pella</v>
      </c>
      <c r="AP73">
        <f t="shared" si="10"/>
        <v>54201</v>
      </c>
      <c r="AQ73">
        <f t="shared" ca="1" si="23"/>
        <v>0</v>
      </c>
      <c r="AR73" s="1">
        <f t="shared" si="11"/>
        <v>46135</v>
      </c>
      <c r="CB73" s="1"/>
    </row>
    <row r="74" spans="1:80" x14ac:dyDescent="0.25">
      <c r="A74" s="23"/>
      <c r="B74" s="23"/>
      <c r="C74" s="23"/>
      <c r="D74" s="24"/>
      <c r="E74" s="24"/>
      <c r="F74" s="25">
        <f t="shared" si="24"/>
        <v>0</v>
      </c>
      <c r="G74" s="24"/>
      <c r="H74" s="24"/>
      <c r="I74" s="25">
        <v>1</v>
      </c>
      <c r="J74" s="24"/>
      <c r="K74" s="24"/>
      <c r="L74" s="24"/>
      <c r="M74" s="26" t="str">
        <f t="shared" si="12"/>
        <v/>
      </c>
      <c r="N74" s="27">
        <f t="shared" si="13"/>
        <v>0</v>
      </c>
      <c r="T74">
        <f t="shared" si="1"/>
        <v>129</v>
      </c>
      <c r="U74">
        <f t="shared" si="14"/>
        <v>26053</v>
      </c>
      <c r="V74">
        <f t="shared" ca="1" si="15"/>
        <v>26</v>
      </c>
      <c r="W74">
        <v>14</v>
      </c>
      <c r="X74" t="str">
        <f t="shared" ca="1" si="16"/>
        <v>JE</v>
      </c>
      <c r="Y74" t="s">
        <v>32</v>
      </c>
      <c r="Z74">
        <f t="shared" ca="1" si="17"/>
        <v>2.5</v>
      </c>
      <c r="AA74" t="str">
        <f t="shared" ca="1" si="18"/>
        <v>PAINT</v>
      </c>
      <c r="AB74">
        <f t="shared" ca="1" si="19"/>
        <v>1</v>
      </c>
      <c r="AC74">
        <f t="shared" ca="1" si="20"/>
        <v>43.5</v>
      </c>
      <c r="AD74" t="str">
        <f t="shared" si="2"/>
        <v>4093RN153</v>
      </c>
      <c r="AE74" t="str">
        <f t="shared" ca="1" si="21"/>
        <v>PWHITE</v>
      </c>
      <c r="AF74" t="str">
        <f t="shared" ca="1" si="22"/>
        <v/>
      </c>
      <c r="AG74">
        <v>14</v>
      </c>
      <c r="AH74" t="s">
        <v>136</v>
      </c>
      <c r="AI74" t="str">
        <f t="shared" si="3"/>
        <v>Lutheran Home 25</v>
      </c>
      <c r="AJ74" t="str">
        <f t="shared" si="4"/>
        <v>Green Bay</v>
      </c>
      <c r="AK74" t="str">
        <f t="shared" si="5"/>
        <v>WI</v>
      </c>
      <c r="AL74">
        <f t="shared" si="6"/>
        <v>4091142613</v>
      </c>
      <c r="AM74" t="str">
        <f t="shared" si="7"/>
        <v>4093RN153</v>
      </c>
      <c r="AN74" t="str">
        <f t="shared" si="8"/>
        <v/>
      </c>
      <c r="AO74" t="str">
        <f t="shared" si="9"/>
        <v>Pella</v>
      </c>
      <c r="AP74">
        <f t="shared" si="10"/>
        <v>54201</v>
      </c>
      <c r="AQ74">
        <f t="shared" ca="1" si="23"/>
        <v>0</v>
      </c>
      <c r="AR74" s="1">
        <f t="shared" si="11"/>
        <v>46135</v>
      </c>
      <c r="CB74" s="1"/>
    </row>
    <row r="75" spans="1:80" x14ac:dyDescent="0.25">
      <c r="A75" s="23"/>
      <c r="B75" s="23"/>
      <c r="C75" s="23"/>
      <c r="D75" s="24"/>
      <c r="E75" s="24"/>
      <c r="F75" s="25">
        <f t="shared" si="24"/>
        <v>0</v>
      </c>
      <c r="G75" s="24"/>
      <c r="H75" s="24"/>
      <c r="I75" s="25">
        <v>1</v>
      </c>
      <c r="J75" s="24"/>
      <c r="K75" s="24"/>
      <c r="L75" s="24"/>
      <c r="M75" s="26" t="str">
        <f t="shared" si="12"/>
        <v/>
      </c>
      <c r="N75" s="27">
        <f t="shared" si="13"/>
        <v>0</v>
      </c>
      <c r="T75">
        <f t="shared" si="1"/>
        <v>129</v>
      </c>
      <c r="U75">
        <f t="shared" si="14"/>
        <v>26053</v>
      </c>
      <c r="V75">
        <f t="shared" ca="1" si="15"/>
        <v>45</v>
      </c>
      <c r="W75">
        <v>15</v>
      </c>
      <c r="X75" t="str">
        <f t="shared" ca="1" si="16"/>
        <v>JE</v>
      </c>
      <c r="Y75" t="s">
        <v>9</v>
      </c>
      <c r="Z75">
        <f t="shared" ca="1" si="17"/>
        <v>2.5</v>
      </c>
      <c r="AA75" t="str">
        <f t="shared" ca="1" si="18"/>
        <v>PAINT</v>
      </c>
      <c r="AB75">
        <f t="shared" ca="1" si="19"/>
        <v>1</v>
      </c>
      <c r="AC75">
        <f t="shared" ca="1" si="20"/>
        <v>65.625</v>
      </c>
      <c r="AD75" t="str">
        <f t="shared" si="2"/>
        <v>4093RN153</v>
      </c>
      <c r="AE75" t="str">
        <f t="shared" ca="1" si="21"/>
        <v>PWHITE</v>
      </c>
      <c r="AF75" t="str">
        <f t="shared" ca="1" si="22"/>
        <v/>
      </c>
      <c r="AG75">
        <v>15</v>
      </c>
      <c r="AH75" t="s">
        <v>136</v>
      </c>
      <c r="AI75" t="str">
        <f t="shared" si="3"/>
        <v>Lutheran Home 25</v>
      </c>
      <c r="AJ75" t="str">
        <f t="shared" si="4"/>
        <v>Green Bay</v>
      </c>
      <c r="AK75" t="str">
        <f t="shared" si="5"/>
        <v>WI</v>
      </c>
      <c r="AL75">
        <f t="shared" si="6"/>
        <v>4091142613</v>
      </c>
      <c r="AM75" t="str">
        <f t="shared" si="7"/>
        <v>4093RN153</v>
      </c>
      <c r="AN75" t="str">
        <f t="shared" si="8"/>
        <v/>
      </c>
      <c r="AO75" t="str">
        <f t="shared" si="9"/>
        <v>Pella</v>
      </c>
      <c r="AP75">
        <f t="shared" si="10"/>
        <v>54201</v>
      </c>
      <c r="AQ75">
        <f t="shared" ca="1" si="23"/>
        <v>0</v>
      </c>
      <c r="AR75" s="1">
        <f t="shared" si="11"/>
        <v>46135</v>
      </c>
      <c r="CB75" s="1"/>
    </row>
    <row r="76" spans="1:80" x14ac:dyDescent="0.25">
      <c r="A76" s="23"/>
      <c r="B76" s="23"/>
      <c r="C76" s="23"/>
      <c r="D76" s="24"/>
      <c r="E76" s="24"/>
      <c r="F76" s="25">
        <f t="shared" si="24"/>
        <v>0</v>
      </c>
      <c r="G76" s="24"/>
      <c r="H76" s="24"/>
      <c r="I76" s="25">
        <v>1</v>
      </c>
      <c r="J76" s="24"/>
      <c r="K76" s="24"/>
      <c r="L76" s="24"/>
      <c r="M76" s="26" t="str">
        <f t="shared" si="12"/>
        <v/>
      </c>
      <c r="N76" s="27">
        <f t="shared" si="13"/>
        <v>0</v>
      </c>
      <c r="T76">
        <f t="shared" si="1"/>
        <v>129</v>
      </c>
      <c r="U76">
        <f t="shared" si="14"/>
        <v>26053</v>
      </c>
      <c r="V76">
        <f t="shared" ca="1" si="15"/>
        <v>45</v>
      </c>
      <c r="W76">
        <v>15</v>
      </c>
      <c r="X76" t="str">
        <f t="shared" ca="1" si="16"/>
        <v>JE</v>
      </c>
      <c r="Y76" t="s">
        <v>33</v>
      </c>
      <c r="Z76">
        <f t="shared" ca="1" si="17"/>
        <v>2.5</v>
      </c>
      <c r="AA76" t="str">
        <f t="shared" ca="1" si="18"/>
        <v>PAINT</v>
      </c>
      <c r="AB76">
        <f t="shared" ca="1" si="19"/>
        <v>1</v>
      </c>
      <c r="AC76">
        <f t="shared" ca="1" si="20"/>
        <v>65.625</v>
      </c>
      <c r="AD76" t="str">
        <f t="shared" si="2"/>
        <v>4093RN153</v>
      </c>
      <c r="AE76" t="str">
        <f t="shared" ca="1" si="21"/>
        <v>PWHITE</v>
      </c>
      <c r="AF76" t="str">
        <f t="shared" ca="1" si="22"/>
        <v/>
      </c>
      <c r="AG76">
        <v>15</v>
      </c>
      <c r="AH76" t="s">
        <v>136</v>
      </c>
      <c r="AI76" t="str">
        <f t="shared" si="3"/>
        <v>Lutheran Home 25</v>
      </c>
      <c r="AJ76" t="str">
        <f t="shared" si="4"/>
        <v>Green Bay</v>
      </c>
      <c r="AK76" t="str">
        <f t="shared" si="5"/>
        <v>WI</v>
      </c>
      <c r="AL76">
        <f t="shared" si="6"/>
        <v>4091142613</v>
      </c>
      <c r="AM76" t="str">
        <f t="shared" si="7"/>
        <v>4093RN153</v>
      </c>
      <c r="AN76" t="str">
        <f t="shared" si="8"/>
        <v/>
      </c>
      <c r="AO76" t="str">
        <f t="shared" si="9"/>
        <v>Pella</v>
      </c>
      <c r="AP76">
        <f t="shared" si="10"/>
        <v>54201</v>
      </c>
      <c r="AQ76">
        <f t="shared" ca="1" si="23"/>
        <v>0</v>
      </c>
      <c r="AR76" s="1">
        <f t="shared" si="11"/>
        <v>46135</v>
      </c>
      <c r="CB76" s="1"/>
    </row>
    <row r="77" spans="1:80" x14ac:dyDescent="0.25">
      <c r="A77" s="23"/>
      <c r="B77" s="23"/>
      <c r="C77" s="23"/>
      <c r="D77" s="24"/>
      <c r="E77" s="24"/>
      <c r="F77" s="25">
        <f t="shared" si="24"/>
        <v>0</v>
      </c>
      <c r="G77" s="24"/>
      <c r="H77" s="24"/>
      <c r="I77" s="25">
        <v>1</v>
      </c>
      <c r="J77" s="24"/>
      <c r="K77" s="24"/>
      <c r="L77" s="24"/>
      <c r="M77" s="26" t="str">
        <f t="shared" si="12"/>
        <v/>
      </c>
      <c r="N77" s="27">
        <f t="shared" si="13"/>
        <v>0</v>
      </c>
      <c r="T77">
        <f t="shared" si="1"/>
        <v>129</v>
      </c>
      <c r="U77">
        <f t="shared" si="14"/>
        <v>26053</v>
      </c>
      <c r="V77">
        <f t="shared" ca="1" si="15"/>
        <v>45</v>
      </c>
      <c r="W77">
        <v>15</v>
      </c>
      <c r="X77" t="str">
        <f t="shared" ca="1" si="16"/>
        <v>JE</v>
      </c>
      <c r="Y77" t="s">
        <v>28</v>
      </c>
      <c r="Z77">
        <f t="shared" ca="1" si="17"/>
        <v>2.5</v>
      </c>
      <c r="AA77" t="str">
        <f t="shared" ca="1" si="18"/>
        <v>PAINT</v>
      </c>
      <c r="AB77">
        <f t="shared" ca="1" si="19"/>
        <v>1</v>
      </c>
      <c r="AC77">
        <f t="shared" ca="1" si="20"/>
        <v>105.5</v>
      </c>
      <c r="AD77" t="str">
        <f t="shared" si="2"/>
        <v>4093RN153</v>
      </c>
      <c r="AE77" t="str">
        <f t="shared" ca="1" si="21"/>
        <v>PWHITE</v>
      </c>
      <c r="AF77" t="str">
        <f t="shared" ca="1" si="22"/>
        <v/>
      </c>
      <c r="AG77">
        <v>15</v>
      </c>
      <c r="AH77" t="s">
        <v>136</v>
      </c>
      <c r="AI77" t="str">
        <f t="shared" si="3"/>
        <v>Lutheran Home 25</v>
      </c>
      <c r="AJ77" t="str">
        <f t="shared" si="4"/>
        <v>Green Bay</v>
      </c>
      <c r="AK77" t="str">
        <f t="shared" si="5"/>
        <v>WI</v>
      </c>
      <c r="AL77">
        <f t="shared" si="6"/>
        <v>4091142613</v>
      </c>
      <c r="AM77" t="str">
        <f t="shared" si="7"/>
        <v>4093RN153</v>
      </c>
      <c r="AN77" t="str">
        <f t="shared" si="8"/>
        <v/>
      </c>
      <c r="AO77" t="str">
        <f t="shared" si="9"/>
        <v>Pella</v>
      </c>
      <c r="AP77">
        <f t="shared" si="10"/>
        <v>54201</v>
      </c>
      <c r="AQ77">
        <f t="shared" ca="1" si="23"/>
        <v>0</v>
      </c>
      <c r="AR77" s="1">
        <f t="shared" si="11"/>
        <v>46135</v>
      </c>
      <c r="CB77" s="1"/>
    </row>
    <row r="78" spans="1:80" x14ac:dyDescent="0.25">
      <c r="A78" s="23"/>
      <c r="B78" s="23"/>
      <c r="C78" s="23"/>
      <c r="D78" s="24"/>
      <c r="E78" s="24"/>
      <c r="F78" s="25">
        <f t="shared" si="24"/>
        <v>0</v>
      </c>
      <c r="G78" s="24"/>
      <c r="H78" s="24"/>
      <c r="I78" s="25">
        <v>1</v>
      </c>
      <c r="J78" s="24"/>
      <c r="K78" s="24"/>
      <c r="L78" s="24"/>
      <c r="M78" s="26" t="str">
        <f t="shared" si="12"/>
        <v/>
      </c>
      <c r="N78" s="27">
        <f t="shared" si="13"/>
        <v>0</v>
      </c>
      <c r="T78">
        <f t="shared" si="1"/>
        <v>129</v>
      </c>
      <c r="U78">
        <f t="shared" si="14"/>
        <v>26053</v>
      </c>
      <c r="V78">
        <f t="shared" ca="1" si="15"/>
        <v>45</v>
      </c>
      <c r="W78">
        <v>15</v>
      </c>
      <c r="X78" t="str">
        <f t="shared" ca="1" si="16"/>
        <v>JE</v>
      </c>
      <c r="Y78" t="s">
        <v>32</v>
      </c>
      <c r="Z78">
        <f t="shared" ca="1" si="17"/>
        <v>2.5</v>
      </c>
      <c r="AA78" t="str">
        <f t="shared" ca="1" si="18"/>
        <v>PAINT</v>
      </c>
      <c r="AB78">
        <f t="shared" ca="1" si="19"/>
        <v>1</v>
      </c>
      <c r="AC78">
        <f t="shared" ca="1" si="20"/>
        <v>105.5</v>
      </c>
      <c r="AD78" t="str">
        <f t="shared" si="2"/>
        <v>4093RN153</v>
      </c>
      <c r="AE78" t="str">
        <f t="shared" ca="1" si="21"/>
        <v>PWHITE</v>
      </c>
      <c r="AF78" t="str">
        <f t="shared" ca="1" si="22"/>
        <v/>
      </c>
      <c r="AG78">
        <v>15</v>
      </c>
      <c r="AH78" t="s">
        <v>136</v>
      </c>
      <c r="AI78" t="str">
        <f t="shared" si="3"/>
        <v>Lutheran Home 25</v>
      </c>
      <c r="AJ78" t="str">
        <f t="shared" si="4"/>
        <v>Green Bay</v>
      </c>
      <c r="AK78" t="str">
        <f t="shared" si="5"/>
        <v>WI</v>
      </c>
      <c r="AL78">
        <f t="shared" si="6"/>
        <v>4091142613</v>
      </c>
      <c r="AM78" t="str">
        <f t="shared" si="7"/>
        <v>4093RN153</v>
      </c>
      <c r="AN78" t="str">
        <f t="shared" si="8"/>
        <v/>
      </c>
      <c r="AO78" t="str">
        <f t="shared" si="9"/>
        <v>Pella</v>
      </c>
      <c r="AP78">
        <f t="shared" si="10"/>
        <v>54201</v>
      </c>
      <c r="AQ78">
        <f t="shared" ca="1" si="23"/>
        <v>0</v>
      </c>
      <c r="AR78" s="1">
        <f t="shared" si="11"/>
        <v>46135</v>
      </c>
      <c r="CB78" s="1"/>
    </row>
    <row r="79" spans="1:80" x14ac:dyDescent="0.25">
      <c r="A79" s="23"/>
      <c r="B79" s="23"/>
      <c r="C79" s="23"/>
      <c r="D79" s="24"/>
      <c r="E79" s="24"/>
      <c r="F79" s="25">
        <f t="shared" si="24"/>
        <v>0</v>
      </c>
      <c r="G79" s="24"/>
      <c r="H79" s="24"/>
      <c r="I79" s="25">
        <v>1</v>
      </c>
      <c r="J79" s="24"/>
      <c r="K79" s="24"/>
      <c r="L79" s="24"/>
      <c r="M79" s="26" t="str">
        <f t="shared" si="12"/>
        <v/>
      </c>
      <c r="N79" s="27">
        <f t="shared" si="13"/>
        <v>0</v>
      </c>
      <c r="T79">
        <f t="shared" si="1"/>
        <v>129</v>
      </c>
      <c r="U79">
        <f t="shared" si="14"/>
        <v>26053</v>
      </c>
      <c r="V79">
        <f t="shared" ca="1" si="15"/>
        <v>46</v>
      </c>
      <c r="W79">
        <v>16</v>
      </c>
      <c r="X79" t="str">
        <f t="shared" ca="1" si="16"/>
        <v>JE</v>
      </c>
      <c r="Y79" t="s">
        <v>9</v>
      </c>
      <c r="Z79">
        <f t="shared" ca="1" si="17"/>
        <v>2.5</v>
      </c>
      <c r="AA79" t="str">
        <f t="shared" ca="1" si="18"/>
        <v>PAINT</v>
      </c>
      <c r="AB79">
        <f t="shared" ca="1" si="19"/>
        <v>1</v>
      </c>
      <c r="AC79">
        <f t="shared" ca="1" si="20"/>
        <v>65.625</v>
      </c>
      <c r="AD79" t="str">
        <f t="shared" si="2"/>
        <v>4093RN153</v>
      </c>
      <c r="AE79" t="str">
        <f t="shared" ca="1" si="21"/>
        <v>PWHITE</v>
      </c>
      <c r="AF79" t="str">
        <f t="shared" ca="1" si="22"/>
        <v/>
      </c>
      <c r="AG79">
        <v>16</v>
      </c>
      <c r="AH79" t="s">
        <v>136</v>
      </c>
      <c r="AI79" t="str">
        <f t="shared" si="3"/>
        <v>Lutheran Home 25</v>
      </c>
      <c r="AJ79" t="str">
        <f t="shared" si="4"/>
        <v>Green Bay</v>
      </c>
      <c r="AK79" t="str">
        <f t="shared" si="5"/>
        <v>WI</v>
      </c>
      <c r="AL79">
        <f t="shared" si="6"/>
        <v>4091142613</v>
      </c>
      <c r="AM79" t="str">
        <f t="shared" si="7"/>
        <v>4093RN153</v>
      </c>
      <c r="AN79" t="str">
        <f t="shared" si="8"/>
        <v/>
      </c>
      <c r="AO79" t="str">
        <f t="shared" si="9"/>
        <v>Pella</v>
      </c>
      <c r="AP79">
        <f t="shared" si="10"/>
        <v>54201</v>
      </c>
      <c r="AQ79">
        <f t="shared" ca="1" si="23"/>
        <v>0</v>
      </c>
      <c r="AR79" s="1">
        <f t="shared" si="11"/>
        <v>46135</v>
      </c>
      <c r="CB79" s="1"/>
    </row>
    <row r="80" spans="1:80" x14ac:dyDescent="0.25">
      <c r="A80" s="23"/>
      <c r="B80" s="23"/>
      <c r="C80" s="23"/>
      <c r="D80" s="24"/>
      <c r="E80" s="24"/>
      <c r="F80" s="25">
        <f t="shared" si="24"/>
        <v>0</v>
      </c>
      <c r="G80" s="24"/>
      <c r="H80" s="24"/>
      <c r="I80" s="25">
        <v>1</v>
      </c>
      <c r="J80" s="24"/>
      <c r="K80" s="24"/>
      <c r="L80" s="24"/>
      <c r="M80" s="26" t="str">
        <f t="shared" si="12"/>
        <v/>
      </c>
      <c r="N80" s="27">
        <f t="shared" si="13"/>
        <v>0</v>
      </c>
      <c r="T80">
        <f t="shared" si="1"/>
        <v>129</v>
      </c>
      <c r="U80">
        <f t="shared" si="14"/>
        <v>26053</v>
      </c>
      <c r="V80">
        <f t="shared" ca="1" si="15"/>
        <v>46</v>
      </c>
      <c r="W80">
        <v>16</v>
      </c>
      <c r="X80" t="str">
        <f t="shared" ca="1" si="16"/>
        <v>JE</v>
      </c>
      <c r="Y80" t="s">
        <v>33</v>
      </c>
      <c r="Z80">
        <f t="shared" ca="1" si="17"/>
        <v>2.5</v>
      </c>
      <c r="AA80" t="str">
        <f t="shared" ca="1" si="18"/>
        <v>PAINT</v>
      </c>
      <c r="AB80">
        <f t="shared" ca="1" si="19"/>
        <v>1</v>
      </c>
      <c r="AC80">
        <f t="shared" ca="1" si="20"/>
        <v>65.625</v>
      </c>
      <c r="AD80" t="str">
        <f t="shared" si="2"/>
        <v>4093RN153</v>
      </c>
      <c r="AE80" t="str">
        <f t="shared" ca="1" si="21"/>
        <v>PWHITE</v>
      </c>
      <c r="AF80" t="str">
        <f t="shared" ca="1" si="22"/>
        <v/>
      </c>
      <c r="AG80">
        <v>16</v>
      </c>
      <c r="AH80" t="s">
        <v>136</v>
      </c>
      <c r="AI80" t="str">
        <f t="shared" si="3"/>
        <v>Lutheran Home 25</v>
      </c>
      <c r="AJ80" t="str">
        <f t="shared" si="4"/>
        <v>Green Bay</v>
      </c>
      <c r="AK80" t="str">
        <f t="shared" si="5"/>
        <v>WI</v>
      </c>
      <c r="AL80">
        <f t="shared" si="6"/>
        <v>4091142613</v>
      </c>
      <c r="AM80" t="str">
        <f t="shared" si="7"/>
        <v>4093RN153</v>
      </c>
      <c r="AN80" t="str">
        <f t="shared" si="8"/>
        <v/>
      </c>
      <c r="AO80" t="str">
        <f t="shared" si="9"/>
        <v>Pella</v>
      </c>
      <c r="AP80">
        <f t="shared" si="10"/>
        <v>54201</v>
      </c>
      <c r="AQ80">
        <f t="shared" ca="1" si="23"/>
        <v>0</v>
      </c>
      <c r="AR80" s="1">
        <f t="shared" si="11"/>
        <v>46135</v>
      </c>
      <c r="CB80" s="1"/>
    </row>
    <row r="81" spans="1:80" x14ac:dyDescent="0.25">
      <c r="A81" s="23"/>
      <c r="B81" s="23"/>
      <c r="C81" s="23"/>
      <c r="D81" s="24"/>
      <c r="E81" s="24"/>
      <c r="F81" s="25">
        <f t="shared" si="24"/>
        <v>0</v>
      </c>
      <c r="G81" s="24"/>
      <c r="H81" s="24"/>
      <c r="I81" s="25">
        <v>1</v>
      </c>
      <c r="J81" s="24"/>
      <c r="K81" s="24"/>
      <c r="L81" s="24"/>
      <c r="M81" s="26" t="str">
        <f t="shared" si="12"/>
        <v/>
      </c>
      <c r="N81" s="27">
        <f t="shared" si="13"/>
        <v>0</v>
      </c>
      <c r="T81">
        <f t="shared" si="1"/>
        <v>129</v>
      </c>
      <c r="U81">
        <f t="shared" si="14"/>
        <v>26053</v>
      </c>
      <c r="V81">
        <f t="shared" ca="1" si="15"/>
        <v>46</v>
      </c>
      <c r="W81">
        <v>16</v>
      </c>
      <c r="X81" t="str">
        <f t="shared" ca="1" si="16"/>
        <v>JE</v>
      </c>
      <c r="Y81" t="s">
        <v>28</v>
      </c>
      <c r="Z81">
        <f t="shared" ca="1" si="17"/>
        <v>2.5</v>
      </c>
      <c r="AA81" t="str">
        <f t="shared" ca="1" si="18"/>
        <v>PAINT</v>
      </c>
      <c r="AB81">
        <f t="shared" ca="1" si="19"/>
        <v>1</v>
      </c>
      <c r="AC81">
        <f t="shared" ca="1" si="20"/>
        <v>105.5</v>
      </c>
      <c r="AD81" t="str">
        <f t="shared" si="2"/>
        <v>4093RN153</v>
      </c>
      <c r="AE81" t="str">
        <f t="shared" ca="1" si="21"/>
        <v>PWHITE</v>
      </c>
      <c r="AF81" t="str">
        <f t="shared" ca="1" si="22"/>
        <v/>
      </c>
      <c r="AG81">
        <v>16</v>
      </c>
      <c r="AH81" t="s">
        <v>136</v>
      </c>
      <c r="AI81" t="str">
        <f t="shared" si="3"/>
        <v>Lutheran Home 25</v>
      </c>
      <c r="AJ81" t="str">
        <f t="shared" si="4"/>
        <v>Green Bay</v>
      </c>
      <c r="AK81" t="str">
        <f t="shared" si="5"/>
        <v>WI</v>
      </c>
      <c r="AL81">
        <f t="shared" si="6"/>
        <v>4091142613</v>
      </c>
      <c r="AM81" t="str">
        <f t="shared" si="7"/>
        <v>4093RN153</v>
      </c>
      <c r="AN81" t="str">
        <f t="shared" si="8"/>
        <v/>
      </c>
      <c r="AO81" t="str">
        <f t="shared" si="9"/>
        <v>Pella</v>
      </c>
      <c r="AP81">
        <f t="shared" si="10"/>
        <v>54201</v>
      </c>
      <c r="AQ81">
        <f t="shared" ca="1" si="23"/>
        <v>0</v>
      </c>
      <c r="AR81" s="1">
        <f t="shared" si="11"/>
        <v>46135</v>
      </c>
      <c r="CB81" s="1"/>
    </row>
    <row r="82" spans="1:80" x14ac:dyDescent="0.25">
      <c r="A82" s="23"/>
      <c r="B82" s="23"/>
      <c r="C82" s="23"/>
      <c r="D82" s="24"/>
      <c r="E82" s="24"/>
      <c r="F82" s="25">
        <f t="shared" si="24"/>
        <v>0</v>
      </c>
      <c r="G82" s="24"/>
      <c r="H82" s="24"/>
      <c r="I82" s="25">
        <v>1</v>
      </c>
      <c r="J82" s="24"/>
      <c r="K82" s="24"/>
      <c r="L82" s="24"/>
      <c r="M82" s="26" t="str">
        <f t="shared" si="12"/>
        <v/>
      </c>
      <c r="N82" s="27">
        <f t="shared" si="13"/>
        <v>0</v>
      </c>
      <c r="T82">
        <f t="shared" si="1"/>
        <v>129</v>
      </c>
      <c r="U82">
        <f t="shared" si="14"/>
        <v>26053</v>
      </c>
      <c r="V82">
        <f t="shared" ca="1" si="15"/>
        <v>46</v>
      </c>
      <c r="W82">
        <v>16</v>
      </c>
      <c r="X82" t="str">
        <f t="shared" ca="1" si="16"/>
        <v>JE</v>
      </c>
      <c r="Y82" t="s">
        <v>32</v>
      </c>
      <c r="Z82">
        <f t="shared" ca="1" si="17"/>
        <v>2.5</v>
      </c>
      <c r="AA82" t="str">
        <f t="shared" ca="1" si="18"/>
        <v>PAINT</v>
      </c>
      <c r="AB82">
        <f t="shared" ca="1" si="19"/>
        <v>1</v>
      </c>
      <c r="AC82">
        <f t="shared" ca="1" si="20"/>
        <v>105.5</v>
      </c>
      <c r="AD82" t="str">
        <f t="shared" si="2"/>
        <v>4093RN153</v>
      </c>
      <c r="AE82" t="str">
        <f t="shared" ca="1" si="21"/>
        <v>PWHITE</v>
      </c>
      <c r="AF82" t="str">
        <f t="shared" ca="1" si="22"/>
        <v/>
      </c>
      <c r="AG82">
        <v>16</v>
      </c>
      <c r="AH82" t="s">
        <v>136</v>
      </c>
      <c r="AI82" t="str">
        <f t="shared" si="3"/>
        <v>Lutheran Home 25</v>
      </c>
      <c r="AJ82" t="str">
        <f t="shared" si="4"/>
        <v>Green Bay</v>
      </c>
      <c r="AK82" t="str">
        <f t="shared" si="5"/>
        <v>WI</v>
      </c>
      <c r="AL82">
        <f t="shared" si="6"/>
        <v>4091142613</v>
      </c>
      <c r="AM82" t="str">
        <f t="shared" si="7"/>
        <v>4093RN153</v>
      </c>
      <c r="AN82" t="str">
        <f t="shared" si="8"/>
        <v/>
      </c>
      <c r="AO82" t="str">
        <f t="shared" si="9"/>
        <v>Pella</v>
      </c>
      <c r="AP82">
        <f t="shared" si="10"/>
        <v>54201</v>
      </c>
      <c r="AQ82">
        <f t="shared" ca="1" si="23"/>
        <v>0</v>
      </c>
      <c r="AR82" s="1">
        <f t="shared" si="11"/>
        <v>46135</v>
      </c>
      <c r="CB82" s="1"/>
    </row>
    <row r="83" spans="1:80" x14ac:dyDescent="0.25">
      <c r="A83" s="23"/>
      <c r="B83" s="23"/>
      <c r="C83" s="23"/>
      <c r="D83" s="24"/>
      <c r="E83" s="24"/>
      <c r="F83" s="25">
        <f t="shared" si="24"/>
        <v>0</v>
      </c>
      <c r="G83" s="24"/>
      <c r="H83" s="24"/>
      <c r="I83" s="25">
        <v>1</v>
      </c>
      <c r="J83" s="24"/>
      <c r="K83" s="24"/>
      <c r="L83" s="24"/>
      <c r="M83" s="26" t="str">
        <f t="shared" si="12"/>
        <v/>
      </c>
      <c r="N83" s="27">
        <f t="shared" si="13"/>
        <v>0</v>
      </c>
      <c r="T83">
        <f t="shared" ref="T83:T146" si="25">$H$14</f>
        <v>129</v>
      </c>
      <c r="U83">
        <f t="shared" si="14"/>
        <v>26053</v>
      </c>
      <c r="V83">
        <f t="shared" ca="1" si="15"/>
        <v>50</v>
      </c>
      <c r="W83">
        <v>17</v>
      </c>
      <c r="X83" t="str">
        <f t="shared" ca="1" si="16"/>
        <v>JE</v>
      </c>
      <c r="Y83" t="s">
        <v>9</v>
      </c>
      <c r="Z83">
        <f t="shared" ca="1" si="17"/>
        <v>2.5</v>
      </c>
      <c r="AA83" t="str">
        <f t="shared" ca="1" si="18"/>
        <v>PAINT</v>
      </c>
      <c r="AB83">
        <f t="shared" ca="1" si="19"/>
        <v>1</v>
      </c>
      <c r="AC83">
        <f t="shared" ca="1" si="20"/>
        <v>65.625</v>
      </c>
      <c r="AD83" t="str">
        <f t="shared" ref="AD83:AD146" si="26">$H$5</f>
        <v>4093RN153</v>
      </c>
      <c r="AE83" t="str">
        <f t="shared" ca="1" si="21"/>
        <v>PWHITE</v>
      </c>
      <c r="AF83" t="str">
        <f t="shared" ca="1" si="22"/>
        <v/>
      </c>
      <c r="AG83">
        <v>17</v>
      </c>
      <c r="AH83" t="s">
        <v>136</v>
      </c>
      <c r="AI83" t="str">
        <f t="shared" ref="AI83:AI146" si="27">$H$6</f>
        <v>Lutheran Home 25</v>
      </c>
      <c r="AJ83" t="str">
        <f t="shared" ref="AJ83:AJ146" si="28">$H$7</f>
        <v>Green Bay</v>
      </c>
      <c r="AK83" t="str">
        <f t="shared" ref="AK83:AK146" si="29">$H$8</f>
        <v>WI</v>
      </c>
      <c r="AL83">
        <f t="shared" ref="AL83:AL146" si="30">$H$9</f>
        <v>4091142613</v>
      </c>
      <c r="AM83" t="str">
        <f t="shared" ref="AM83:AM146" si="31">$H$5</f>
        <v>4093RN153</v>
      </c>
      <c r="AN83" t="str">
        <f t="shared" ref="AN83:AN146" si="32">IF($H$10=0,"",$H$10)</f>
        <v/>
      </c>
      <c r="AO83" t="str">
        <f t="shared" ref="AO83:AO146" si="33">IF($H$11=0,"",$H$11)</f>
        <v>Pella</v>
      </c>
      <c r="AP83">
        <f t="shared" ref="AP83:AP146" si="34">IF($H$12=0,"",$H$12)</f>
        <v>54201</v>
      </c>
      <c r="AQ83">
        <f t="shared" ca="1" si="23"/>
        <v>0</v>
      </c>
      <c r="AR83" s="1">
        <f t="shared" ref="AR83:AR146" si="35">IF($H$13=0,"",$H$13)</f>
        <v>46135</v>
      </c>
      <c r="CB83" s="1"/>
    </row>
    <row r="84" spans="1:80" x14ac:dyDescent="0.25">
      <c r="A84" s="23"/>
      <c r="B84" s="23"/>
      <c r="C84" s="23"/>
      <c r="D84" s="24"/>
      <c r="E84" s="24"/>
      <c r="F84" s="25">
        <f t="shared" ref="F84:F147" si="36">D84-E84</f>
        <v>0</v>
      </c>
      <c r="G84" s="24"/>
      <c r="H84" s="24"/>
      <c r="I84" s="25">
        <v>1</v>
      </c>
      <c r="J84" s="24"/>
      <c r="K84" s="24"/>
      <c r="L84" s="24"/>
      <c r="M84" s="26" t="str">
        <f t="shared" ref="M84:M147" si="37">IF(A84="4 Sided Window",H84-($H$3*2),IF(A84="3 Sided Patio Door",H84-0.875,""))</f>
        <v/>
      </c>
      <c r="N84" s="27">
        <f t="shared" ref="N84:N147" si="38">IF(A84="3 Sided Patio Door",(G84+((H84+2)*2))/12,((G84*2)+(H84*2))/12)</f>
        <v>0</v>
      </c>
      <c r="T84">
        <f t="shared" si="25"/>
        <v>129</v>
      </c>
      <c r="U84">
        <f t="shared" ref="U84:U147" si="39">$H$2</f>
        <v>26053</v>
      </c>
      <c r="V84">
        <f t="shared" ref="V84:V147" ca="1" si="40">(OFFSET($B$19,INT((ROW(A66)-1)/4),0))</f>
        <v>50</v>
      </c>
      <c r="W84">
        <v>17</v>
      </c>
      <c r="X84" t="str">
        <f t="shared" ref="X84:X147" ca="1" si="41">IF((OFFSET($J$19,INT((ROW(A66)-1)/4),0))="JE","JE",IF((OFFSET($J$19,INT((ROW(A66)-1)/4),0))="Drilled","JC",""))</f>
        <v>JE</v>
      </c>
      <c r="Y84" t="s">
        <v>33</v>
      </c>
      <c r="Z84">
        <f t="shared" ref="Z84:Z147" ca="1" si="42">(OFFSET($F$19,INT((ROW(A66)-1)/4),0))</f>
        <v>2.5</v>
      </c>
      <c r="AA84" t="str">
        <f t="shared" ref="AA84:AA147" ca="1" si="43">IF((OFFSET($K$19,INT((ROW(A66)-1)/4),0))="Poplar","PAINT",IF((OFFSET($K$19,INT((ROW(A66)-1)/4),0))="Red Oak","SGO",IF((OFFSET($K$19,INT((ROW(A66)-1)/4),0))="Maple","SM","SPPN")))</f>
        <v>PAINT</v>
      </c>
      <c r="AB84">
        <f t="shared" ref="AB84:AB147" ca="1" si="44">(OFFSET($I$19,INT((ROW(A66)-1)/4),0))</f>
        <v>1</v>
      </c>
      <c r="AC84">
        <f t="shared" ref="AC84:AC147" ca="1" si="45">IF(OR(Y84="L",Y84="R"),(OFFSET($M$19,INT((ROW(A66)-1)/4),0)),IF(Y84="B",IF((OFFSET($A$19,INT((ROW(A66)-1)/4),0))="3 Sided Patio Door",0,(OFFSET($G$19,INT((ROW(A66)-1)/4),0))),(OFFSET($G$19,INT((ROW(A66)-1)/4),0))))</f>
        <v>65.625</v>
      </c>
      <c r="AD84" t="str">
        <f t="shared" si="26"/>
        <v>4093RN153</v>
      </c>
      <c r="AE84" t="str">
        <f t="shared" ref="AE84:AE147" ca="1" si="46">(OFFSET($L$19,INT((ROW(A66)-1)/4),0))</f>
        <v>PWHITE</v>
      </c>
      <c r="AF84" t="str">
        <f t="shared" ref="AF84:AF147" ca="1" si="47">IF((OFFSET($A$19,INT((ROW(A66)-1)/4),0))="3 sided Patio door", "Unassemble","")</f>
        <v/>
      </c>
      <c r="AG84">
        <v>17</v>
      </c>
      <c r="AH84" t="s">
        <v>136</v>
      </c>
      <c r="AI84" t="str">
        <f t="shared" si="27"/>
        <v>Lutheran Home 25</v>
      </c>
      <c r="AJ84" t="str">
        <f t="shared" si="28"/>
        <v>Green Bay</v>
      </c>
      <c r="AK84" t="str">
        <f t="shared" si="29"/>
        <v>WI</v>
      </c>
      <c r="AL84">
        <f t="shared" si="30"/>
        <v>4091142613</v>
      </c>
      <c r="AM84" t="str">
        <f t="shared" si="31"/>
        <v>4093RN153</v>
      </c>
      <c r="AN84" t="str">
        <f t="shared" si="32"/>
        <v/>
      </c>
      <c r="AO84" t="str">
        <f t="shared" si="33"/>
        <v>Pella</v>
      </c>
      <c r="AP84">
        <f t="shared" si="34"/>
        <v>54201</v>
      </c>
      <c r="AQ84">
        <f t="shared" ref="AQ84:AQ147" ca="1" si="48">(OFFSET($BF$39,INT((ROW(A66)-1)/4),0))</f>
        <v>0</v>
      </c>
      <c r="AR84" s="1">
        <f t="shared" si="35"/>
        <v>46135</v>
      </c>
      <c r="CB84" s="1"/>
    </row>
    <row r="85" spans="1:80" x14ac:dyDescent="0.25">
      <c r="A85" s="23"/>
      <c r="B85" s="23"/>
      <c r="C85" s="23"/>
      <c r="D85" s="24"/>
      <c r="E85" s="24"/>
      <c r="F85" s="25">
        <f t="shared" si="36"/>
        <v>0</v>
      </c>
      <c r="G85" s="24"/>
      <c r="H85" s="24"/>
      <c r="I85" s="25">
        <v>1</v>
      </c>
      <c r="J85" s="24"/>
      <c r="K85" s="24"/>
      <c r="L85" s="24"/>
      <c r="M85" s="26" t="str">
        <f t="shared" si="37"/>
        <v/>
      </c>
      <c r="N85" s="27">
        <f t="shared" si="38"/>
        <v>0</v>
      </c>
      <c r="T85">
        <f t="shared" si="25"/>
        <v>129</v>
      </c>
      <c r="U85">
        <f t="shared" si="39"/>
        <v>26053</v>
      </c>
      <c r="V85">
        <f t="shared" ca="1" si="40"/>
        <v>50</v>
      </c>
      <c r="W85">
        <v>17</v>
      </c>
      <c r="X85" t="str">
        <f t="shared" ca="1" si="41"/>
        <v>JE</v>
      </c>
      <c r="Y85" t="s">
        <v>28</v>
      </c>
      <c r="Z85">
        <f t="shared" ca="1" si="42"/>
        <v>2.5</v>
      </c>
      <c r="AA85" t="str">
        <f t="shared" ca="1" si="43"/>
        <v>PAINT</v>
      </c>
      <c r="AB85">
        <f t="shared" ca="1" si="44"/>
        <v>1</v>
      </c>
      <c r="AC85">
        <f t="shared" ca="1" si="45"/>
        <v>138.5</v>
      </c>
      <c r="AD85" t="str">
        <f t="shared" si="26"/>
        <v>4093RN153</v>
      </c>
      <c r="AE85" t="str">
        <f t="shared" ca="1" si="46"/>
        <v>PWHITE</v>
      </c>
      <c r="AF85" t="str">
        <f t="shared" ca="1" si="47"/>
        <v/>
      </c>
      <c r="AG85">
        <v>17</v>
      </c>
      <c r="AH85" t="s">
        <v>136</v>
      </c>
      <c r="AI85" t="str">
        <f t="shared" si="27"/>
        <v>Lutheran Home 25</v>
      </c>
      <c r="AJ85" t="str">
        <f t="shared" si="28"/>
        <v>Green Bay</v>
      </c>
      <c r="AK85" t="str">
        <f t="shared" si="29"/>
        <v>WI</v>
      </c>
      <c r="AL85">
        <f t="shared" si="30"/>
        <v>4091142613</v>
      </c>
      <c r="AM85" t="str">
        <f t="shared" si="31"/>
        <v>4093RN153</v>
      </c>
      <c r="AN85" t="str">
        <f t="shared" si="32"/>
        <v/>
      </c>
      <c r="AO85" t="str">
        <f t="shared" si="33"/>
        <v>Pella</v>
      </c>
      <c r="AP85">
        <f t="shared" si="34"/>
        <v>54201</v>
      </c>
      <c r="AQ85">
        <f t="shared" ca="1" si="48"/>
        <v>0</v>
      </c>
      <c r="AR85" s="1">
        <f t="shared" si="35"/>
        <v>46135</v>
      </c>
      <c r="CB85" s="1"/>
    </row>
    <row r="86" spans="1:80" x14ac:dyDescent="0.25">
      <c r="A86" s="23"/>
      <c r="B86" s="23"/>
      <c r="C86" s="23"/>
      <c r="D86" s="24"/>
      <c r="E86" s="24"/>
      <c r="F86" s="25">
        <f t="shared" si="36"/>
        <v>0</v>
      </c>
      <c r="G86" s="24"/>
      <c r="H86" s="24"/>
      <c r="I86" s="25">
        <v>1</v>
      </c>
      <c r="J86" s="24"/>
      <c r="K86" s="24"/>
      <c r="L86" s="24"/>
      <c r="M86" s="26" t="str">
        <f t="shared" si="37"/>
        <v/>
      </c>
      <c r="N86" s="27">
        <f t="shared" si="38"/>
        <v>0</v>
      </c>
      <c r="T86">
        <f t="shared" si="25"/>
        <v>129</v>
      </c>
      <c r="U86">
        <f t="shared" si="39"/>
        <v>26053</v>
      </c>
      <c r="V86">
        <f t="shared" ca="1" si="40"/>
        <v>50</v>
      </c>
      <c r="W86">
        <v>17</v>
      </c>
      <c r="X86" t="str">
        <f t="shared" ca="1" si="41"/>
        <v>JE</v>
      </c>
      <c r="Y86" t="s">
        <v>32</v>
      </c>
      <c r="Z86">
        <f t="shared" ca="1" si="42"/>
        <v>2.5</v>
      </c>
      <c r="AA86" t="str">
        <f t="shared" ca="1" si="43"/>
        <v>PAINT</v>
      </c>
      <c r="AB86">
        <f t="shared" ca="1" si="44"/>
        <v>1</v>
      </c>
      <c r="AC86">
        <f t="shared" ca="1" si="45"/>
        <v>138.5</v>
      </c>
      <c r="AD86" t="str">
        <f t="shared" si="26"/>
        <v>4093RN153</v>
      </c>
      <c r="AE86" t="str">
        <f t="shared" ca="1" si="46"/>
        <v>PWHITE</v>
      </c>
      <c r="AF86" t="str">
        <f t="shared" ca="1" si="47"/>
        <v/>
      </c>
      <c r="AG86">
        <v>17</v>
      </c>
      <c r="AH86" t="s">
        <v>136</v>
      </c>
      <c r="AI86" t="str">
        <f t="shared" si="27"/>
        <v>Lutheran Home 25</v>
      </c>
      <c r="AJ86" t="str">
        <f t="shared" si="28"/>
        <v>Green Bay</v>
      </c>
      <c r="AK86" t="str">
        <f t="shared" si="29"/>
        <v>WI</v>
      </c>
      <c r="AL86">
        <f t="shared" si="30"/>
        <v>4091142613</v>
      </c>
      <c r="AM86" t="str">
        <f t="shared" si="31"/>
        <v>4093RN153</v>
      </c>
      <c r="AN86" t="str">
        <f t="shared" si="32"/>
        <v/>
      </c>
      <c r="AO86" t="str">
        <f t="shared" si="33"/>
        <v>Pella</v>
      </c>
      <c r="AP86">
        <f t="shared" si="34"/>
        <v>54201</v>
      </c>
      <c r="AQ86">
        <f t="shared" ca="1" si="48"/>
        <v>0</v>
      </c>
      <c r="AR86" s="1">
        <f t="shared" si="35"/>
        <v>46135</v>
      </c>
      <c r="CB86" s="1"/>
    </row>
    <row r="87" spans="1:80" x14ac:dyDescent="0.25">
      <c r="A87" s="23"/>
      <c r="B87" s="23"/>
      <c r="C87" s="23"/>
      <c r="D87" s="24"/>
      <c r="E87" s="24"/>
      <c r="F87" s="25">
        <f t="shared" si="36"/>
        <v>0</v>
      </c>
      <c r="G87" s="24"/>
      <c r="H87" s="24"/>
      <c r="I87" s="25">
        <v>1</v>
      </c>
      <c r="J87" s="24"/>
      <c r="K87" s="24"/>
      <c r="L87" s="24"/>
      <c r="M87" s="26" t="str">
        <f t="shared" si="37"/>
        <v/>
      </c>
      <c r="N87" s="27">
        <f t="shared" si="38"/>
        <v>0</v>
      </c>
      <c r="T87">
        <f t="shared" si="25"/>
        <v>129</v>
      </c>
      <c r="U87">
        <f t="shared" si="39"/>
        <v>26053</v>
      </c>
      <c r="V87">
        <f t="shared" ca="1" si="40"/>
        <v>50</v>
      </c>
      <c r="W87">
        <v>18</v>
      </c>
      <c r="X87" t="str">
        <f t="shared" ca="1" si="41"/>
        <v>JE</v>
      </c>
      <c r="Y87" t="s">
        <v>9</v>
      </c>
      <c r="Z87">
        <f t="shared" ca="1" si="42"/>
        <v>2.5</v>
      </c>
      <c r="AA87" t="str">
        <f t="shared" ca="1" si="43"/>
        <v>PAINT</v>
      </c>
      <c r="AB87">
        <f t="shared" ca="1" si="44"/>
        <v>1</v>
      </c>
      <c r="AC87">
        <f t="shared" ca="1" si="45"/>
        <v>65.625</v>
      </c>
      <c r="AD87" t="str">
        <f t="shared" si="26"/>
        <v>4093RN153</v>
      </c>
      <c r="AE87" t="str">
        <f t="shared" ca="1" si="46"/>
        <v>PWHITE</v>
      </c>
      <c r="AF87" t="str">
        <f t="shared" ca="1" si="47"/>
        <v/>
      </c>
      <c r="AG87">
        <v>18</v>
      </c>
      <c r="AH87" t="s">
        <v>136</v>
      </c>
      <c r="AI87" t="str">
        <f t="shared" si="27"/>
        <v>Lutheran Home 25</v>
      </c>
      <c r="AJ87" t="str">
        <f t="shared" si="28"/>
        <v>Green Bay</v>
      </c>
      <c r="AK87" t="str">
        <f t="shared" si="29"/>
        <v>WI</v>
      </c>
      <c r="AL87">
        <f t="shared" si="30"/>
        <v>4091142613</v>
      </c>
      <c r="AM87" t="str">
        <f t="shared" si="31"/>
        <v>4093RN153</v>
      </c>
      <c r="AN87" t="str">
        <f t="shared" si="32"/>
        <v/>
      </c>
      <c r="AO87" t="str">
        <f t="shared" si="33"/>
        <v>Pella</v>
      </c>
      <c r="AP87">
        <f t="shared" si="34"/>
        <v>54201</v>
      </c>
      <c r="AQ87">
        <f t="shared" ca="1" si="48"/>
        <v>0</v>
      </c>
      <c r="AR87" s="1">
        <f t="shared" si="35"/>
        <v>46135</v>
      </c>
      <c r="CB87" s="1"/>
    </row>
    <row r="88" spans="1:80" x14ac:dyDescent="0.25">
      <c r="A88" s="23"/>
      <c r="B88" s="23"/>
      <c r="C88" s="23"/>
      <c r="D88" s="24"/>
      <c r="E88" s="24"/>
      <c r="F88" s="25">
        <f t="shared" si="36"/>
        <v>0</v>
      </c>
      <c r="G88" s="24"/>
      <c r="H88" s="24"/>
      <c r="I88" s="25">
        <v>1</v>
      </c>
      <c r="J88" s="24"/>
      <c r="K88" s="24"/>
      <c r="L88" s="24"/>
      <c r="M88" s="26" t="str">
        <f t="shared" si="37"/>
        <v/>
      </c>
      <c r="N88" s="27">
        <f t="shared" si="38"/>
        <v>0</v>
      </c>
      <c r="T88">
        <f t="shared" si="25"/>
        <v>129</v>
      </c>
      <c r="U88">
        <f t="shared" si="39"/>
        <v>26053</v>
      </c>
      <c r="V88">
        <f t="shared" ca="1" si="40"/>
        <v>50</v>
      </c>
      <c r="W88">
        <v>18</v>
      </c>
      <c r="X88" t="str">
        <f t="shared" ca="1" si="41"/>
        <v>JE</v>
      </c>
      <c r="Y88" t="s">
        <v>33</v>
      </c>
      <c r="Z88">
        <f t="shared" ca="1" si="42"/>
        <v>2.5</v>
      </c>
      <c r="AA88" t="str">
        <f t="shared" ca="1" si="43"/>
        <v>PAINT</v>
      </c>
      <c r="AB88">
        <f t="shared" ca="1" si="44"/>
        <v>1</v>
      </c>
      <c r="AC88">
        <f t="shared" ca="1" si="45"/>
        <v>65.625</v>
      </c>
      <c r="AD88" t="str">
        <f t="shared" si="26"/>
        <v>4093RN153</v>
      </c>
      <c r="AE88" t="str">
        <f t="shared" ca="1" si="46"/>
        <v>PWHITE</v>
      </c>
      <c r="AF88" t="str">
        <f t="shared" ca="1" si="47"/>
        <v/>
      </c>
      <c r="AG88">
        <v>18</v>
      </c>
      <c r="AH88" t="s">
        <v>136</v>
      </c>
      <c r="AI88" t="str">
        <f t="shared" si="27"/>
        <v>Lutheran Home 25</v>
      </c>
      <c r="AJ88" t="str">
        <f t="shared" si="28"/>
        <v>Green Bay</v>
      </c>
      <c r="AK88" t="str">
        <f t="shared" si="29"/>
        <v>WI</v>
      </c>
      <c r="AL88">
        <f t="shared" si="30"/>
        <v>4091142613</v>
      </c>
      <c r="AM88" t="str">
        <f t="shared" si="31"/>
        <v>4093RN153</v>
      </c>
      <c r="AN88" t="str">
        <f t="shared" si="32"/>
        <v/>
      </c>
      <c r="AO88" t="str">
        <f t="shared" si="33"/>
        <v>Pella</v>
      </c>
      <c r="AP88">
        <f t="shared" si="34"/>
        <v>54201</v>
      </c>
      <c r="AQ88">
        <f t="shared" ca="1" si="48"/>
        <v>0</v>
      </c>
      <c r="AR88" s="1">
        <f t="shared" si="35"/>
        <v>46135</v>
      </c>
      <c r="CB88" s="1"/>
    </row>
    <row r="89" spans="1:80" x14ac:dyDescent="0.25">
      <c r="A89" s="23"/>
      <c r="B89" s="23"/>
      <c r="C89" s="23"/>
      <c r="D89" s="24"/>
      <c r="E89" s="24"/>
      <c r="F89" s="25">
        <f t="shared" si="36"/>
        <v>0</v>
      </c>
      <c r="G89" s="24"/>
      <c r="H89" s="24"/>
      <c r="I89" s="25">
        <v>1</v>
      </c>
      <c r="J89" s="24"/>
      <c r="K89" s="24"/>
      <c r="L89" s="24"/>
      <c r="M89" s="26" t="str">
        <f t="shared" si="37"/>
        <v/>
      </c>
      <c r="N89" s="27">
        <f t="shared" si="38"/>
        <v>0</v>
      </c>
      <c r="T89">
        <f t="shared" si="25"/>
        <v>129</v>
      </c>
      <c r="U89">
        <f t="shared" si="39"/>
        <v>26053</v>
      </c>
      <c r="V89">
        <f t="shared" ca="1" si="40"/>
        <v>50</v>
      </c>
      <c r="W89">
        <v>18</v>
      </c>
      <c r="X89" t="str">
        <f t="shared" ca="1" si="41"/>
        <v>JE</v>
      </c>
      <c r="Y89" t="s">
        <v>28</v>
      </c>
      <c r="Z89">
        <f t="shared" ca="1" si="42"/>
        <v>2.5</v>
      </c>
      <c r="AA89" t="str">
        <f t="shared" ca="1" si="43"/>
        <v>PAINT</v>
      </c>
      <c r="AB89">
        <f t="shared" ca="1" si="44"/>
        <v>1</v>
      </c>
      <c r="AC89">
        <f t="shared" ca="1" si="45"/>
        <v>138.5</v>
      </c>
      <c r="AD89" t="str">
        <f t="shared" si="26"/>
        <v>4093RN153</v>
      </c>
      <c r="AE89" t="str">
        <f t="shared" ca="1" si="46"/>
        <v>PWHITE</v>
      </c>
      <c r="AF89" t="str">
        <f t="shared" ca="1" si="47"/>
        <v/>
      </c>
      <c r="AG89">
        <v>18</v>
      </c>
      <c r="AH89" t="s">
        <v>136</v>
      </c>
      <c r="AI89" t="str">
        <f t="shared" si="27"/>
        <v>Lutheran Home 25</v>
      </c>
      <c r="AJ89" t="str">
        <f t="shared" si="28"/>
        <v>Green Bay</v>
      </c>
      <c r="AK89" t="str">
        <f t="shared" si="29"/>
        <v>WI</v>
      </c>
      <c r="AL89">
        <f t="shared" si="30"/>
        <v>4091142613</v>
      </c>
      <c r="AM89" t="str">
        <f t="shared" si="31"/>
        <v>4093RN153</v>
      </c>
      <c r="AN89" t="str">
        <f t="shared" si="32"/>
        <v/>
      </c>
      <c r="AO89" t="str">
        <f t="shared" si="33"/>
        <v>Pella</v>
      </c>
      <c r="AP89">
        <f t="shared" si="34"/>
        <v>54201</v>
      </c>
      <c r="AQ89">
        <f t="shared" ca="1" si="48"/>
        <v>0</v>
      </c>
      <c r="AR89" s="1">
        <f t="shared" si="35"/>
        <v>46135</v>
      </c>
      <c r="CB89" s="1"/>
    </row>
    <row r="90" spans="1:80" x14ac:dyDescent="0.25">
      <c r="A90" s="23"/>
      <c r="B90" s="23"/>
      <c r="C90" s="23"/>
      <c r="D90" s="24"/>
      <c r="E90" s="24"/>
      <c r="F90" s="25">
        <f t="shared" si="36"/>
        <v>0</v>
      </c>
      <c r="G90" s="24"/>
      <c r="H90" s="24"/>
      <c r="I90" s="25">
        <v>1</v>
      </c>
      <c r="J90" s="24"/>
      <c r="K90" s="24"/>
      <c r="L90" s="24"/>
      <c r="M90" s="26" t="str">
        <f t="shared" si="37"/>
        <v/>
      </c>
      <c r="N90" s="27">
        <f t="shared" si="38"/>
        <v>0</v>
      </c>
      <c r="T90">
        <f t="shared" si="25"/>
        <v>129</v>
      </c>
      <c r="U90">
        <f t="shared" si="39"/>
        <v>26053</v>
      </c>
      <c r="V90">
        <f t="shared" ca="1" si="40"/>
        <v>50</v>
      </c>
      <c r="W90">
        <v>18</v>
      </c>
      <c r="X90" t="str">
        <f t="shared" ca="1" si="41"/>
        <v>JE</v>
      </c>
      <c r="Y90" t="s">
        <v>32</v>
      </c>
      <c r="Z90">
        <f t="shared" ca="1" si="42"/>
        <v>2.5</v>
      </c>
      <c r="AA90" t="str">
        <f t="shared" ca="1" si="43"/>
        <v>PAINT</v>
      </c>
      <c r="AB90">
        <f t="shared" ca="1" si="44"/>
        <v>1</v>
      </c>
      <c r="AC90">
        <f t="shared" ca="1" si="45"/>
        <v>138.5</v>
      </c>
      <c r="AD90" t="str">
        <f t="shared" si="26"/>
        <v>4093RN153</v>
      </c>
      <c r="AE90" t="str">
        <f t="shared" ca="1" si="46"/>
        <v>PWHITE</v>
      </c>
      <c r="AF90" t="str">
        <f t="shared" ca="1" si="47"/>
        <v/>
      </c>
      <c r="AG90">
        <v>18</v>
      </c>
      <c r="AH90" t="s">
        <v>136</v>
      </c>
      <c r="AI90" t="str">
        <f t="shared" si="27"/>
        <v>Lutheran Home 25</v>
      </c>
      <c r="AJ90" t="str">
        <f t="shared" si="28"/>
        <v>Green Bay</v>
      </c>
      <c r="AK90" t="str">
        <f t="shared" si="29"/>
        <v>WI</v>
      </c>
      <c r="AL90">
        <f t="shared" si="30"/>
        <v>4091142613</v>
      </c>
      <c r="AM90" t="str">
        <f t="shared" si="31"/>
        <v>4093RN153</v>
      </c>
      <c r="AN90" t="str">
        <f t="shared" si="32"/>
        <v/>
      </c>
      <c r="AO90" t="str">
        <f t="shared" si="33"/>
        <v>Pella</v>
      </c>
      <c r="AP90">
        <f t="shared" si="34"/>
        <v>54201</v>
      </c>
      <c r="AQ90">
        <f t="shared" ca="1" si="48"/>
        <v>0</v>
      </c>
      <c r="AR90" s="1">
        <f t="shared" si="35"/>
        <v>46135</v>
      </c>
      <c r="CB90" s="1"/>
    </row>
    <row r="91" spans="1:80" x14ac:dyDescent="0.25">
      <c r="A91" s="23"/>
      <c r="B91" s="23"/>
      <c r="C91" s="23"/>
      <c r="D91" s="24"/>
      <c r="E91" s="24"/>
      <c r="F91" s="25">
        <f t="shared" si="36"/>
        <v>0</v>
      </c>
      <c r="G91" s="24"/>
      <c r="H91" s="24"/>
      <c r="I91" s="25">
        <v>1</v>
      </c>
      <c r="J91" s="24"/>
      <c r="K91" s="24"/>
      <c r="L91" s="24"/>
      <c r="M91" s="26" t="str">
        <f t="shared" si="37"/>
        <v/>
      </c>
      <c r="N91" s="27">
        <f t="shared" si="38"/>
        <v>0</v>
      </c>
      <c r="T91">
        <f t="shared" si="25"/>
        <v>129</v>
      </c>
      <c r="U91">
        <f t="shared" si="39"/>
        <v>26053</v>
      </c>
      <c r="V91">
        <f t="shared" ca="1" si="40"/>
        <v>50</v>
      </c>
      <c r="W91">
        <v>19</v>
      </c>
      <c r="X91" t="str">
        <f t="shared" ca="1" si="41"/>
        <v>JE</v>
      </c>
      <c r="Y91" t="s">
        <v>9</v>
      </c>
      <c r="Z91">
        <f t="shared" ca="1" si="42"/>
        <v>2.5</v>
      </c>
      <c r="AA91" t="str">
        <f t="shared" ca="1" si="43"/>
        <v>PAINT</v>
      </c>
      <c r="AB91">
        <f t="shared" ca="1" si="44"/>
        <v>1</v>
      </c>
      <c r="AC91">
        <f t="shared" ca="1" si="45"/>
        <v>65.625</v>
      </c>
      <c r="AD91" t="str">
        <f t="shared" si="26"/>
        <v>4093RN153</v>
      </c>
      <c r="AE91" t="str">
        <f t="shared" ca="1" si="46"/>
        <v>PWHITE</v>
      </c>
      <c r="AF91" t="str">
        <f t="shared" ca="1" si="47"/>
        <v/>
      </c>
      <c r="AG91">
        <v>19</v>
      </c>
      <c r="AH91" t="s">
        <v>136</v>
      </c>
      <c r="AI91" t="str">
        <f t="shared" si="27"/>
        <v>Lutheran Home 25</v>
      </c>
      <c r="AJ91" t="str">
        <f t="shared" si="28"/>
        <v>Green Bay</v>
      </c>
      <c r="AK91" t="str">
        <f t="shared" si="29"/>
        <v>WI</v>
      </c>
      <c r="AL91">
        <f t="shared" si="30"/>
        <v>4091142613</v>
      </c>
      <c r="AM91" t="str">
        <f t="shared" si="31"/>
        <v>4093RN153</v>
      </c>
      <c r="AN91" t="str">
        <f t="shared" si="32"/>
        <v/>
      </c>
      <c r="AO91" t="str">
        <f t="shared" si="33"/>
        <v>Pella</v>
      </c>
      <c r="AP91">
        <f t="shared" si="34"/>
        <v>54201</v>
      </c>
      <c r="AQ91">
        <f t="shared" ca="1" si="48"/>
        <v>0</v>
      </c>
      <c r="AR91" s="1">
        <f t="shared" si="35"/>
        <v>46135</v>
      </c>
      <c r="CB91" s="1"/>
    </row>
    <row r="92" spans="1:80" x14ac:dyDescent="0.25">
      <c r="A92" s="23"/>
      <c r="B92" s="23"/>
      <c r="C92" s="23"/>
      <c r="D92" s="24"/>
      <c r="E92" s="24"/>
      <c r="F92" s="25">
        <f t="shared" si="36"/>
        <v>0</v>
      </c>
      <c r="G92" s="24"/>
      <c r="H92" s="24"/>
      <c r="I92" s="25">
        <v>1</v>
      </c>
      <c r="J92" s="24"/>
      <c r="K92" s="24"/>
      <c r="L92" s="24"/>
      <c r="M92" s="26" t="str">
        <f t="shared" si="37"/>
        <v/>
      </c>
      <c r="N92" s="27">
        <f t="shared" si="38"/>
        <v>0</v>
      </c>
      <c r="T92">
        <f t="shared" si="25"/>
        <v>129</v>
      </c>
      <c r="U92">
        <f t="shared" si="39"/>
        <v>26053</v>
      </c>
      <c r="V92">
        <f t="shared" ca="1" si="40"/>
        <v>50</v>
      </c>
      <c r="W92">
        <v>19</v>
      </c>
      <c r="X92" t="str">
        <f t="shared" ca="1" si="41"/>
        <v>JE</v>
      </c>
      <c r="Y92" t="s">
        <v>33</v>
      </c>
      <c r="Z92">
        <f t="shared" ca="1" si="42"/>
        <v>2.5</v>
      </c>
      <c r="AA92" t="str">
        <f t="shared" ca="1" si="43"/>
        <v>PAINT</v>
      </c>
      <c r="AB92">
        <f t="shared" ca="1" si="44"/>
        <v>1</v>
      </c>
      <c r="AC92">
        <f t="shared" ca="1" si="45"/>
        <v>65.625</v>
      </c>
      <c r="AD92" t="str">
        <f t="shared" si="26"/>
        <v>4093RN153</v>
      </c>
      <c r="AE92" t="str">
        <f t="shared" ca="1" si="46"/>
        <v>PWHITE</v>
      </c>
      <c r="AF92" t="str">
        <f t="shared" ca="1" si="47"/>
        <v/>
      </c>
      <c r="AG92">
        <v>19</v>
      </c>
      <c r="AH92" t="s">
        <v>136</v>
      </c>
      <c r="AI92" t="str">
        <f t="shared" si="27"/>
        <v>Lutheran Home 25</v>
      </c>
      <c r="AJ92" t="str">
        <f t="shared" si="28"/>
        <v>Green Bay</v>
      </c>
      <c r="AK92" t="str">
        <f t="shared" si="29"/>
        <v>WI</v>
      </c>
      <c r="AL92">
        <f t="shared" si="30"/>
        <v>4091142613</v>
      </c>
      <c r="AM92" t="str">
        <f t="shared" si="31"/>
        <v>4093RN153</v>
      </c>
      <c r="AN92" t="str">
        <f t="shared" si="32"/>
        <v/>
      </c>
      <c r="AO92" t="str">
        <f t="shared" si="33"/>
        <v>Pella</v>
      </c>
      <c r="AP92">
        <f t="shared" si="34"/>
        <v>54201</v>
      </c>
      <c r="AQ92">
        <f t="shared" ca="1" si="48"/>
        <v>0</v>
      </c>
      <c r="AR92" s="1">
        <f t="shared" si="35"/>
        <v>46135</v>
      </c>
      <c r="CB92" s="1"/>
    </row>
    <row r="93" spans="1:80" x14ac:dyDescent="0.25">
      <c r="A93" s="23"/>
      <c r="B93" s="23"/>
      <c r="C93" s="23"/>
      <c r="D93" s="24"/>
      <c r="E93" s="24"/>
      <c r="F93" s="25">
        <f t="shared" si="36"/>
        <v>0</v>
      </c>
      <c r="G93" s="24"/>
      <c r="H93" s="24"/>
      <c r="I93" s="25">
        <v>1</v>
      </c>
      <c r="J93" s="24"/>
      <c r="K93" s="24"/>
      <c r="L93" s="24"/>
      <c r="M93" s="26" t="str">
        <f t="shared" si="37"/>
        <v/>
      </c>
      <c r="N93" s="27">
        <f t="shared" si="38"/>
        <v>0</v>
      </c>
      <c r="T93">
        <f t="shared" si="25"/>
        <v>129</v>
      </c>
      <c r="U93">
        <f t="shared" si="39"/>
        <v>26053</v>
      </c>
      <c r="V93">
        <f t="shared" ca="1" si="40"/>
        <v>50</v>
      </c>
      <c r="W93">
        <v>19</v>
      </c>
      <c r="X93" t="str">
        <f t="shared" ca="1" si="41"/>
        <v>JE</v>
      </c>
      <c r="Y93" t="s">
        <v>28</v>
      </c>
      <c r="Z93">
        <f t="shared" ca="1" si="42"/>
        <v>2.5</v>
      </c>
      <c r="AA93" t="str">
        <f t="shared" ca="1" si="43"/>
        <v>PAINT</v>
      </c>
      <c r="AB93">
        <f t="shared" ca="1" si="44"/>
        <v>1</v>
      </c>
      <c r="AC93">
        <f t="shared" ca="1" si="45"/>
        <v>138.5</v>
      </c>
      <c r="AD93" t="str">
        <f t="shared" si="26"/>
        <v>4093RN153</v>
      </c>
      <c r="AE93" t="str">
        <f t="shared" ca="1" si="46"/>
        <v>PWHITE</v>
      </c>
      <c r="AF93" t="str">
        <f t="shared" ca="1" si="47"/>
        <v/>
      </c>
      <c r="AG93">
        <v>19</v>
      </c>
      <c r="AH93" t="s">
        <v>136</v>
      </c>
      <c r="AI93" t="str">
        <f t="shared" si="27"/>
        <v>Lutheran Home 25</v>
      </c>
      <c r="AJ93" t="str">
        <f t="shared" si="28"/>
        <v>Green Bay</v>
      </c>
      <c r="AK93" t="str">
        <f t="shared" si="29"/>
        <v>WI</v>
      </c>
      <c r="AL93">
        <f t="shared" si="30"/>
        <v>4091142613</v>
      </c>
      <c r="AM93" t="str">
        <f t="shared" si="31"/>
        <v>4093RN153</v>
      </c>
      <c r="AN93" t="str">
        <f t="shared" si="32"/>
        <v/>
      </c>
      <c r="AO93" t="str">
        <f t="shared" si="33"/>
        <v>Pella</v>
      </c>
      <c r="AP93">
        <f t="shared" si="34"/>
        <v>54201</v>
      </c>
      <c r="AQ93">
        <f t="shared" ca="1" si="48"/>
        <v>0</v>
      </c>
      <c r="AR93" s="1">
        <f t="shared" si="35"/>
        <v>46135</v>
      </c>
      <c r="CB93" s="1"/>
    </row>
    <row r="94" spans="1:80" x14ac:dyDescent="0.25">
      <c r="A94" s="23"/>
      <c r="B94" s="23"/>
      <c r="C94" s="23"/>
      <c r="D94" s="24"/>
      <c r="E94" s="24"/>
      <c r="F94" s="25">
        <f t="shared" si="36"/>
        <v>0</v>
      </c>
      <c r="G94" s="24"/>
      <c r="H94" s="24"/>
      <c r="I94" s="25">
        <v>1</v>
      </c>
      <c r="J94" s="24"/>
      <c r="K94" s="24"/>
      <c r="L94" s="24"/>
      <c r="M94" s="26" t="str">
        <f t="shared" si="37"/>
        <v/>
      </c>
      <c r="N94" s="27">
        <f t="shared" si="38"/>
        <v>0</v>
      </c>
      <c r="T94">
        <f t="shared" si="25"/>
        <v>129</v>
      </c>
      <c r="U94">
        <f t="shared" si="39"/>
        <v>26053</v>
      </c>
      <c r="V94">
        <f t="shared" ca="1" si="40"/>
        <v>50</v>
      </c>
      <c r="W94">
        <v>19</v>
      </c>
      <c r="X94" t="str">
        <f t="shared" ca="1" si="41"/>
        <v>JE</v>
      </c>
      <c r="Y94" t="s">
        <v>32</v>
      </c>
      <c r="Z94">
        <f t="shared" ca="1" si="42"/>
        <v>2.5</v>
      </c>
      <c r="AA94" t="str">
        <f t="shared" ca="1" si="43"/>
        <v>PAINT</v>
      </c>
      <c r="AB94">
        <f t="shared" ca="1" si="44"/>
        <v>1</v>
      </c>
      <c r="AC94">
        <f t="shared" ca="1" si="45"/>
        <v>138.5</v>
      </c>
      <c r="AD94" t="str">
        <f t="shared" si="26"/>
        <v>4093RN153</v>
      </c>
      <c r="AE94" t="str">
        <f t="shared" ca="1" si="46"/>
        <v>PWHITE</v>
      </c>
      <c r="AF94" t="str">
        <f t="shared" ca="1" si="47"/>
        <v/>
      </c>
      <c r="AG94">
        <v>19</v>
      </c>
      <c r="AH94" t="s">
        <v>136</v>
      </c>
      <c r="AI94" t="str">
        <f t="shared" si="27"/>
        <v>Lutheran Home 25</v>
      </c>
      <c r="AJ94" t="str">
        <f t="shared" si="28"/>
        <v>Green Bay</v>
      </c>
      <c r="AK94" t="str">
        <f t="shared" si="29"/>
        <v>WI</v>
      </c>
      <c r="AL94">
        <f t="shared" si="30"/>
        <v>4091142613</v>
      </c>
      <c r="AM94" t="str">
        <f t="shared" si="31"/>
        <v>4093RN153</v>
      </c>
      <c r="AN94" t="str">
        <f t="shared" si="32"/>
        <v/>
      </c>
      <c r="AO94" t="str">
        <f t="shared" si="33"/>
        <v>Pella</v>
      </c>
      <c r="AP94">
        <f t="shared" si="34"/>
        <v>54201</v>
      </c>
      <c r="AQ94">
        <f t="shared" ca="1" si="48"/>
        <v>0</v>
      </c>
      <c r="AR94" s="1">
        <f t="shared" si="35"/>
        <v>46135</v>
      </c>
      <c r="CB94" s="1"/>
    </row>
    <row r="95" spans="1:80" x14ac:dyDescent="0.25">
      <c r="A95" s="23"/>
      <c r="B95" s="23"/>
      <c r="C95" s="23"/>
      <c r="D95" s="24"/>
      <c r="E95" s="24"/>
      <c r="F95" s="25">
        <f t="shared" si="36"/>
        <v>0</v>
      </c>
      <c r="G95" s="24"/>
      <c r="H95" s="24"/>
      <c r="I95" s="25">
        <v>1</v>
      </c>
      <c r="J95" s="24"/>
      <c r="K95" s="24"/>
      <c r="L95" s="24"/>
      <c r="M95" s="26" t="str">
        <f t="shared" si="37"/>
        <v/>
      </c>
      <c r="N95" s="27">
        <f t="shared" si="38"/>
        <v>0</v>
      </c>
      <c r="T95">
        <f t="shared" si="25"/>
        <v>129</v>
      </c>
      <c r="U95">
        <f t="shared" si="39"/>
        <v>26053</v>
      </c>
      <c r="V95">
        <f t="shared" ca="1" si="40"/>
        <v>50</v>
      </c>
      <c r="W95">
        <v>20</v>
      </c>
      <c r="X95" t="str">
        <f t="shared" ca="1" si="41"/>
        <v>JE</v>
      </c>
      <c r="Y95" t="s">
        <v>9</v>
      </c>
      <c r="Z95">
        <f t="shared" ca="1" si="42"/>
        <v>2.5</v>
      </c>
      <c r="AA95" t="str">
        <f t="shared" ca="1" si="43"/>
        <v>PAINT</v>
      </c>
      <c r="AB95">
        <f t="shared" ca="1" si="44"/>
        <v>1</v>
      </c>
      <c r="AC95">
        <f t="shared" ca="1" si="45"/>
        <v>65.625</v>
      </c>
      <c r="AD95" t="str">
        <f t="shared" si="26"/>
        <v>4093RN153</v>
      </c>
      <c r="AE95" t="str">
        <f t="shared" ca="1" si="46"/>
        <v>PWHITE</v>
      </c>
      <c r="AF95" t="str">
        <f t="shared" ca="1" si="47"/>
        <v/>
      </c>
      <c r="AG95">
        <v>20</v>
      </c>
      <c r="AH95" t="s">
        <v>136</v>
      </c>
      <c r="AI95" t="str">
        <f t="shared" si="27"/>
        <v>Lutheran Home 25</v>
      </c>
      <c r="AJ95" t="str">
        <f t="shared" si="28"/>
        <v>Green Bay</v>
      </c>
      <c r="AK95" t="str">
        <f t="shared" si="29"/>
        <v>WI</v>
      </c>
      <c r="AL95">
        <f t="shared" si="30"/>
        <v>4091142613</v>
      </c>
      <c r="AM95" t="str">
        <f t="shared" si="31"/>
        <v>4093RN153</v>
      </c>
      <c r="AN95" t="str">
        <f t="shared" si="32"/>
        <v/>
      </c>
      <c r="AO95" t="str">
        <f t="shared" si="33"/>
        <v>Pella</v>
      </c>
      <c r="AP95">
        <f t="shared" si="34"/>
        <v>54201</v>
      </c>
      <c r="AQ95">
        <f t="shared" ca="1" si="48"/>
        <v>0</v>
      </c>
      <c r="AR95" s="1">
        <f t="shared" si="35"/>
        <v>46135</v>
      </c>
      <c r="CB95" s="1"/>
    </row>
    <row r="96" spans="1:80" x14ac:dyDescent="0.25">
      <c r="A96" s="23"/>
      <c r="B96" s="23"/>
      <c r="C96" s="23"/>
      <c r="D96" s="24"/>
      <c r="E96" s="24"/>
      <c r="F96" s="25">
        <f t="shared" si="36"/>
        <v>0</v>
      </c>
      <c r="G96" s="24"/>
      <c r="H96" s="24"/>
      <c r="I96" s="25">
        <v>1</v>
      </c>
      <c r="J96" s="24"/>
      <c r="K96" s="24"/>
      <c r="L96" s="24"/>
      <c r="M96" s="26" t="str">
        <f t="shared" si="37"/>
        <v/>
      </c>
      <c r="N96" s="27">
        <f t="shared" si="38"/>
        <v>0</v>
      </c>
      <c r="T96">
        <f t="shared" si="25"/>
        <v>129</v>
      </c>
      <c r="U96">
        <f t="shared" si="39"/>
        <v>26053</v>
      </c>
      <c r="V96">
        <f t="shared" ca="1" si="40"/>
        <v>50</v>
      </c>
      <c r="W96">
        <v>20</v>
      </c>
      <c r="X96" t="str">
        <f t="shared" ca="1" si="41"/>
        <v>JE</v>
      </c>
      <c r="Y96" t="s">
        <v>33</v>
      </c>
      <c r="Z96">
        <f t="shared" ca="1" si="42"/>
        <v>2.5</v>
      </c>
      <c r="AA96" t="str">
        <f t="shared" ca="1" si="43"/>
        <v>PAINT</v>
      </c>
      <c r="AB96">
        <f t="shared" ca="1" si="44"/>
        <v>1</v>
      </c>
      <c r="AC96">
        <f t="shared" ca="1" si="45"/>
        <v>65.625</v>
      </c>
      <c r="AD96" t="str">
        <f t="shared" si="26"/>
        <v>4093RN153</v>
      </c>
      <c r="AE96" t="str">
        <f t="shared" ca="1" si="46"/>
        <v>PWHITE</v>
      </c>
      <c r="AF96" t="str">
        <f t="shared" ca="1" si="47"/>
        <v/>
      </c>
      <c r="AG96">
        <v>20</v>
      </c>
      <c r="AH96" t="s">
        <v>136</v>
      </c>
      <c r="AI96" t="str">
        <f t="shared" si="27"/>
        <v>Lutheran Home 25</v>
      </c>
      <c r="AJ96" t="str">
        <f t="shared" si="28"/>
        <v>Green Bay</v>
      </c>
      <c r="AK96" t="str">
        <f t="shared" si="29"/>
        <v>WI</v>
      </c>
      <c r="AL96">
        <f t="shared" si="30"/>
        <v>4091142613</v>
      </c>
      <c r="AM96" t="str">
        <f t="shared" si="31"/>
        <v>4093RN153</v>
      </c>
      <c r="AN96" t="str">
        <f t="shared" si="32"/>
        <v/>
      </c>
      <c r="AO96" t="str">
        <f t="shared" si="33"/>
        <v>Pella</v>
      </c>
      <c r="AP96">
        <f t="shared" si="34"/>
        <v>54201</v>
      </c>
      <c r="AQ96">
        <f t="shared" ca="1" si="48"/>
        <v>0</v>
      </c>
      <c r="AR96" s="1">
        <f t="shared" si="35"/>
        <v>46135</v>
      </c>
      <c r="CB96" s="1"/>
    </row>
    <row r="97" spans="1:80" x14ac:dyDescent="0.25">
      <c r="A97" s="23"/>
      <c r="B97" s="23"/>
      <c r="C97" s="23"/>
      <c r="D97" s="24"/>
      <c r="E97" s="24"/>
      <c r="F97" s="25">
        <f t="shared" si="36"/>
        <v>0</v>
      </c>
      <c r="G97" s="24"/>
      <c r="H97" s="24"/>
      <c r="I97" s="25">
        <v>1</v>
      </c>
      <c r="J97" s="24"/>
      <c r="K97" s="24"/>
      <c r="L97" s="24"/>
      <c r="M97" s="26" t="str">
        <f t="shared" si="37"/>
        <v/>
      </c>
      <c r="N97" s="27">
        <f t="shared" si="38"/>
        <v>0</v>
      </c>
      <c r="T97">
        <f t="shared" si="25"/>
        <v>129</v>
      </c>
      <c r="U97">
        <f t="shared" si="39"/>
        <v>26053</v>
      </c>
      <c r="V97">
        <f t="shared" ca="1" si="40"/>
        <v>50</v>
      </c>
      <c r="W97">
        <v>20</v>
      </c>
      <c r="X97" t="str">
        <f t="shared" ca="1" si="41"/>
        <v>JE</v>
      </c>
      <c r="Y97" t="s">
        <v>28</v>
      </c>
      <c r="Z97">
        <f t="shared" ca="1" si="42"/>
        <v>2.5</v>
      </c>
      <c r="AA97" t="str">
        <f t="shared" ca="1" si="43"/>
        <v>PAINT</v>
      </c>
      <c r="AB97">
        <f t="shared" ca="1" si="44"/>
        <v>1</v>
      </c>
      <c r="AC97">
        <f t="shared" ca="1" si="45"/>
        <v>138.5</v>
      </c>
      <c r="AD97" t="str">
        <f t="shared" si="26"/>
        <v>4093RN153</v>
      </c>
      <c r="AE97" t="str">
        <f t="shared" ca="1" si="46"/>
        <v>PWHITE</v>
      </c>
      <c r="AF97" t="str">
        <f t="shared" ca="1" si="47"/>
        <v/>
      </c>
      <c r="AG97">
        <v>20</v>
      </c>
      <c r="AH97" t="s">
        <v>136</v>
      </c>
      <c r="AI97" t="str">
        <f t="shared" si="27"/>
        <v>Lutheran Home 25</v>
      </c>
      <c r="AJ97" t="str">
        <f t="shared" si="28"/>
        <v>Green Bay</v>
      </c>
      <c r="AK97" t="str">
        <f t="shared" si="29"/>
        <v>WI</v>
      </c>
      <c r="AL97">
        <f t="shared" si="30"/>
        <v>4091142613</v>
      </c>
      <c r="AM97" t="str">
        <f t="shared" si="31"/>
        <v>4093RN153</v>
      </c>
      <c r="AN97" t="str">
        <f t="shared" si="32"/>
        <v/>
      </c>
      <c r="AO97" t="str">
        <f t="shared" si="33"/>
        <v>Pella</v>
      </c>
      <c r="AP97">
        <f t="shared" si="34"/>
        <v>54201</v>
      </c>
      <c r="AQ97">
        <f t="shared" ca="1" si="48"/>
        <v>0</v>
      </c>
      <c r="AR97" s="1">
        <f t="shared" si="35"/>
        <v>46135</v>
      </c>
      <c r="CB97" s="1"/>
    </row>
    <row r="98" spans="1:80" x14ac:dyDescent="0.25">
      <c r="A98" s="23"/>
      <c r="B98" s="23"/>
      <c r="C98" s="23"/>
      <c r="D98" s="24"/>
      <c r="E98" s="24"/>
      <c r="F98" s="25">
        <f t="shared" si="36"/>
        <v>0</v>
      </c>
      <c r="G98" s="24"/>
      <c r="H98" s="24"/>
      <c r="I98" s="25">
        <v>1</v>
      </c>
      <c r="J98" s="24"/>
      <c r="K98" s="24"/>
      <c r="L98" s="24"/>
      <c r="M98" s="26" t="str">
        <f t="shared" si="37"/>
        <v/>
      </c>
      <c r="N98" s="27">
        <f t="shared" si="38"/>
        <v>0</v>
      </c>
      <c r="T98">
        <f t="shared" si="25"/>
        <v>129</v>
      </c>
      <c r="U98">
        <f t="shared" si="39"/>
        <v>26053</v>
      </c>
      <c r="V98">
        <f t="shared" ca="1" si="40"/>
        <v>50</v>
      </c>
      <c r="W98">
        <v>20</v>
      </c>
      <c r="X98" t="str">
        <f t="shared" ca="1" si="41"/>
        <v>JE</v>
      </c>
      <c r="Y98" t="s">
        <v>32</v>
      </c>
      <c r="Z98">
        <f t="shared" ca="1" si="42"/>
        <v>2.5</v>
      </c>
      <c r="AA98" t="str">
        <f t="shared" ca="1" si="43"/>
        <v>PAINT</v>
      </c>
      <c r="AB98">
        <f t="shared" ca="1" si="44"/>
        <v>1</v>
      </c>
      <c r="AC98">
        <f t="shared" ca="1" si="45"/>
        <v>138.5</v>
      </c>
      <c r="AD98" t="str">
        <f t="shared" si="26"/>
        <v>4093RN153</v>
      </c>
      <c r="AE98" t="str">
        <f t="shared" ca="1" si="46"/>
        <v>PWHITE</v>
      </c>
      <c r="AF98" t="str">
        <f t="shared" ca="1" si="47"/>
        <v/>
      </c>
      <c r="AG98">
        <v>20</v>
      </c>
      <c r="AH98" t="s">
        <v>136</v>
      </c>
      <c r="AI98" t="str">
        <f t="shared" si="27"/>
        <v>Lutheran Home 25</v>
      </c>
      <c r="AJ98" t="str">
        <f t="shared" si="28"/>
        <v>Green Bay</v>
      </c>
      <c r="AK98" t="str">
        <f t="shared" si="29"/>
        <v>WI</v>
      </c>
      <c r="AL98">
        <f t="shared" si="30"/>
        <v>4091142613</v>
      </c>
      <c r="AM98" t="str">
        <f t="shared" si="31"/>
        <v>4093RN153</v>
      </c>
      <c r="AN98" t="str">
        <f t="shared" si="32"/>
        <v/>
      </c>
      <c r="AO98" t="str">
        <f t="shared" si="33"/>
        <v>Pella</v>
      </c>
      <c r="AP98">
        <f t="shared" si="34"/>
        <v>54201</v>
      </c>
      <c r="AQ98">
        <f t="shared" ca="1" si="48"/>
        <v>0</v>
      </c>
      <c r="AR98" s="1">
        <f t="shared" si="35"/>
        <v>46135</v>
      </c>
      <c r="CB98" s="1"/>
    </row>
    <row r="99" spans="1:80" x14ac:dyDescent="0.25">
      <c r="A99" s="23"/>
      <c r="B99" s="23"/>
      <c r="C99" s="23"/>
      <c r="D99" s="24"/>
      <c r="E99" s="24"/>
      <c r="F99" s="25">
        <f t="shared" si="36"/>
        <v>0</v>
      </c>
      <c r="G99" s="24"/>
      <c r="H99" s="24"/>
      <c r="I99" s="25">
        <v>1</v>
      </c>
      <c r="J99" s="24"/>
      <c r="K99" s="24"/>
      <c r="L99" s="24"/>
      <c r="M99" s="26" t="str">
        <f t="shared" si="37"/>
        <v/>
      </c>
      <c r="N99" s="27">
        <f t="shared" si="38"/>
        <v>0</v>
      </c>
      <c r="T99">
        <f t="shared" si="25"/>
        <v>129</v>
      </c>
      <c r="U99">
        <f t="shared" si="39"/>
        <v>26053</v>
      </c>
      <c r="V99">
        <f t="shared" ca="1" si="40"/>
        <v>50</v>
      </c>
      <c r="W99">
        <v>21</v>
      </c>
      <c r="X99" t="str">
        <f t="shared" ca="1" si="41"/>
        <v>JE</v>
      </c>
      <c r="Y99" t="s">
        <v>9</v>
      </c>
      <c r="Z99">
        <f t="shared" ca="1" si="42"/>
        <v>2.5</v>
      </c>
      <c r="AA99" t="str">
        <f t="shared" ca="1" si="43"/>
        <v>PAINT</v>
      </c>
      <c r="AB99">
        <f t="shared" ca="1" si="44"/>
        <v>1</v>
      </c>
      <c r="AC99">
        <f t="shared" ca="1" si="45"/>
        <v>65.625</v>
      </c>
      <c r="AD99" t="str">
        <f t="shared" si="26"/>
        <v>4093RN153</v>
      </c>
      <c r="AE99" t="str">
        <f t="shared" ca="1" si="46"/>
        <v>PWHITE</v>
      </c>
      <c r="AF99" t="str">
        <f t="shared" ca="1" si="47"/>
        <v/>
      </c>
      <c r="AG99">
        <v>21</v>
      </c>
      <c r="AH99" t="s">
        <v>136</v>
      </c>
      <c r="AI99" t="str">
        <f t="shared" si="27"/>
        <v>Lutheran Home 25</v>
      </c>
      <c r="AJ99" t="str">
        <f t="shared" si="28"/>
        <v>Green Bay</v>
      </c>
      <c r="AK99" t="str">
        <f t="shared" si="29"/>
        <v>WI</v>
      </c>
      <c r="AL99">
        <f t="shared" si="30"/>
        <v>4091142613</v>
      </c>
      <c r="AM99" t="str">
        <f t="shared" si="31"/>
        <v>4093RN153</v>
      </c>
      <c r="AN99" t="str">
        <f t="shared" si="32"/>
        <v/>
      </c>
      <c r="AO99" t="str">
        <f t="shared" si="33"/>
        <v>Pella</v>
      </c>
      <c r="AP99">
        <f t="shared" si="34"/>
        <v>54201</v>
      </c>
      <c r="AQ99">
        <f t="shared" ca="1" si="48"/>
        <v>0</v>
      </c>
      <c r="AR99" s="1">
        <f t="shared" si="35"/>
        <v>46135</v>
      </c>
      <c r="CB99" s="1"/>
    </row>
    <row r="100" spans="1:80" x14ac:dyDescent="0.25">
      <c r="A100" s="23"/>
      <c r="B100" s="23"/>
      <c r="C100" s="23"/>
      <c r="D100" s="24"/>
      <c r="E100" s="24"/>
      <c r="F100" s="25">
        <f t="shared" si="36"/>
        <v>0</v>
      </c>
      <c r="G100" s="24"/>
      <c r="H100" s="24"/>
      <c r="I100" s="25">
        <v>1</v>
      </c>
      <c r="J100" s="24"/>
      <c r="K100" s="24"/>
      <c r="L100" s="24"/>
      <c r="M100" s="26" t="str">
        <f t="shared" si="37"/>
        <v/>
      </c>
      <c r="N100" s="27">
        <f t="shared" si="38"/>
        <v>0</v>
      </c>
      <c r="T100">
        <f t="shared" si="25"/>
        <v>129</v>
      </c>
      <c r="U100">
        <f t="shared" si="39"/>
        <v>26053</v>
      </c>
      <c r="V100">
        <f t="shared" ca="1" si="40"/>
        <v>50</v>
      </c>
      <c r="W100">
        <v>21</v>
      </c>
      <c r="X100" t="str">
        <f t="shared" ca="1" si="41"/>
        <v>JE</v>
      </c>
      <c r="Y100" t="s">
        <v>33</v>
      </c>
      <c r="Z100">
        <f t="shared" ca="1" si="42"/>
        <v>2.5</v>
      </c>
      <c r="AA100" t="str">
        <f t="shared" ca="1" si="43"/>
        <v>PAINT</v>
      </c>
      <c r="AB100">
        <f t="shared" ca="1" si="44"/>
        <v>1</v>
      </c>
      <c r="AC100">
        <f t="shared" ca="1" si="45"/>
        <v>65.625</v>
      </c>
      <c r="AD100" t="str">
        <f t="shared" si="26"/>
        <v>4093RN153</v>
      </c>
      <c r="AE100" t="str">
        <f t="shared" ca="1" si="46"/>
        <v>PWHITE</v>
      </c>
      <c r="AF100" t="str">
        <f t="shared" ca="1" si="47"/>
        <v/>
      </c>
      <c r="AG100">
        <v>21</v>
      </c>
      <c r="AH100" t="s">
        <v>136</v>
      </c>
      <c r="AI100" t="str">
        <f t="shared" si="27"/>
        <v>Lutheran Home 25</v>
      </c>
      <c r="AJ100" t="str">
        <f t="shared" si="28"/>
        <v>Green Bay</v>
      </c>
      <c r="AK100" t="str">
        <f t="shared" si="29"/>
        <v>WI</v>
      </c>
      <c r="AL100">
        <f t="shared" si="30"/>
        <v>4091142613</v>
      </c>
      <c r="AM100" t="str">
        <f t="shared" si="31"/>
        <v>4093RN153</v>
      </c>
      <c r="AN100" t="str">
        <f t="shared" si="32"/>
        <v/>
      </c>
      <c r="AO100" t="str">
        <f t="shared" si="33"/>
        <v>Pella</v>
      </c>
      <c r="AP100">
        <f t="shared" si="34"/>
        <v>54201</v>
      </c>
      <c r="AQ100">
        <f t="shared" ca="1" si="48"/>
        <v>0</v>
      </c>
      <c r="AR100" s="1">
        <f t="shared" si="35"/>
        <v>46135</v>
      </c>
      <c r="CB100" s="1"/>
    </row>
    <row r="101" spans="1:80" x14ac:dyDescent="0.25">
      <c r="A101" s="23"/>
      <c r="B101" s="23"/>
      <c r="C101" s="23"/>
      <c r="D101" s="24"/>
      <c r="E101" s="24"/>
      <c r="F101" s="25">
        <f t="shared" si="36"/>
        <v>0</v>
      </c>
      <c r="G101" s="24"/>
      <c r="H101" s="24"/>
      <c r="I101" s="25">
        <v>1</v>
      </c>
      <c r="J101" s="24"/>
      <c r="K101" s="24"/>
      <c r="L101" s="24"/>
      <c r="M101" s="26" t="str">
        <f t="shared" si="37"/>
        <v/>
      </c>
      <c r="N101" s="27">
        <f t="shared" si="38"/>
        <v>0</v>
      </c>
      <c r="T101">
        <f t="shared" si="25"/>
        <v>129</v>
      </c>
      <c r="U101">
        <f t="shared" si="39"/>
        <v>26053</v>
      </c>
      <c r="V101">
        <f t="shared" ca="1" si="40"/>
        <v>50</v>
      </c>
      <c r="W101">
        <v>21</v>
      </c>
      <c r="X101" t="str">
        <f t="shared" ca="1" si="41"/>
        <v>JE</v>
      </c>
      <c r="Y101" t="s">
        <v>28</v>
      </c>
      <c r="Z101">
        <f t="shared" ca="1" si="42"/>
        <v>2.5</v>
      </c>
      <c r="AA101" t="str">
        <f t="shared" ca="1" si="43"/>
        <v>PAINT</v>
      </c>
      <c r="AB101">
        <f t="shared" ca="1" si="44"/>
        <v>1</v>
      </c>
      <c r="AC101">
        <f t="shared" ca="1" si="45"/>
        <v>138.5</v>
      </c>
      <c r="AD101" t="str">
        <f t="shared" si="26"/>
        <v>4093RN153</v>
      </c>
      <c r="AE101" t="str">
        <f t="shared" ca="1" si="46"/>
        <v>PWHITE</v>
      </c>
      <c r="AF101" t="str">
        <f t="shared" ca="1" si="47"/>
        <v/>
      </c>
      <c r="AG101">
        <v>21</v>
      </c>
      <c r="AH101" t="s">
        <v>136</v>
      </c>
      <c r="AI101" t="str">
        <f t="shared" si="27"/>
        <v>Lutheran Home 25</v>
      </c>
      <c r="AJ101" t="str">
        <f t="shared" si="28"/>
        <v>Green Bay</v>
      </c>
      <c r="AK101" t="str">
        <f t="shared" si="29"/>
        <v>WI</v>
      </c>
      <c r="AL101">
        <f t="shared" si="30"/>
        <v>4091142613</v>
      </c>
      <c r="AM101" t="str">
        <f t="shared" si="31"/>
        <v>4093RN153</v>
      </c>
      <c r="AN101" t="str">
        <f t="shared" si="32"/>
        <v/>
      </c>
      <c r="AO101" t="str">
        <f t="shared" si="33"/>
        <v>Pella</v>
      </c>
      <c r="AP101">
        <f t="shared" si="34"/>
        <v>54201</v>
      </c>
      <c r="AQ101">
        <f t="shared" ca="1" si="48"/>
        <v>0</v>
      </c>
      <c r="AR101" s="1">
        <f t="shared" si="35"/>
        <v>46135</v>
      </c>
      <c r="CB101" s="1"/>
    </row>
    <row r="102" spans="1:80" x14ac:dyDescent="0.25">
      <c r="A102" s="23"/>
      <c r="B102" s="23"/>
      <c r="C102" s="23"/>
      <c r="D102" s="24"/>
      <c r="E102" s="24"/>
      <c r="F102" s="25">
        <f t="shared" si="36"/>
        <v>0</v>
      </c>
      <c r="G102" s="24"/>
      <c r="H102" s="24"/>
      <c r="I102" s="25">
        <v>1</v>
      </c>
      <c r="J102" s="24"/>
      <c r="K102" s="24"/>
      <c r="L102" s="24"/>
      <c r="M102" s="26" t="str">
        <f t="shared" si="37"/>
        <v/>
      </c>
      <c r="N102" s="27">
        <f t="shared" si="38"/>
        <v>0</v>
      </c>
      <c r="T102">
        <f t="shared" si="25"/>
        <v>129</v>
      </c>
      <c r="U102">
        <f t="shared" si="39"/>
        <v>26053</v>
      </c>
      <c r="V102">
        <f t="shared" ca="1" si="40"/>
        <v>50</v>
      </c>
      <c r="W102">
        <v>21</v>
      </c>
      <c r="X102" t="str">
        <f t="shared" ca="1" si="41"/>
        <v>JE</v>
      </c>
      <c r="Y102" t="s">
        <v>32</v>
      </c>
      <c r="Z102">
        <f t="shared" ca="1" si="42"/>
        <v>2.5</v>
      </c>
      <c r="AA102" t="str">
        <f t="shared" ca="1" si="43"/>
        <v>PAINT</v>
      </c>
      <c r="AB102">
        <f t="shared" ca="1" si="44"/>
        <v>1</v>
      </c>
      <c r="AC102">
        <f t="shared" ca="1" si="45"/>
        <v>138.5</v>
      </c>
      <c r="AD102" t="str">
        <f t="shared" si="26"/>
        <v>4093RN153</v>
      </c>
      <c r="AE102" t="str">
        <f t="shared" ca="1" si="46"/>
        <v>PWHITE</v>
      </c>
      <c r="AF102" t="str">
        <f t="shared" ca="1" si="47"/>
        <v/>
      </c>
      <c r="AG102">
        <v>21</v>
      </c>
      <c r="AH102" t="s">
        <v>136</v>
      </c>
      <c r="AI102" t="str">
        <f t="shared" si="27"/>
        <v>Lutheran Home 25</v>
      </c>
      <c r="AJ102" t="str">
        <f t="shared" si="28"/>
        <v>Green Bay</v>
      </c>
      <c r="AK102" t="str">
        <f t="shared" si="29"/>
        <v>WI</v>
      </c>
      <c r="AL102">
        <f t="shared" si="30"/>
        <v>4091142613</v>
      </c>
      <c r="AM102" t="str">
        <f t="shared" si="31"/>
        <v>4093RN153</v>
      </c>
      <c r="AN102" t="str">
        <f t="shared" si="32"/>
        <v/>
      </c>
      <c r="AO102" t="str">
        <f t="shared" si="33"/>
        <v>Pella</v>
      </c>
      <c r="AP102">
        <f t="shared" si="34"/>
        <v>54201</v>
      </c>
      <c r="AQ102">
        <f t="shared" ca="1" si="48"/>
        <v>0</v>
      </c>
      <c r="AR102" s="1">
        <f t="shared" si="35"/>
        <v>46135</v>
      </c>
      <c r="CB102" s="1"/>
    </row>
    <row r="103" spans="1:80" x14ac:dyDescent="0.25">
      <c r="A103" s="23"/>
      <c r="B103" s="23"/>
      <c r="C103" s="23"/>
      <c r="D103" s="24"/>
      <c r="E103" s="24"/>
      <c r="F103" s="25">
        <f t="shared" si="36"/>
        <v>0</v>
      </c>
      <c r="G103" s="24"/>
      <c r="H103" s="24"/>
      <c r="I103" s="25">
        <v>1</v>
      </c>
      <c r="J103" s="24"/>
      <c r="K103" s="24"/>
      <c r="L103" s="24"/>
      <c r="M103" s="26" t="str">
        <f t="shared" si="37"/>
        <v/>
      </c>
      <c r="N103" s="27">
        <f t="shared" si="38"/>
        <v>0</v>
      </c>
      <c r="T103">
        <f t="shared" si="25"/>
        <v>129</v>
      </c>
      <c r="U103">
        <f t="shared" si="39"/>
        <v>26053</v>
      </c>
      <c r="V103">
        <f t="shared" ca="1" si="40"/>
        <v>55</v>
      </c>
      <c r="W103">
        <v>22</v>
      </c>
      <c r="X103" t="str">
        <f t="shared" ca="1" si="41"/>
        <v>JE</v>
      </c>
      <c r="Y103" t="s">
        <v>9</v>
      </c>
      <c r="Z103">
        <f t="shared" ca="1" si="42"/>
        <v>2.5</v>
      </c>
      <c r="AA103" t="str">
        <f t="shared" ca="1" si="43"/>
        <v>PAINT</v>
      </c>
      <c r="AB103">
        <f t="shared" ca="1" si="44"/>
        <v>1</v>
      </c>
      <c r="AC103">
        <f t="shared" ca="1" si="45"/>
        <v>53.625</v>
      </c>
      <c r="AD103" t="str">
        <f t="shared" si="26"/>
        <v>4093RN153</v>
      </c>
      <c r="AE103" t="str">
        <f t="shared" ca="1" si="46"/>
        <v>PWHITE</v>
      </c>
      <c r="AF103" t="str">
        <f t="shared" ca="1" si="47"/>
        <v/>
      </c>
      <c r="AG103">
        <v>22</v>
      </c>
      <c r="AH103" t="s">
        <v>136</v>
      </c>
      <c r="AI103" t="str">
        <f t="shared" si="27"/>
        <v>Lutheran Home 25</v>
      </c>
      <c r="AJ103" t="str">
        <f t="shared" si="28"/>
        <v>Green Bay</v>
      </c>
      <c r="AK103" t="str">
        <f t="shared" si="29"/>
        <v>WI</v>
      </c>
      <c r="AL103">
        <f t="shared" si="30"/>
        <v>4091142613</v>
      </c>
      <c r="AM103" t="str">
        <f t="shared" si="31"/>
        <v>4093RN153</v>
      </c>
      <c r="AN103" t="str">
        <f t="shared" si="32"/>
        <v/>
      </c>
      <c r="AO103" t="str">
        <f t="shared" si="33"/>
        <v>Pella</v>
      </c>
      <c r="AP103">
        <f t="shared" si="34"/>
        <v>54201</v>
      </c>
      <c r="AQ103">
        <f t="shared" ca="1" si="48"/>
        <v>0</v>
      </c>
      <c r="AR103" s="1">
        <f t="shared" si="35"/>
        <v>46135</v>
      </c>
      <c r="CB103" s="1"/>
    </row>
    <row r="104" spans="1:80" x14ac:dyDescent="0.25">
      <c r="A104" s="23"/>
      <c r="B104" s="23"/>
      <c r="C104" s="23"/>
      <c r="D104" s="24"/>
      <c r="E104" s="24"/>
      <c r="F104" s="25">
        <f t="shared" si="36"/>
        <v>0</v>
      </c>
      <c r="G104" s="24"/>
      <c r="H104" s="24"/>
      <c r="I104" s="25">
        <v>1</v>
      </c>
      <c r="J104" s="24"/>
      <c r="K104" s="24"/>
      <c r="L104" s="24"/>
      <c r="M104" s="26" t="str">
        <f t="shared" si="37"/>
        <v/>
      </c>
      <c r="N104" s="27">
        <f t="shared" si="38"/>
        <v>0</v>
      </c>
      <c r="T104">
        <f t="shared" si="25"/>
        <v>129</v>
      </c>
      <c r="U104">
        <f t="shared" si="39"/>
        <v>26053</v>
      </c>
      <c r="V104">
        <f t="shared" ca="1" si="40"/>
        <v>55</v>
      </c>
      <c r="W104">
        <v>22</v>
      </c>
      <c r="X104" t="str">
        <f t="shared" ca="1" si="41"/>
        <v>JE</v>
      </c>
      <c r="Y104" t="s">
        <v>33</v>
      </c>
      <c r="Z104">
        <f t="shared" ca="1" si="42"/>
        <v>2.5</v>
      </c>
      <c r="AA104" t="str">
        <f t="shared" ca="1" si="43"/>
        <v>PAINT</v>
      </c>
      <c r="AB104">
        <f t="shared" ca="1" si="44"/>
        <v>1</v>
      </c>
      <c r="AC104">
        <f t="shared" ca="1" si="45"/>
        <v>53.625</v>
      </c>
      <c r="AD104" t="str">
        <f t="shared" si="26"/>
        <v>4093RN153</v>
      </c>
      <c r="AE104" t="str">
        <f t="shared" ca="1" si="46"/>
        <v>PWHITE</v>
      </c>
      <c r="AF104" t="str">
        <f t="shared" ca="1" si="47"/>
        <v/>
      </c>
      <c r="AG104">
        <v>22</v>
      </c>
      <c r="AH104" t="s">
        <v>136</v>
      </c>
      <c r="AI104" t="str">
        <f t="shared" si="27"/>
        <v>Lutheran Home 25</v>
      </c>
      <c r="AJ104" t="str">
        <f t="shared" si="28"/>
        <v>Green Bay</v>
      </c>
      <c r="AK104" t="str">
        <f t="shared" si="29"/>
        <v>WI</v>
      </c>
      <c r="AL104">
        <f t="shared" si="30"/>
        <v>4091142613</v>
      </c>
      <c r="AM104" t="str">
        <f t="shared" si="31"/>
        <v>4093RN153</v>
      </c>
      <c r="AN104" t="str">
        <f t="shared" si="32"/>
        <v/>
      </c>
      <c r="AO104" t="str">
        <f t="shared" si="33"/>
        <v>Pella</v>
      </c>
      <c r="AP104">
        <f t="shared" si="34"/>
        <v>54201</v>
      </c>
      <c r="AQ104">
        <f t="shared" ca="1" si="48"/>
        <v>0</v>
      </c>
      <c r="AR104" s="1">
        <f t="shared" si="35"/>
        <v>46135</v>
      </c>
      <c r="CB104" s="1"/>
    </row>
    <row r="105" spans="1:80" x14ac:dyDescent="0.25">
      <c r="A105" s="23"/>
      <c r="B105" s="23"/>
      <c r="C105" s="23"/>
      <c r="D105" s="24"/>
      <c r="E105" s="24"/>
      <c r="F105" s="25">
        <f t="shared" si="36"/>
        <v>0</v>
      </c>
      <c r="G105" s="24"/>
      <c r="H105" s="24"/>
      <c r="I105" s="25">
        <v>1</v>
      </c>
      <c r="J105" s="24"/>
      <c r="K105" s="24"/>
      <c r="L105" s="24"/>
      <c r="M105" s="26" t="str">
        <f t="shared" si="37"/>
        <v/>
      </c>
      <c r="N105" s="27">
        <f t="shared" si="38"/>
        <v>0</v>
      </c>
      <c r="T105">
        <f t="shared" si="25"/>
        <v>129</v>
      </c>
      <c r="U105">
        <f t="shared" si="39"/>
        <v>26053</v>
      </c>
      <c r="V105">
        <f t="shared" ca="1" si="40"/>
        <v>55</v>
      </c>
      <c r="W105">
        <v>22</v>
      </c>
      <c r="X105" t="str">
        <f t="shared" ca="1" si="41"/>
        <v>JE</v>
      </c>
      <c r="Y105" t="s">
        <v>28</v>
      </c>
      <c r="Z105">
        <f t="shared" ca="1" si="42"/>
        <v>2.5</v>
      </c>
      <c r="AA105" t="str">
        <f t="shared" ca="1" si="43"/>
        <v>PAINT</v>
      </c>
      <c r="AB105">
        <f t="shared" ca="1" si="44"/>
        <v>1</v>
      </c>
      <c r="AC105">
        <f t="shared" ca="1" si="45"/>
        <v>138.5</v>
      </c>
      <c r="AD105" t="str">
        <f t="shared" si="26"/>
        <v>4093RN153</v>
      </c>
      <c r="AE105" t="str">
        <f t="shared" ca="1" si="46"/>
        <v>PWHITE</v>
      </c>
      <c r="AF105" t="str">
        <f t="shared" ca="1" si="47"/>
        <v/>
      </c>
      <c r="AG105">
        <v>22</v>
      </c>
      <c r="AH105" t="s">
        <v>136</v>
      </c>
      <c r="AI105" t="str">
        <f t="shared" si="27"/>
        <v>Lutheran Home 25</v>
      </c>
      <c r="AJ105" t="str">
        <f t="shared" si="28"/>
        <v>Green Bay</v>
      </c>
      <c r="AK105" t="str">
        <f t="shared" si="29"/>
        <v>WI</v>
      </c>
      <c r="AL105">
        <f t="shared" si="30"/>
        <v>4091142613</v>
      </c>
      <c r="AM105" t="str">
        <f t="shared" si="31"/>
        <v>4093RN153</v>
      </c>
      <c r="AN105" t="str">
        <f t="shared" si="32"/>
        <v/>
      </c>
      <c r="AO105" t="str">
        <f t="shared" si="33"/>
        <v>Pella</v>
      </c>
      <c r="AP105">
        <f t="shared" si="34"/>
        <v>54201</v>
      </c>
      <c r="AQ105">
        <f t="shared" ca="1" si="48"/>
        <v>0</v>
      </c>
      <c r="AR105" s="1">
        <f t="shared" si="35"/>
        <v>46135</v>
      </c>
      <c r="CB105" s="1"/>
    </row>
    <row r="106" spans="1:80" x14ac:dyDescent="0.25">
      <c r="A106" s="23"/>
      <c r="B106" s="23"/>
      <c r="C106" s="23"/>
      <c r="D106" s="24"/>
      <c r="E106" s="24"/>
      <c r="F106" s="25">
        <f t="shared" si="36"/>
        <v>0</v>
      </c>
      <c r="G106" s="24"/>
      <c r="H106" s="24"/>
      <c r="I106" s="25">
        <v>1</v>
      </c>
      <c r="J106" s="24"/>
      <c r="K106" s="24"/>
      <c r="L106" s="24"/>
      <c r="M106" s="26" t="str">
        <f t="shared" si="37"/>
        <v/>
      </c>
      <c r="N106" s="27">
        <f t="shared" si="38"/>
        <v>0</v>
      </c>
      <c r="T106">
        <f t="shared" si="25"/>
        <v>129</v>
      </c>
      <c r="U106">
        <f t="shared" si="39"/>
        <v>26053</v>
      </c>
      <c r="V106">
        <f t="shared" ca="1" si="40"/>
        <v>55</v>
      </c>
      <c r="W106">
        <v>22</v>
      </c>
      <c r="X106" t="str">
        <f t="shared" ca="1" si="41"/>
        <v>JE</v>
      </c>
      <c r="Y106" t="s">
        <v>32</v>
      </c>
      <c r="Z106">
        <f t="shared" ca="1" si="42"/>
        <v>2.5</v>
      </c>
      <c r="AA106" t="str">
        <f t="shared" ca="1" si="43"/>
        <v>PAINT</v>
      </c>
      <c r="AB106">
        <f t="shared" ca="1" si="44"/>
        <v>1</v>
      </c>
      <c r="AC106">
        <f t="shared" ca="1" si="45"/>
        <v>138.5</v>
      </c>
      <c r="AD106" t="str">
        <f t="shared" si="26"/>
        <v>4093RN153</v>
      </c>
      <c r="AE106" t="str">
        <f t="shared" ca="1" si="46"/>
        <v>PWHITE</v>
      </c>
      <c r="AF106" t="str">
        <f t="shared" ca="1" si="47"/>
        <v/>
      </c>
      <c r="AG106">
        <v>22</v>
      </c>
      <c r="AH106" t="s">
        <v>136</v>
      </c>
      <c r="AI106" t="str">
        <f t="shared" si="27"/>
        <v>Lutheran Home 25</v>
      </c>
      <c r="AJ106" t="str">
        <f t="shared" si="28"/>
        <v>Green Bay</v>
      </c>
      <c r="AK106" t="str">
        <f t="shared" si="29"/>
        <v>WI</v>
      </c>
      <c r="AL106">
        <f t="shared" si="30"/>
        <v>4091142613</v>
      </c>
      <c r="AM106" t="str">
        <f t="shared" si="31"/>
        <v>4093RN153</v>
      </c>
      <c r="AN106" t="str">
        <f t="shared" si="32"/>
        <v/>
      </c>
      <c r="AO106" t="str">
        <f t="shared" si="33"/>
        <v>Pella</v>
      </c>
      <c r="AP106">
        <f t="shared" si="34"/>
        <v>54201</v>
      </c>
      <c r="AQ106">
        <f t="shared" ca="1" si="48"/>
        <v>0</v>
      </c>
      <c r="AR106" s="1">
        <f t="shared" si="35"/>
        <v>46135</v>
      </c>
      <c r="CB106" s="1"/>
    </row>
    <row r="107" spans="1:80" x14ac:dyDescent="0.25">
      <c r="A107" s="23"/>
      <c r="B107" s="23"/>
      <c r="C107" s="23"/>
      <c r="D107" s="24"/>
      <c r="E107" s="24"/>
      <c r="F107" s="25">
        <f t="shared" si="36"/>
        <v>0</v>
      </c>
      <c r="G107" s="24"/>
      <c r="H107" s="24"/>
      <c r="I107" s="25">
        <v>1</v>
      </c>
      <c r="J107" s="24"/>
      <c r="K107" s="24"/>
      <c r="L107" s="24"/>
      <c r="M107" s="26" t="str">
        <f t="shared" si="37"/>
        <v/>
      </c>
      <c r="N107" s="27">
        <f t="shared" si="38"/>
        <v>0</v>
      </c>
      <c r="T107">
        <f t="shared" si="25"/>
        <v>129</v>
      </c>
      <c r="U107">
        <f t="shared" si="39"/>
        <v>26053</v>
      </c>
      <c r="V107">
        <f t="shared" ca="1" si="40"/>
        <v>56</v>
      </c>
      <c r="W107">
        <v>23</v>
      </c>
      <c r="X107" t="str">
        <f t="shared" ca="1" si="41"/>
        <v>JE</v>
      </c>
      <c r="Y107" t="s">
        <v>9</v>
      </c>
      <c r="Z107">
        <f t="shared" ca="1" si="42"/>
        <v>2.5</v>
      </c>
      <c r="AA107" t="str">
        <f t="shared" ca="1" si="43"/>
        <v>PAINT</v>
      </c>
      <c r="AB107">
        <f t="shared" ca="1" si="44"/>
        <v>1</v>
      </c>
      <c r="AC107">
        <f t="shared" ca="1" si="45"/>
        <v>68.875</v>
      </c>
      <c r="AD107" t="str">
        <f t="shared" si="26"/>
        <v>4093RN153</v>
      </c>
      <c r="AE107" t="str">
        <f t="shared" ca="1" si="46"/>
        <v>PWHITE</v>
      </c>
      <c r="AF107" t="str">
        <f t="shared" ca="1" si="47"/>
        <v/>
      </c>
      <c r="AG107">
        <v>23</v>
      </c>
      <c r="AH107" t="s">
        <v>136</v>
      </c>
      <c r="AI107" t="str">
        <f t="shared" si="27"/>
        <v>Lutheran Home 25</v>
      </c>
      <c r="AJ107" t="str">
        <f t="shared" si="28"/>
        <v>Green Bay</v>
      </c>
      <c r="AK107" t="str">
        <f t="shared" si="29"/>
        <v>WI</v>
      </c>
      <c r="AL107">
        <f t="shared" si="30"/>
        <v>4091142613</v>
      </c>
      <c r="AM107" t="str">
        <f t="shared" si="31"/>
        <v>4093RN153</v>
      </c>
      <c r="AN107" t="str">
        <f t="shared" si="32"/>
        <v/>
      </c>
      <c r="AO107" t="str">
        <f t="shared" si="33"/>
        <v>Pella</v>
      </c>
      <c r="AP107">
        <f t="shared" si="34"/>
        <v>54201</v>
      </c>
      <c r="AQ107">
        <f t="shared" ca="1" si="48"/>
        <v>0</v>
      </c>
      <c r="AR107" s="1">
        <f t="shared" si="35"/>
        <v>46135</v>
      </c>
      <c r="CB107" s="1"/>
    </row>
    <row r="108" spans="1:80" x14ac:dyDescent="0.25">
      <c r="A108" s="23"/>
      <c r="B108" s="23"/>
      <c r="C108" s="23"/>
      <c r="D108" s="24"/>
      <c r="E108" s="24"/>
      <c r="F108" s="25">
        <f t="shared" si="36"/>
        <v>0</v>
      </c>
      <c r="G108" s="24"/>
      <c r="H108" s="24"/>
      <c r="I108" s="25">
        <v>1</v>
      </c>
      <c r="J108" s="24"/>
      <c r="K108" s="24"/>
      <c r="L108" s="24"/>
      <c r="M108" s="26" t="str">
        <f t="shared" si="37"/>
        <v/>
      </c>
      <c r="N108" s="27">
        <f t="shared" si="38"/>
        <v>0</v>
      </c>
      <c r="T108">
        <f t="shared" si="25"/>
        <v>129</v>
      </c>
      <c r="U108">
        <f t="shared" si="39"/>
        <v>26053</v>
      </c>
      <c r="V108">
        <f t="shared" ca="1" si="40"/>
        <v>56</v>
      </c>
      <c r="W108">
        <v>23</v>
      </c>
      <c r="X108" t="str">
        <f t="shared" ca="1" si="41"/>
        <v>JE</v>
      </c>
      <c r="Y108" t="s">
        <v>33</v>
      </c>
      <c r="Z108">
        <f t="shared" ca="1" si="42"/>
        <v>2.5</v>
      </c>
      <c r="AA108" t="str">
        <f t="shared" ca="1" si="43"/>
        <v>PAINT</v>
      </c>
      <c r="AB108">
        <f t="shared" ca="1" si="44"/>
        <v>1</v>
      </c>
      <c r="AC108">
        <f t="shared" ca="1" si="45"/>
        <v>68.875</v>
      </c>
      <c r="AD108" t="str">
        <f t="shared" si="26"/>
        <v>4093RN153</v>
      </c>
      <c r="AE108" t="str">
        <f t="shared" ca="1" si="46"/>
        <v>PWHITE</v>
      </c>
      <c r="AF108" t="str">
        <f t="shared" ca="1" si="47"/>
        <v/>
      </c>
      <c r="AG108">
        <v>23</v>
      </c>
      <c r="AH108" t="s">
        <v>136</v>
      </c>
      <c r="AI108" t="str">
        <f t="shared" si="27"/>
        <v>Lutheran Home 25</v>
      </c>
      <c r="AJ108" t="str">
        <f t="shared" si="28"/>
        <v>Green Bay</v>
      </c>
      <c r="AK108" t="str">
        <f t="shared" si="29"/>
        <v>WI</v>
      </c>
      <c r="AL108">
        <f t="shared" si="30"/>
        <v>4091142613</v>
      </c>
      <c r="AM108" t="str">
        <f t="shared" si="31"/>
        <v>4093RN153</v>
      </c>
      <c r="AN108" t="str">
        <f t="shared" si="32"/>
        <v/>
      </c>
      <c r="AO108" t="str">
        <f t="shared" si="33"/>
        <v>Pella</v>
      </c>
      <c r="AP108">
        <f t="shared" si="34"/>
        <v>54201</v>
      </c>
      <c r="AQ108">
        <f t="shared" ca="1" si="48"/>
        <v>0</v>
      </c>
      <c r="AR108" s="1">
        <f t="shared" si="35"/>
        <v>46135</v>
      </c>
      <c r="CB108" s="1"/>
    </row>
    <row r="109" spans="1:80" x14ac:dyDescent="0.25">
      <c r="A109" s="23"/>
      <c r="B109" s="23"/>
      <c r="C109" s="23"/>
      <c r="D109" s="24"/>
      <c r="E109" s="24"/>
      <c r="F109" s="25">
        <f t="shared" si="36"/>
        <v>0</v>
      </c>
      <c r="G109" s="24"/>
      <c r="H109" s="24"/>
      <c r="I109" s="25">
        <v>1</v>
      </c>
      <c r="J109" s="24"/>
      <c r="K109" s="24"/>
      <c r="L109" s="24"/>
      <c r="M109" s="26" t="str">
        <f t="shared" si="37"/>
        <v/>
      </c>
      <c r="N109" s="27">
        <f t="shared" si="38"/>
        <v>0</v>
      </c>
      <c r="T109">
        <f t="shared" si="25"/>
        <v>129</v>
      </c>
      <c r="U109">
        <f t="shared" si="39"/>
        <v>26053</v>
      </c>
      <c r="V109">
        <f t="shared" ca="1" si="40"/>
        <v>56</v>
      </c>
      <c r="W109">
        <v>23</v>
      </c>
      <c r="X109" t="str">
        <f t="shared" ca="1" si="41"/>
        <v>JE</v>
      </c>
      <c r="Y109" t="s">
        <v>28</v>
      </c>
      <c r="Z109">
        <f t="shared" ca="1" si="42"/>
        <v>2.5</v>
      </c>
      <c r="AA109" t="str">
        <f t="shared" ca="1" si="43"/>
        <v>PAINT</v>
      </c>
      <c r="AB109">
        <f t="shared" ca="1" si="44"/>
        <v>1</v>
      </c>
      <c r="AC109">
        <f t="shared" ca="1" si="45"/>
        <v>132.5</v>
      </c>
      <c r="AD109" t="str">
        <f t="shared" si="26"/>
        <v>4093RN153</v>
      </c>
      <c r="AE109" t="str">
        <f t="shared" ca="1" si="46"/>
        <v>PWHITE</v>
      </c>
      <c r="AF109" t="str">
        <f t="shared" ca="1" si="47"/>
        <v/>
      </c>
      <c r="AG109">
        <v>23</v>
      </c>
      <c r="AH109" t="s">
        <v>136</v>
      </c>
      <c r="AI109" t="str">
        <f t="shared" si="27"/>
        <v>Lutheran Home 25</v>
      </c>
      <c r="AJ109" t="str">
        <f t="shared" si="28"/>
        <v>Green Bay</v>
      </c>
      <c r="AK109" t="str">
        <f t="shared" si="29"/>
        <v>WI</v>
      </c>
      <c r="AL109">
        <f t="shared" si="30"/>
        <v>4091142613</v>
      </c>
      <c r="AM109" t="str">
        <f t="shared" si="31"/>
        <v>4093RN153</v>
      </c>
      <c r="AN109" t="str">
        <f t="shared" si="32"/>
        <v/>
      </c>
      <c r="AO109" t="str">
        <f t="shared" si="33"/>
        <v>Pella</v>
      </c>
      <c r="AP109">
        <f t="shared" si="34"/>
        <v>54201</v>
      </c>
      <c r="AQ109">
        <f t="shared" ca="1" si="48"/>
        <v>0</v>
      </c>
      <c r="AR109" s="1">
        <f t="shared" si="35"/>
        <v>46135</v>
      </c>
      <c r="CB109" s="1"/>
    </row>
    <row r="110" spans="1:80" x14ac:dyDescent="0.25">
      <c r="A110" s="23"/>
      <c r="B110" s="23"/>
      <c r="C110" s="23"/>
      <c r="D110" s="24"/>
      <c r="E110" s="24"/>
      <c r="F110" s="25">
        <f t="shared" si="36"/>
        <v>0</v>
      </c>
      <c r="G110" s="24"/>
      <c r="H110" s="24"/>
      <c r="I110" s="25">
        <v>1</v>
      </c>
      <c r="J110" s="24"/>
      <c r="K110" s="24"/>
      <c r="L110" s="24"/>
      <c r="M110" s="26" t="str">
        <f t="shared" si="37"/>
        <v/>
      </c>
      <c r="N110" s="27">
        <f t="shared" si="38"/>
        <v>0</v>
      </c>
      <c r="T110">
        <f t="shared" si="25"/>
        <v>129</v>
      </c>
      <c r="U110">
        <f t="shared" si="39"/>
        <v>26053</v>
      </c>
      <c r="V110">
        <f t="shared" ca="1" si="40"/>
        <v>56</v>
      </c>
      <c r="W110">
        <v>23</v>
      </c>
      <c r="X110" t="str">
        <f t="shared" ca="1" si="41"/>
        <v>JE</v>
      </c>
      <c r="Y110" t="s">
        <v>32</v>
      </c>
      <c r="Z110">
        <f t="shared" ca="1" si="42"/>
        <v>2.5</v>
      </c>
      <c r="AA110" t="str">
        <f t="shared" ca="1" si="43"/>
        <v>PAINT</v>
      </c>
      <c r="AB110">
        <f t="shared" ca="1" si="44"/>
        <v>1</v>
      </c>
      <c r="AC110">
        <f t="shared" ca="1" si="45"/>
        <v>132.5</v>
      </c>
      <c r="AD110" t="str">
        <f t="shared" si="26"/>
        <v>4093RN153</v>
      </c>
      <c r="AE110" t="str">
        <f t="shared" ca="1" si="46"/>
        <v>PWHITE</v>
      </c>
      <c r="AF110" t="str">
        <f t="shared" ca="1" si="47"/>
        <v/>
      </c>
      <c r="AG110">
        <v>23</v>
      </c>
      <c r="AH110" t="s">
        <v>136</v>
      </c>
      <c r="AI110" t="str">
        <f t="shared" si="27"/>
        <v>Lutheran Home 25</v>
      </c>
      <c r="AJ110" t="str">
        <f t="shared" si="28"/>
        <v>Green Bay</v>
      </c>
      <c r="AK110" t="str">
        <f t="shared" si="29"/>
        <v>WI</v>
      </c>
      <c r="AL110">
        <f t="shared" si="30"/>
        <v>4091142613</v>
      </c>
      <c r="AM110" t="str">
        <f t="shared" si="31"/>
        <v>4093RN153</v>
      </c>
      <c r="AN110" t="str">
        <f t="shared" si="32"/>
        <v/>
      </c>
      <c r="AO110" t="str">
        <f t="shared" si="33"/>
        <v>Pella</v>
      </c>
      <c r="AP110">
        <f t="shared" si="34"/>
        <v>54201</v>
      </c>
      <c r="AQ110">
        <f t="shared" ca="1" si="48"/>
        <v>0</v>
      </c>
      <c r="AR110" s="1">
        <f t="shared" si="35"/>
        <v>46135</v>
      </c>
      <c r="CB110" s="1"/>
    </row>
    <row r="111" spans="1:80" x14ac:dyDescent="0.25">
      <c r="A111" s="23"/>
      <c r="B111" s="23"/>
      <c r="C111" s="23"/>
      <c r="D111" s="24"/>
      <c r="E111" s="24"/>
      <c r="F111" s="25">
        <f t="shared" si="36"/>
        <v>0</v>
      </c>
      <c r="G111" s="24"/>
      <c r="H111" s="24"/>
      <c r="I111" s="25">
        <v>1</v>
      </c>
      <c r="J111" s="24"/>
      <c r="K111" s="24"/>
      <c r="L111" s="24"/>
      <c r="M111" s="26" t="str">
        <f t="shared" si="37"/>
        <v/>
      </c>
      <c r="N111" s="27">
        <f t="shared" si="38"/>
        <v>0</v>
      </c>
      <c r="T111">
        <f t="shared" si="25"/>
        <v>129</v>
      </c>
      <c r="U111">
        <f t="shared" si="39"/>
        <v>26053</v>
      </c>
      <c r="V111">
        <f t="shared" ca="1" si="40"/>
        <v>56</v>
      </c>
      <c r="W111">
        <v>24</v>
      </c>
      <c r="X111" t="str">
        <f t="shared" ca="1" si="41"/>
        <v>JE</v>
      </c>
      <c r="Y111" t="s">
        <v>9</v>
      </c>
      <c r="Z111">
        <f t="shared" ca="1" si="42"/>
        <v>2.5</v>
      </c>
      <c r="AA111" t="str">
        <f t="shared" ca="1" si="43"/>
        <v>PAINT</v>
      </c>
      <c r="AB111">
        <f t="shared" ca="1" si="44"/>
        <v>1</v>
      </c>
      <c r="AC111">
        <f t="shared" ca="1" si="45"/>
        <v>68.875</v>
      </c>
      <c r="AD111" t="str">
        <f t="shared" si="26"/>
        <v>4093RN153</v>
      </c>
      <c r="AE111" t="str">
        <f t="shared" ca="1" si="46"/>
        <v>PWHITE</v>
      </c>
      <c r="AF111" t="str">
        <f t="shared" ca="1" si="47"/>
        <v/>
      </c>
      <c r="AG111">
        <v>24</v>
      </c>
      <c r="AH111" t="s">
        <v>136</v>
      </c>
      <c r="AI111" t="str">
        <f t="shared" si="27"/>
        <v>Lutheran Home 25</v>
      </c>
      <c r="AJ111" t="str">
        <f t="shared" si="28"/>
        <v>Green Bay</v>
      </c>
      <c r="AK111" t="str">
        <f t="shared" si="29"/>
        <v>WI</v>
      </c>
      <c r="AL111">
        <f t="shared" si="30"/>
        <v>4091142613</v>
      </c>
      <c r="AM111" t="str">
        <f t="shared" si="31"/>
        <v>4093RN153</v>
      </c>
      <c r="AN111" t="str">
        <f t="shared" si="32"/>
        <v/>
      </c>
      <c r="AO111" t="str">
        <f t="shared" si="33"/>
        <v>Pella</v>
      </c>
      <c r="AP111">
        <f t="shared" si="34"/>
        <v>54201</v>
      </c>
      <c r="AQ111">
        <f t="shared" ca="1" si="48"/>
        <v>0</v>
      </c>
      <c r="AR111" s="1">
        <f t="shared" si="35"/>
        <v>46135</v>
      </c>
      <c r="CB111" s="1"/>
    </row>
    <row r="112" spans="1:80" x14ac:dyDescent="0.25">
      <c r="A112" s="23"/>
      <c r="B112" s="23"/>
      <c r="C112" s="23"/>
      <c r="D112" s="24"/>
      <c r="E112" s="24"/>
      <c r="F112" s="25">
        <f t="shared" si="36"/>
        <v>0</v>
      </c>
      <c r="G112" s="24"/>
      <c r="H112" s="24"/>
      <c r="I112" s="25">
        <v>1</v>
      </c>
      <c r="J112" s="24"/>
      <c r="K112" s="24"/>
      <c r="L112" s="24"/>
      <c r="M112" s="26" t="str">
        <f t="shared" si="37"/>
        <v/>
      </c>
      <c r="N112" s="27">
        <f t="shared" si="38"/>
        <v>0</v>
      </c>
      <c r="T112">
        <f t="shared" si="25"/>
        <v>129</v>
      </c>
      <c r="U112">
        <f t="shared" si="39"/>
        <v>26053</v>
      </c>
      <c r="V112">
        <f t="shared" ca="1" si="40"/>
        <v>56</v>
      </c>
      <c r="W112">
        <v>24</v>
      </c>
      <c r="X112" t="str">
        <f t="shared" ca="1" si="41"/>
        <v>JE</v>
      </c>
      <c r="Y112" t="s">
        <v>33</v>
      </c>
      <c r="Z112">
        <f t="shared" ca="1" si="42"/>
        <v>2.5</v>
      </c>
      <c r="AA112" t="str">
        <f t="shared" ca="1" si="43"/>
        <v>PAINT</v>
      </c>
      <c r="AB112">
        <f t="shared" ca="1" si="44"/>
        <v>1</v>
      </c>
      <c r="AC112">
        <f t="shared" ca="1" si="45"/>
        <v>68.875</v>
      </c>
      <c r="AD112" t="str">
        <f t="shared" si="26"/>
        <v>4093RN153</v>
      </c>
      <c r="AE112" t="str">
        <f t="shared" ca="1" si="46"/>
        <v>PWHITE</v>
      </c>
      <c r="AF112" t="str">
        <f t="shared" ca="1" si="47"/>
        <v/>
      </c>
      <c r="AG112">
        <v>24</v>
      </c>
      <c r="AH112" t="s">
        <v>136</v>
      </c>
      <c r="AI112" t="str">
        <f t="shared" si="27"/>
        <v>Lutheran Home 25</v>
      </c>
      <c r="AJ112" t="str">
        <f t="shared" si="28"/>
        <v>Green Bay</v>
      </c>
      <c r="AK112" t="str">
        <f t="shared" si="29"/>
        <v>WI</v>
      </c>
      <c r="AL112">
        <f t="shared" si="30"/>
        <v>4091142613</v>
      </c>
      <c r="AM112" t="str">
        <f t="shared" si="31"/>
        <v>4093RN153</v>
      </c>
      <c r="AN112" t="str">
        <f t="shared" si="32"/>
        <v/>
      </c>
      <c r="AO112" t="str">
        <f t="shared" si="33"/>
        <v>Pella</v>
      </c>
      <c r="AP112">
        <f t="shared" si="34"/>
        <v>54201</v>
      </c>
      <c r="AQ112">
        <f t="shared" ca="1" si="48"/>
        <v>0</v>
      </c>
      <c r="AR112" s="1">
        <f t="shared" si="35"/>
        <v>46135</v>
      </c>
      <c r="CB112" s="1"/>
    </row>
    <row r="113" spans="1:80" x14ac:dyDescent="0.25">
      <c r="A113" s="23"/>
      <c r="B113" s="23"/>
      <c r="C113" s="23"/>
      <c r="D113" s="24"/>
      <c r="E113" s="24"/>
      <c r="F113" s="25">
        <f t="shared" si="36"/>
        <v>0</v>
      </c>
      <c r="G113" s="24"/>
      <c r="H113" s="24"/>
      <c r="I113" s="25">
        <v>1</v>
      </c>
      <c r="J113" s="24"/>
      <c r="K113" s="24"/>
      <c r="L113" s="24"/>
      <c r="M113" s="26" t="str">
        <f t="shared" si="37"/>
        <v/>
      </c>
      <c r="N113" s="27">
        <f t="shared" si="38"/>
        <v>0</v>
      </c>
      <c r="T113">
        <f t="shared" si="25"/>
        <v>129</v>
      </c>
      <c r="U113">
        <f t="shared" si="39"/>
        <v>26053</v>
      </c>
      <c r="V113">
        <f t="shared" ca="1" si="40"/>
        <v>56</v>
      </c>
      <c r="W113">
        <v>24</v>
      </c>
      <c r="X113" t="str">
        <f t="shared" ca="1" si="41"/>
        <v>JE</v>
      </c>
      <c r="Y113" t="s">
        <v>28</v>
      </c>
      <c r="Z113">
        <f t="shared" ca="1" si="42"/>
        <v>2.5</v>
      </c>
      <c r="AA113" t="str">
        <f t="shared" ca="1" si="43"/>
        <v>PAINT</v>
      </c>
      <c r="AB113">
        <f t="shared" ca="1" si="44"/>
        <v>1</v>
      </c>
      <c r="AC113">
        <f t="shared" ca="1" si="45"/>
        <v>132.5</v>
      </c>
      <c r="AD113" t="str">
        <f t="shared" si="26"/>
        <v>4093RN153</v>
      </c>
      <c r="AE113" t="str">
        <f t="shared" ca="1" si="46"/>
        <v>PWHITE</v>
      </c>
      <c r="AF113" t="str">
        <f t="shared" ca="1" si="47"/>
        <v/>
      </c>
      <c r="AG113">
        <v>24</v>
      </c>
      <c r="AH113" t="s">
        <v>136</v>
      </c>
      <c r="AI113" t="str">
        <f t="shared" si="27"/>
        <v>Lutheran Home 25</v>
      </c>
      <c r="AJ113" t="str">
        <f t="shared" si="28"/>
        <v>Green Bay</v>
      </c>
      <c r="AK113" t="str">
        <f t="shared" si="29"/>
        <v>WI</v>
      </c>
      <c r="AL113">
        <f t="shared" si="30"/>
        <v>4091142613</v>
      </c>
      <c r="AM113" t="str">
        <f t="shared" si="31"/>
        <v>4093RN153</v>
      </c>
      <c r="AN113" t="str">
        <f t="shared" si="32"/>
        <v/>
      </c>
      <c r="AO113" t="str">
        <f t="shared" si="33"/>
        <v>Pella</v>
      </c>
      <c r="AP113">
        <f t="shared" si="34"/>
        <v>54201</v>
      </c>
      <c r="AQ113">
        <f t="shared" ca="1" si="48"/>
        <v>0</v>
      </c>
      <c r="AR113" s="1">
        <f t="shared" si="35"/>
        <v>46135</v>
      </c>
      <c r="CB113" s="1"/>
    </row>
    <row r="114" spans="1:80" x14ac:dyDescent="0.25">
      <c r="A114" s="23"/>
      <c r="B114" s="23"/>
      <c r="C114" s="23"/>
      <c r="D114" s="24"/>
      <c r="E114" s="24"/>
      <c r="F114" s="25">
        <f t="shared" si="36"/>
        <v>0</v>
      </c>
      <c r="G114" s="24"/>
      <c r="H114" s="24"/>
      <c r="I114" s="25">
        <v>1</v>
      </c>
      <c r="J114" s="24"/>
      <c r="K114" s="24"/>
      <c r="L114" s="24"/>
      <c r="M114" s="26" t="str">
        <f t="shared" si="37"/>
        <v/>
      </c>
      <c r="N114" s="27">
        <f t="shared" si="38"/>
        <v>0</v>
      </c>
      <c r="T114">
        <f t="shared" si="25"/>
        <v>129</v>
      </c>
      <c r="U114">
        <f t="shared" si="39"/>
        <v>26053</v>
      </c>
      <c r="V114">
        <f t="shared" ca="1" si="40"/>
        <v>56</v>
      </c>
      <c r="W114">
        <v>24</v>
      </c>
      <c r="X114" t="str">
        <f t="shared" ca="1" si="41"/>
        <v>JE</v>
      </c>
      <c r="Y114" t="s">
        <v>32</v>
      </c>
      <c r="Z114">
        <f t="shared" ca="1" si="42"/>
        <v>2.5</v>
      </c>
      <c r="AA114" t="str">
        <f t="shared" ca="1" si="43"/>
        <v>PAINT</v>
      </c>
      <c r="AB114">
        <f t="shared" ca="1" si="44"/>
        <v>1</v>
      </c>
      <c r="AC114">
        <f t="shared" ca="1" si="45"/>
        <v>132.5</v>
      </c>
      <c r="AD114" t="str">
        <f t="shared" si="26"/>
        <v>4093RN153</v>
      </c>
      <c r="AE114" t="str">
        <f t="shared" ca="1" si="46"/>
        <v>PWHITE</v>
      </c>
      <c r="AF114" t="str">
        <f t="shared" ca="1" si="47"/>
        <v/>
      </c>
      <c r="AG114">
        <v>24</v>
      </c>
      <c r="AH114" t="s">
        <v>136</v>
      </c>
      <c r="AI114" t="str">
        <f t="shared" si="27"/>
        <v>Lutheran Home 25</v>
      </c>
      <c r="AJ114" t="str">
        <f t="shared" si="28"/>
        <v>Green Bay</v>
      </c>
      <c r="AK114" t="str">
        <f t="shared" si="29"/>
        <v>WI</v>
      </c>
      <c r="AL114">
        <f t="shared" si="30"/>
        <v>4091142613</v>
      </c>
      <c r="AM114" t="str">
        <f t="shared" si="31"/>
        <v>4093RN153</v>
      </c>
      <c r="AN114" t="str">
        <f t="shared" si="32"/>
        <v/>
      </c>
      <c r="AO114" t="str">
        <f t="shared" si="33"/>
        <v>Pella</v>
      </c>
      <c r="AP114">
        <f t="shared" si="34"/>
        <v>54201</v>
      </c>
      <c r="AQ114">
        <f t="shared" ca="1" si="48"/>
        <v>0</v>
      </c>
      <c r="AR114" s="1">
        <f t="shared" si="35"/>
        <v>46135</v>
      </c>
      <c r="CB114" s="1"/>
    </row>
    <row r="115" spans="1:80" x14ac:dyDescent="0.25">
      <c r="A115" s="23"/>
      <c r="B115" s="23"/>
      <c r="C115" s="23"/>
      <c r="D115" s="24"/>
      <c r="E115" s="24"/>
      <c r="F115" s="25">
        <f t="shared" si="36"/>
        <v>0</v>
      </c>
      <c r="G115" s="24"/>
      <c r="H115" s="24"/>
      <c r="I115" s="25">
        <v>1</v>
      </c>
      <c r="J115" s="24"/>
      <c r="K115" s="24"/>
      <c r="L115" s="24"/>
      <c r="M115" s="26" t="str">
        <f t="shared" si="37"/>
        <v/>
      </c>
      <c r="N115" s="27">
        <f t="shared" si="38"/>
        <v>0</v>
      </c>
      <c r="T115">
        <f t="shared" si="25"/>
        <v>129</v>
      </c>
      <c r="U115">
        <f t="shared" si="39"/>
        <v>26053</v>
      </c>
      <c r="V115">
        <f t="shared" ca="1" si="40"/>
        <v>56</v>
      </c>
      <c r="W115">
        <v>25</v>
      </c>
      <c r="X115" t="str">
        <f t="shared" ca="1" si="41"/>
        <v>JE</v>
      </c>
      <c r="Y115" t="s">
        <v>9</v>
      </c>
      <c r="Z115">
        <f t="shared" ca="1" si="42"/>
        <v>2.5</v>
      </c>
      <c r="AA115" t="str">
        <f t="shared" ca="1" si="43"/>
        <v>PAINT</v>
      </c>
      <c r="AB115">
        <f t="shared" ca="1" si="44"/>
        <v>1</v>
      </c>
      <c r="AC115">
        <f t="shared" ca="1" si="45"/>
        <v>68.875</v>
      </c>
      <c r="AD115" t="str">
        <f t="shared" si="26"/>
        <v>4093RN153</v>
      </c>
      <c r="AE115" t="str">
        <f t="shared" ca="1" si="46"/>
        <v>PWHITE</v>
      </c>
      <c r="AF115" t="str">
        <f t="shared" ca="1" si="47"/>
        <v/>
      </c>
      <c r="AG115">
        <v>25</v>
      </c>
      <c r="AH115" t="s">
        <v>136</v>
      </c>
      <c r="AI115" t="str">
        <f t="shared" si="27"/>
        <v>Lutheran Home 25</v>
      </c>
      <c r="AJ115" t="str">
        <f t="shared" si="28"/>
        <v>Green Bay</v>
      </c>
      <c r="AK115" t="str">
        <f t="shared" si="29"/>
        <v>WI</v>
      </c>
      <c r="AL115">
        <f t="shared" si="30"/>
        <v>4091142613</v>
      </c>
      <c r="AM115" t="str">
        <f t="shared" si="31"/>
        <v>4093RN153</v>
      </c>
      <c r="AN115" t="str">
        <f t="shared" si="32"/>
        <v/>
      </c>
      <c r="AO115" t="str">
        <f t="shared" si="33"/>
        <v>Pella</v>
      </c>
      <c r="AP115">
        <f t="shared" si="34"/>
        <v>54201</v>
      </c>
      <c r="AQ115">
        <f t="shared" ca="1" si="48"/>
        <v>0</v>
      </c>
      <c r="AR115" s="1">
        <f t="shared" si="35"/>
        <v>46135</v>
      </c>
      <c r="CB115" s="1"/>
    </row>
    <row r="116" spans="1:80" x14ac:dyDescent="0.25">
      <c r="A116" s="23"/>
      <c r="B116" s="23"/>
      <c r="C116" s="23"/>
      <c r="D116" s="24"/>
      <c r="E116" s="24"/>
      <c r="F116" s="25">
        <f t="shared" si="36"/>
        <v>0</v>
      </c>
      <c r="G116" s="24"/>
      <c r="H116" s="24"/>
      <c r="I116" s="25">
        <v>1</v>
      </c>
      <c r="J116" s="24"/>
      <c r="K116" s="24"/>
      <c r="L116" s="24"/>
      <c r="M116" s="26" t="str">
        <f t="shared" si="37"/>
        <v/>
      </c>
      <c r="N116" s="27">
        <f t="shared" si="38"/>
        <v>0</v>
      </c>
      <c r="T116">
        <f t="shared" si="25"/>
        <v>129</v>
      </c>
      <c r="U116">
        <f t="shared" si="39"/>
        <v>26053</v>
      </c>
      <c r="V116">
        <f t="shared" ca="1" si="40"/>
        <v>56</v>
      </c>
      <c r="W116">
        <v>25</v>
      </c>
      <c r="X116" t="str">
        <f t="shared" ca="1" si="41"/>
        <v>JE</v>
      </c>
      <c r="Y116" t="s">
        <v>33</v>
      </c>
      <c r="Z116">
        <f t="shared" ca="1" si="42"/>
        <v>2.5</v>
      </c>
      <c r="AA116" t="str">
        <f t="shared" ca="1" si="43"/>
        <v>PAINT</v>
      </c>
      <c r="AB116">
        <f t="shared" ca="1" si="44"/>
        <v>1</v>
      </c>
      <c r="AC116">
        <f t="shared" ca="1" si="45"/>
        <v>68.875</v>
      </c>
      <c r="AD116" t="str">
        <f t="shared" si="26"/>
        <v>4093RN153</v>
      </c>
      <c r="AE116" t="str">
        <f t="shared" ca="1" si="46"/>
        <v>PWHITE</v>
      </c>
      <c r="AF116" t="str">
        <f t="shared" ca="1" si="47"/>
        <v/>
      </c>
      <c r="AG116">
        <v>25</v>
      </c>
      <c r="AH116" t="s">
        <v>136</v>
      </c>
      <c r="AI116" t="str">
        <f t="shared" si="27"/>
        <v>Lutheran Home 25</v>
      </c>
      <c r="AJ116" t="str">
        <f t="shared" si="28"/>
        <v>Green Bay</v>
      </c>
      <c r="AK116" t="str">
        <f t="shared" si="29"/>
        <v>WI</v>
      </c>
      <c r="AL116">
        <f t="shared" si="30"/>
        <v>4091142613</v>
      </c>
      <c r="AM116" t="str">
        <f t="shared" si="31"/>
        <v>4093RN153</v>
      </c>
      <c r="AN116" t="str">
        <f t="shared" si="32"/>
        <v/>
      </c>
      <c r="AO116" t="str">
        <f t="shared" si="33"/>
        <v>Pella</v>
      </c>
      <c r="AP116">
        <f t="shared" si="34"/>
        <v>54201</v>
      </c>
      <c r="AQ116">
        <f t="shared" ca="1" si="48"/>
        <v>0</v>
      </c>
      <c r="AR116" s="1">
        <f t="shared" si="35"/>
        <v>46135</v>
      </c>
      <c r="CB116" s="1"/>
    </row>
    <row r="117" spans="1:80" x14ac:dyDescent="0.25">
      <c r="A117" s="23"/>
      <c r="B117" s="23"/>
      <c r="C117" s="23"/>
      <c r="D117" s="24"/>
      <c r="E117" s="24"/>
      <c r="F117" s="25">
        <f t="shared" si="36"/>
        <v>0</v>
      </c>
      <c r="G117" s="24"/>
      <c r="H117" s="24"/>
      <c r="I117" s="25">
        <v>1</v>
      </c>
      <c r="J117" s="24"/>
      <c r="K117" s="24"/>
      <c r="L117" s="24"/>
      <c r="M117" s="26" t="str">
        <f t="shared" si="37"/>
        <v/>
      </c>
      <c r="N117" s="27">
        <f t="shared" si="38"/>
        <v>0</v>
      </c>
      <c r="T117">
        <f t="shared" si="25"/>
        <v>129</v>
      </c>
      <c r="U117">
        <f t="shared" si="39"/>
        <v>26053</v>
      </c>
      <c r="V117">
        <f t="shared" ca="1" si="40"/>
        <v>56</v>
      </c>
      <c r="W117">
        <v>25</v>
      </c>
      <c r="X117" t="str">
        <f t="shared" ca="1" si="41"/>
        <v>JE</v>
      </c>
      <c r="Y117" t="s">
        <v>28</v>
      </c>
      <c r="Z117">
        <f t="shared" ca="1" si="42"/>
        <v>2.5</v>
      </c>
      <c r="AA117" t="str">
        <f t="shared" ca="1" si="43"/>
        <v>PAINT</v>
      </c>
      <c r="AB117">
        <f t="shared" ca="1" si="44"/>
        <v>1</v>
      </c>
      <c r="AC117">
        <f t="shared" ca="1" si="45"/>
        <v>132.5</v>
      </c>
      <c r="AD117" t="str">
        <f t="shared" si="26"/>
        <v>4093RN153</v>
      </c>
      <c r="AE117" t="str">
        <f t="shared" ca="1" si="46"/>
        <v>PWHITE</v>
      </c>
      <c r="AF117" t="str">
        <f t="shared" ca="1" si="47"/>
        <v/>
      </c>
      <c r="AG117">
        <v>25</v>
      </c>
      <c r="AH117" t="s">
        <v>136</v>
      </c>
      <c r="AI117" t="str">
        <f t="shared" si="27"/>
        <v>Lutheran Home 25</v>
      </c>
      <c r="AJ117" t="str">
        <f t="shared" si="28"/>
        <v>Green Bay</v>
      </c>
      <c r="AK117" t="str">
        <f t="shared" si="29"/>
        <v>WI</v>
      </c>
      <c r="AL117">
        <f t="shared" si="30"/>
        <v>4091142613</v>
      </c>
      <c r="AM117" t="str">
        <f t="shared" si="31"/>
        <v>4093RN153</v>
      </c>
      <c r="AN117" t="str">
        <f t="shared" si="32"/>
        <v/>
      </c>
      <c r="AO117" t="str">
        <f t="shared" si="33"/>
        <v>Pella</v>
      </c>
      <c r="AP117">
        <f t="shared" si="34"/>
        <v>54201</v>
      </c>
      <c r="AQ117">
        <f t="shared" ca="1" si="48"/>
        <v>0</v>
      </c>
      <c r="AR117" s="1">
        <f t="shared" si="35"/>
        <v>46135</v>
      </c>
      <c r="CB117" s="1"/>
    </row>
    <row r="118" spans="1:80" x14ac:dyDescent="0.25">
      <c r="A118" s="23"/>
      <c r="B118" s="23"/>
      <c r="C118" s="23"/>
      <c r="D118" s="24"/>
      <c r="E118" s="24"/>
      <c r="F118" s="25">
        <f t="shared" si="36"/>
        <v>0</v>
      </c>
      <c r="G118" s="24"/>
      <c r="H118" s="24"/>
      <c r="I118" s="25">
        <v>1</v>
      </c>
      <c r="J118" s="24"/>
      <c r="K118" s="24"/>
      <c r="L118" s="24"/>
      <c r="M118" s="26" t="str">
        <f t="shared" si="37"/>
        <v/>
      </c>
      <c r="N118" s="27">
        <f t="shared" si="38"/>
        <v>0</v>
      </c>
      <c r="T118">
        <f t="shared" si="25"/>
        <v>129</v>
      </c>
      <c r="U118">
        <f t="shared" si="39"/>
        <v>26053</v>
      </c>
      <c r="V118">
        <f t="shared" ca="1" si="40"/>
        <v>56</v>
      </c>
      <c r="W118">
        <v>25</v>
      </c>
      <c r="X118" t="str">
        <f t="shared" ca="1" si="41"/>
        <v>JE</v>
      </c>
      <c r="Y118" t="s">
        <v>32</v>
      </c>
      <c r="Z118">
        <f t="shared" ca="1" si="42"/>
        <v>2.5</v>
      </c>
      <c r="AA118" t="str">
        <f t="shared" ca="1" si="43"/>
        <v>PAINT</v>
      </c>
      <c r="AB118">
        <f t="shared" ca="1" si="44"/>
        <v>1</v>
      </c>
      <c r="AC118">
        <f t="shared" ca="1" si="45"/>
        <v>132.5</v>
      </c>
      <c r="AD118" t="str">
        <f t="shared" si="26"/>
        <v>4093RN153</v>
      </c>
      <c r="AE118" t="str">
        <f t="shared" ca="1" si="46"/>
        <v>PWHITE</v>
      </c>
      <c r="AF118" t="str">
        <f t="shared" ca="1" si="47"/>
        <v/>
      </c>
      <c r="AG118">
        <v>25</v>
      </c>
      <c r="AH118" t="s">
        <v>136</v>
      </c>
      <c r="AI118" t="str">
        <f t="shared" si="27"/>
        <v>Lutheran Home 25</v>
      </c>
      <c r="AJ118" t="str">
        <f t="shared" si="28"/>
        <v>Green Bay</v>
      </c>
      <c r="AK118" t="str">
        <f t="shared" si="29"/>
        <v>WI</v>
      </c>
      <c r="AL118">
        <f t="shared" si="30"/>
        <v>4091142613</v>
      </c>
      <c r="AM118" t="str">
        <f t="shared" si="31"/>
        <v>4093RN153</v>
      </c>
      <c r="AN118" t="str">
        <f t="shared" si="32"/>
        <v/>
      </c>
      <c r="AO118" t="str">
        <f t="shared" si="33"/>
        <v>Pella</v>
      </c>
      <c r="AP118">
        <f t="shared" si="34"/>
        <v>54201</v>
      </c>
      <c r="AQ118">
        <f t="shared" ca="1" si="48"/>
        <v>0</v>
      </c>
      <c r="AR118" s="1">
        <f t="shared" si="35"/>
        <v>46135</v>
      </c>
      <c r="CB118" s="1"/>
    </row>
    <row r="119" spans="1:80" x14ac:dyDescent="0.25">
      <c r="A119" s="23"/>
      <c r="B119" s="23"/>
      <c r="C119" s="23"/>
      <c r="D119" s="24"/>
      <c r="E119" s="24"/>
      <c r="F119" s="25">
        <f t="shared" si="36"/>
        <v>0</v>
      </c>
      <c r="G119" s="24"/>
      <c r="H119" s="24"/>
      <c r="I119" s="25">
        <v>1</v>
      </c>
      <c r="J119" s="24"/>
      <c r="K119" s="24"/>
      <c r="L119" s="24"/>
      <c r="M119" s="26" t="str">
        <f t="shared" si="37"/>
        <v/>
      </c>
      <c r="N119" s="27">
        <f t="shared" si="38"/>
        <v>0</v>
      </c>
      <c r="T119">
        <f t="shared" si="25"/>
        <v>129</v>
      </c>
      <c r="U119">
        <f t="shared" si="39"/>
        <v>26053</v>
      </c>
      <c r="V119">
        <f t="shared" ca="1" si="40"/>
        <v>56</v>
      </c>
      <c r="W119">
        <v>26</v>
      </c>
      <c r="X119" t="str">
        <f t="shared" ca="1" si="41"/>
        <v>JE</v>
      </c>
      <c r="Y119" t="s">
        <v>9</v>
      </c>
      <c r="Z119">
        <f t="shared" ca="1" si="42"/>
        <v>2.5</v>
      </c>
      <c r="AA119" t="str">
        <f t="shared" ca="1" si="43"/>
        <v>PAINT</v>
      </c>
      <c r="AB119">
        <f t="shared" ca="1" si="44"/>
        <v>1</v>
      </c>
      <c r="AC119">
        <f t="shared" ca="1" si="45"/>
        <v>68.875</v>
      </c>
      <c r="AD119" t="str">
        <f t="shared" si="26"/>
        <v>4093RN153</v>
      </c>
      <c r="AE119" t="str">
        <f t="shared" ca="1" si="46"/>
        <v>PWHITE</v>
      </c>
      <c r="AF119" t="str">
        <f t="shared" ca="1" si="47"/>
        <v/>
      </c>
      <c r="AG119">
        <v>26</v>
      </c>
      <c r="AH119" t="s">
        <v>136</v>
      </c>
      <c r="AI119" t="str">
        <f t="shared" si="27"/>
        <v>Lutheran Home 25</v>
      </c>
      <c r="AJ119" t="str">
        <f t="shared" si="28"/>
        <v>Green Bay</v>
      </c>
      <c r="AK119" t="str">
        <f t="shared" si="29"/>
        <v>WI</v>
      </c>
      <c r="AL119">
        <f t="shared" si="30"/>
        <v>4091142613</v>
      </c>
      <c r="AM119" t="str">
        <f t="shared" si="31"/>
        <v>4093RN153</v>
      </c>
      <c r="AN119" t="str">
        <f t="shared" si="32"/>
        <v/>
      </c>
      <c r="AO119" t="str">
        <f t="shared" si="33"/>
        <v>Pella</v>
      </c>
      <c r="AP119">
        <f t="shared" si="34"/>
        <v>54201</v>
      </c>
      <c r="AQ119">
        <f t="shared" ca="1" si="48"/>
        <v>0</v>
      </c>
      <c r="AR119" s="1">
        <f t="shared" si="35"/>
        <v>46135</v>
      </c>
      <c r="CB119" s="1"/>
    </row>
    <row r="120" spans="1:80" x14ac:dyDescent="0.25">
      <c r="A120" s="23"/>
      <c r="B120" s="23"/>
      <c r="C120" s="23"/>
      <c r="D120" s="24"/>
      <c r="E120" s="24"/>
      <c r="F120" s="25">
        <f t="shared" si="36"/>
        <v>0</v>
      </c>
      <c r="G120" s="24"/>
      <c r="H120" s="24"/>
      <c r="I120" s="25">
        <v>1</v>
      </c>
      <c r="J120" s="24"/>
      <c r="K120" s="24"/>
      <c r="L120" s="24"/>
      <c r="M120" s="26" t="str">
        <f t="shared" si="37"/>
        <v/>
      </c>
      <c r="N120" s="27">
        <f t="shared" si="38"/>
        <v>0</v>
      </c>
      <c r="T120">
        <f t="shared" si="25"/>
        <v>129</v>
      </c>
      <c r="U120">
        <f t="shared" si="39"/>
        <v>26053</v>
      </c>
      <c r="V120">
        <f t="shared" ca="1" si="40"/>
        <v>56</v>
      </c>
      <c r="W120">
        <v>26</v>
      </c>
      <c r="X120" t="str">
        <f t="shared" ca="1" si="41"/>
        <v>JE</v>
      </c>
      <c r="Y120" t="s">
        <v>33</v>
      </c>
      <c r="Z120">
        <f t="shared" ca="1" si="42"/>
        <v>2.5</v>
      </c>
      <c r="AA120" t="str">
        <f t="shared" ca="1" si="43"/>
        <v>PAINT</v>
      </c>
      <c r="AB120">
        <f t="shared" ca="1" si="44"/>
        <v>1</v>
      </c>
      <c r="AC120">
        <f t="shared" ca="1" si="45"/>
        <v>68.875</v>
      </c>
      <c r="AD120" t="str">
        <f t="shared" si="26"/>
        <v>4093RN153</v>
      </c>
      <c r="AE120" t="str">
        <f t="shared" ca="1" si="46"/>
        <v>PWHITE</v>
      </c>
      <c r="AF120" t="str">
        <f t="shared" ca="1" si="47"/>
        <v/>
      </c>
      <c r="AG120">
        <v>26</v>
      </c>
      <c r="AH120" t="s">
        <v>136</v>
      </c>
      <c r="AI120" t="str">
        <f t="shared" si="27"/>
        <v>Lutheran Home 25</v>
      </c>
      <c r="AJ120" t="str">
        <f t="shared" si="28"/>
        <v>Green Bay</v>
      </c>
      <c r="AK120" t="str">
        <f t="shared" si="29"/>
        <v>WI</v>
      </c>
      <c r="AL120">
        <f t="shared" si="30"/>
        <v>4091142613</v>
      </c>
      <c r="AM120" t="str">
        <f t="shared" si="31"/>
        <v>4093RN153</v>
      </c>
      <c r="AN120" t="str">
        <f t="shared" si="32"/>
        <v/>
      </c>
      <c r="AO120" t="str">
        <f t="shared" si="33"/>
        <v>Pella</v>
      </c>
      <c r="AP120">
        <f t="shared" si="34"/>
        <v>54201</v>
      </c>
      <c r="AQ120">
        <f t="shared" ca="1" si="48"/>
        <v>0</v>
      </c>
      <c r="AR120" s="1">
        <f t="shared" si="35"/>
        <v>46135</v>
      </c>
      <c r="CB120" s="1"/>
    </row>
    <row r="121" spans="1:80" x14ac:dyDescent="0.25">
      <c r="A121" s="23"/>
      <c r="B121" s="23"/>
      <c r="C121" s="23"/>
      <c r="D121" s="24"/>
      <c r="E121" s="24"/>
      <c r="F121" s="25">
        <f t="shared" si="36"/>
        <v>0</v>
      </c>
      <c r="G121" s="24"/>
      <c r="H121" s="24"/>
      <c r="I121" s="25">
        <v>1</v>
      </c>
      <c r="J121" s="24"/>
      <c r="K121" s="24"/>
      <c r="L121" s="24"/>
      <c r="M121" s="26" t="str">
        <f t="shared" si="37"/>
        <v/>
      </c>
      <c r="N121" s="27">
        <f t="shared" si="38"/>
        <v>0</v>
      </c>
      <c r="T121">
        <f t="shared" si="25"/>
        <v>129</v>
      </c>
      <c r="U121">
        <f t="shared" si="39"/>
        <v>26053</v>
      </c>
      <c r="V121">
        <f t="shared" ca="1" si="40"/>
        <v>56</v>
      </c>
      <c r="W121">
        <v>26</v>
      </c>
      <c r="X121" t="str">
        <f t="shared" ca="1" si="41"/>
        <v>JE</v>
      </c>
      <c r="Y121" t="s">
        <v>28</v>
      </c>
      <c r="Z121">
        <f t="shared" ca="1" si="42"/>
        <v>2.5</v>
      </c>
      <c r="AA121" t="str">
        <f t="shared" ca="1" si="43"/>
        <v>PAINT</v>
      </c>
      <c r="AB121">
        <f t="shared" ca="1" si="44"/>
        <v>1</v>
      </c>
      <c r="AC121">
        <f t="shared" ca="1" si="45"/>
        <v>132.5</v>
      </c>
      <c r="AD121" t="str">
        <f t="shared" si="26"/>
        <v>4093RN153</v>
      </c>
      <c r="AE121" t="str">
        <f t="shared" ca="1" si="46"/>
        <v>PWHITE</v>
      </c>
      <c r="AF121" t="str">
        <f t="shared" ca="1" si="47"/>
        <v/>
      </c>
      <c r="AG121">
        <v>26</v>
      </c>
      <c r="AH121" t="s">
        <v>136</v>
      </c>
      <c r="AI121" t="str">
        <f t="shared" si="27"/>
        <v>Lutheran Home 25</v>
      </c>
      <c r="AJ121" t="str">
        <f t="shared" si="28"/>
        <v>Green Bay</v>
      </c>
      <c r="AK121" t="str">
        <f t="shared" si="29"/>
        <v>WI</v>
      </c>
      <c r="AL121">
        <f t="shared" si="30"/>
        <v>4091142613</v>
      </c>
      <c r="AM121" t="str">
        <f t="shared" si="31"/>
        <v>4093RN153</v>
      </c>
      <c r="AN121" t="str">
        <f t="shared" si="32"/>
        <v/>
      </c>
      <c r="AO121" t="str">
        <f t="shared" si="33"/>
        <v>Pella</v>
      </c>
      <c r="AP121">
        <f t="shared" si="34"/>
        <v>54201</v>
      </c>
      <c r="AQ121">
        <f t="shared" ca="1" si="48"/>
        <v>0</v>
      </c>
      <c r="AR121" s="1">
        <f t="shared" si="35"/>
        <v>46135</v>
      </c>
      <c r="CB121" s="1"/>
    </row>
    <row r="122" spans="1:80" x14ac:dyDescent="0.25">
      <c r="A122" s="23"/>
      <c r="B122" s="23"/>
      <c r="C122" s="23"/>
      <c r="D122" s="24"/>
      <c r="E122" s="24"/>
      <c r="F122" s="25">
        <f t="shared" si="36"/>
        <v>0</v>
      </c>
      <c r="G122" s="24"/>
      <c r="H122" s="24"/>
      <c r="I122" s="25">
        <v>1</v>
      </c>
      <c r="J122" s="24"/>
      <c r="K122" s="24"/>
      <c r="L122" s="24"/>
      <c r="M122" s="26" t="str">
        <f t="shared" si="37"/>
        <v/>
      </c>
      <c r="N122" s="27">
        <f t="shared" si="38"/>
        <v>0</v>
      </c>
      <c r="T122">
        <f t="shared" si="25"/>
        <v>129</v>
      </c>
      <c r="U122">
        <f t="shared" si="39"/>
        <v>26053</v>
      </c>
      <c r="V122">
        <f t="shared" ca="1" si="40"/>
        <v>56</v>
      </c>
      <c r="W122">
        <v>26</v>
      </c>
      <c r="X122" t="str">
        <f t="shared" ca="1" si="41"/>
        <v>JE</v>
      </c>
      <c r="Y122" t="s">
        <v>32</v>
      </c>
      <c r="Z122">
        <f t="shared" ca="1" si="42"/>
        <v>2.5</v>
      </c>
      <c r="AA122" t="str">
        <f t="shared" ca="1" si="43"/>
        <v>PAINT</v>
      </c>
      <c r="AB122">
        <f t="shared" ca="1" si="44"/>
        <v>1</v>
      </c>
      <c r="AC122">
        <f t="shared" ca="1" si="45"/>
        <v>132.5</v>
      </c>
      <c r="AD122" t="str">
        <f t="shared" si="26"/>
        <v>4093RN153</v>
      </c>
      <c r="AE122" t="str">
        <f t="shared" ca="1" si="46"/>
        <v>PWHITE</v>
      </c>
      <c r="AF122" t="str">
        <f t="shared" ca="1" si="47"/>
        <v/>
      </c>
      <c r="AG122">
        <v>26</v>
      </c>
      <c r="AH122" t="s">
        <v>136</v>
      </c>
      <c r="AI122" t="str">
        <f t="shared" si="27"/>
        <v>Lutheran Home 25</v>
      </c>
      <c r="AJ122" t="str">
        <f t="shared" si="28"/>
        <v>Green Bay</v>
      </c>
      <c r="AK122" t="str">
        <f t="shared" si="29"/>
        <v>WI</v>
      </c>
      <c r="AL122">
        <f t="shared" si="30"/>
        <v>4091142613</v>
      </c>
      <c r="AM122" t="str">
        <f t="shared" si="31"/>
        <v>4093RN153</v>
      </c>
      <c r="AN122" t="str">
        <f t="shared" si="32"/>
        <v/>
      </c>
      <c r="AO122" t="str">
        <f t="shared" si="33"/>
        <v>Pella</v>
      </c>
      <c r="AP122">
        <f t="shared" si="34"/>
        <v>54201</v>
      </c>
      <c r="AQ122">
        <f t="shared" ca="1" si="48"/>
        <v>0</v>
      </c>
      <c r="AR122" s="1">
        <f t="shared" si="35"/>
        <v>46135</v>
      </c>
      <c r="CB122" s="1"/>
    </row>
    <row r="123" spans="1:80" x14ac:dyDescent="0.25">
      <c r="A123" s="23"/>
      <c r="B123" s="23"/>
      <c r="C123" s="23"/>
      <c r="D123" s="24"/>
      <c r="E123" s="24"/>
      <c r="F123" s="25">
        <f t="shared" si="36"/>
        <v>0</v>
      </c>
      <c r="G123" s="24"/>
      <c r="H123" s="24"/>
      <c r="I123" s="25">
        <v>1</v>
      </c>
      <c r="J123" s="24"/>
      <c r="K123" s="24"/>
      <c r="L123" s="24"/>
      <c r="M123" s="26" t="str">
        <f t="shared" si="37"/>
        <v/>
      </c>
      <c r="N123" s="27">
        <f t="shared" si="38"/>
        <v>0</v>
      </c>
      <c r="T123">
        <f t="shared" si="25"/>
        <v>129</v>
      </c>
      <c r="U123">
        <f t="shared" si="39"/>
        <v>26053</v>
      </c>
      <c r="V123">
        <f t="shared" ca="1" si="40"/>
        <v>60</v>
      </c>
      <c r="W123">
        <v>27</v>
      </c>
      <c r="X123" t="str">
        <f t="shared" ca="1" si="41"/>
        <v>JE</v>
      </c>
      <c r="Y123" t="s">
        <v>9</v>
      </c>
      <c r="Z123">
        <f t="shared" ca="1" si="42"/>
        <v>2.5</v>
      </c>
      <c r="AA123" t="str">
        <f t="shared" ca="1" si="43"/>
        <v>PAINT</v>
      </c>
      <c r="AB123">
        <f t="shared" ca="1" si="44"/>
        <v>1</v>
      </c>
      <c r="AC123">
        <f t="shared" ca="1" si="45"/>
        <v>65.625</v>
      </c>
      <c r="AD123" t="str">
        <f t="shared" si="26"/>
        <v>4093RN153</v>
      </c>
      <c r="AE123" t="str">
        <f t="shared" ca="1" si="46"/>
        <v>PWHITE</v>
      </c>
      <c r="AF123" t="str">
        <f t="shared" ca="1" si="47"/>
        <v/>
      </c>
      <c r="AG123">
        <v>27</v>
      </c>
      <c r="AH123" t="s">
        <v>136</v>
      </c>
      <c r="AI123" t="str">
        <f t="shared" si="27"/>
        <v>Lutheran Home 25</v>
      </c>
      <c r="AJ123" t="str">
        <f t="shared" si="28"/>
        <v>Green Bay</v>
      </c>
      <c r="AK123" t="str">
        <f t="shared" si="29"/>
        <v>WI</v>
      </c>
      <c r="AL123">
        <f t="shared" si="30"/>
        <v>4091142613</v>
      </c>
      <c r="AM123" t="str">
        <f t="shared" si="31"/>
        <v>4093RN153</v>
      </c>
      <c r="AN123" t="str">
        <f t="shared" si="32"/>
        <v/>
      </c>
      <c r="AO123" t="str">
        <f t="shared" si="33"/>
        <v>Pella</v>
      </c>
      <c r="AP123">
        <f t="shared" si="34"/>
        <v>54201</v>
      </c>
      <c r="AQ123">
        <f t="shared" ca="1" si="48"/>
        <v>0</v>
      </c>
      <c r="AR123" s="1">
        <f t="shared" si="35"/>
        <v>46135</v>
      </c>
      <c r="CB123" s="1"/>
    </row>
    <row r="124" spans="1:80" x14ac:dyDescent="0.25">
      <c r="A124" s="23"/>
      <c r="B124" s="23"/>
      <c r="C124" s="23"/>
      <c r="D124" s="24"/>
      <c r="E124" s="24"/>
      <c r="F124" s="25">
        <f t="shared" si="36"/>
        <v>0</v>
      </c>
      <c r="G124" s="24"/>
      <c r="H124" s="24"/>
      <c r="I124" s="25">
        <v>1</v>
      </c>
      <c r="J124" s="24"/>
      <c r="K124" s="24"/>
      <c r="L124" s="24"/>
      <c r="M124" s="26" t="str">
        <f t="shared" si="37"/>
        <v/>
      </c>
      <c r="N124" s="27">
        <f t="shared" si="38"/>
        <v>0</v>
      </c>
      <c r="T124">
        <f t="shared" si="25"/>
        <v>129</v>
      </c>
      <c r="U124">
        <f t="shared" si="39"/>
        <v>26053</v>
      </c>
      <c r="V124">
        <f t="shared" ca="1" si="40"/>
        <v>60</v>
      </c>
      <c r="W124">
        <v>27</v>
      </c>
      <c r="X124" t="str">
        <f t="shared" ca="1" si="41"/>
        <v>JE</v>
      </c>
      <c r="Y124" t="s">
        <v>33</v>
      </c>
      <c r="Z124">
        <f t="shared" ca="1" si="42"/>
        <v>2.5</v>
      </c>
      <c r="AA124" t="str">
        <f t="shared" ca="1" si="43"/>
        <v>PAINT</v>
      </c>
      <c r="AB124">
        <f t="shared" ca="1" si="44"/>
        <v>1</v>
      </c>
      <c r="AC124">
        <f t="shared" ca="1" si="45"/>
        <v>65.625</v>
      </c>
      <c r="AD124" t="str">
        <f t="shared" si="26"/>
        <v>4093RN153</v>
      </c>
      <c r="AE124" t="str">
        <f t="shared" ca="1" si="46"/>
        <v>PWHITE</v>
      </c>
      <c r="AF124" t="str">
        <f t="shared" ca="1" si="47"/>
        <v/>
      </c>
      <c r="AG124">
        <v>27</v>
      </c>
      <c r="AH124" t="s">
        <v>136</v>
      </c>
      <c r="AI124" t="str">
        <f t="shared" si="27"/>
        <v>Lutheran Home 25</v>
      </c>
      <c r="AJ124" t="str">
        <f t="shared" si="28"/>
        <v>Green Bay</v>
      </c>
      <c r="AK124" t="str">
        <f t="shared" si="29"/>
        <v>WI</v>
      </c>
      <c r="AL124">
        <f t="shared" si="30"/>
        <v>4091142613</v>
      </c>
      <c r="AM124" t="str">
        <f t="shared" si="31"/>
        <v>4093RN153</v>
      </c>
      <c r="AN124" t="str">
        <f t="shared" si="32"/>
        <v/>
      </c>
      <c r="AO124" t="str">
        <f t="shared" si="33"/>
        <v>Pella</v>
      </c>
      <c r="AP124">
        <f t="shared" si="34"/>
        <v>54201</v>
      </c>
      <c r="AQ124">
        <f t="shared" ca="1" si="48"/>
        <v>0</v>
      </c>
      <c r="AR124" s="1">
        <f t="shared" si="35"/>
        <v>46135</v>
      </c>
      <c r="CB124" s="1"/>
    </row>
    <row r="125" spans="1:80" x14ac:dyDescent="0.25">
      <c r="A125" s="23"/>
      <c r="B125" s="23"/>
      <c r="C125" s="23"/>
      <c r="D125" s="24"/>
      <c r="E125" s="24"/>
      <c r="F125" s="25">
        <f t="shared" si="36"/>
        <v>0</v>
      </c>
      <c r="G125" s="24"/>
      <c r="H125" s="24"/>
      <c r="I125" s="25">
        <v>1</v>
      </c>
      <c r="J125" s="24"/>
      <c r="K125" s="24"/>
      <c r="L125" s="24"/>
      <c r="M125" s="26" t="str">
        <f t="shared" si="37"/>
        <v/>
      </c>
      <c r="N125" s="27">
        <f t="shared" si="38"/>
        <v>0</v>
      </c>
      <c r="T125">
        <f t="shared" si="25"/>
        <v>129</v>
      </c>
      <c r="U125">
        <f t="shared" si="39"/>
        <v>26053</v>
      </c>
      <c r="V125">
        <f t="shared" ca="1" si="40"/>
        <v>60</v>
      </c>
      <c r="W125">
        <v>27</v>
      </c>
      <c r="X125" t="str">
        <f t="shared" ca="1" si="41"/>
        <v>JE</v>
      </c>
      <c r="Y125" t="s">
        <v>28</v>
      </c>
      <c r="Z125">
        <f t="shared" ca="1" si="42"/>
        <v>2.5</v>
      </c>
      <c r="AA125" t="str">
        <f t="shared" ca="1" si="43"/>
        <v>PAINT</v>
      </c>
      <c r="AB125">
        <f t="shared" ca="1" si="44"/>
        <v>1</v>
      </c>
      <c r="AC125">
        <f t="shared" ca="1" si="45"/>
        <v>168</v>
      </c>
      <c r="AD125" t="str">
        <f t="shared" si="26"/>
        <v>4093RN153</v>
      </c>
      <c r="AE125" t="str">
        <f t="shared" ca="1" si="46"/>
        <v>PWHITE</v>
      </c>
      <c r="AF125" t="str">
        <f t="shared" ca="1" si="47"/>
        <v/>
      </c>
      <c r="AG125">
        <v>27</v>
      </c>
      <c r="AH125" t="s">
        <v>136</v>
      </c>
      <c r="AI125" t="str">
        <f t="shared" si="27"/>
        <v>Lutheran Home 25</v>
      </c>
      <c r="AJ125" t="str">
        <f t="shared" si="28"/>
        <v>Green Bay</v>
      </c>
      <c r="AK125" t="str">
        <f t="shared" si="29"/>
        <v>WI</v>
      </c>
      <c r="AL125">
        <f t="shared" si="30"/>
        <v>4091142613</v>
      </c>
      <c r="AM125" t="str">
        <f t="shared" si="31"/>
        <v>4093RN153</v>
      </c>
      <c r="AN125" t="str">
        <f t="shared" si="32"/>
        <v/>
      </c>
      <c r="AO125" t="str">
        <f t="shared" si="33"/>
        <v>Pella</v>
      </c>
      <c r="AP125">
        <f t="shared" si="34"/>
        <v>54201</v>
      </c>
      <c r="AQ125">
        <f t="shared" ca="1" si="48"/>
        <v>0</v>
      </c>
      <c r="AR125" s="1">
        <f t="shared" si="35"/>
        <v>46135</v>
      </c>
      <c r="CB125" s="1"/>
    </row>
    <row r="126" spans="1:80" x14ac:dyDescent="0.25">
      <c r="A126" s="23"/>
      <c r="B126" s="23"/>
      <c r="C126" s="23"/>
      <c r="D126" s="24"/>
      <c r="E126" s="24"/>
      <c r="F126" s="25">
        <f t="shared" si="36"/>
        <v>0</v>
      </c>
      <c r="G126" s="24"/>
      <c r="H126" s="24"/>
      <c r="I126" s="25">
        <v>1</v>
      </c>
      <c r="J126" s="24"/>
      <c r="K126" s="24"/>
      <c r="L126" s="24"/>
      <c r="M126" s="26" t="str">
        <f t="shared" si="37"/>
        <v/>
      </c>
      <c r="N126" s="27">
        <f t="shared" si="38"/>
        <v>0</v>
      </c>
      <c r="T126">
        <f t="shared" si="25"/>
        <v>129</v>
      </c>
      <c r="U126">
        <f t="shared" si="39"/>
        <v>26053</v>
      </c>
      <c r="V126">
        <f t="shared" ca="1" si="40"/>
        <v>60</v>
      </c>
      <c r="W126">
        <v>27</v>
      </c>
      <c r="X126" t="str">
        <f t="shared" ca="1" si="41"/>
        <v>JE</v>
      </c>
      <c r="Y126" t="s">
        <v>32</v>
      </c>
      <c r="Z126">
        <f t="shared" ca="1" si="42"/>
        <v>2.5</v>
      </c>
      <c r="AA126" t="str">
        <f t="shared" ca="1" si="43"/>
        <v>PAINT</v>
      </c>
      <c r="AB126">
        <f t="shared" ca="1" si="44"/>
        <v>1</v>
      </c>
      <c r="AC126">
        <f t="shared" ca="1" si="45"/>
        <v>168</v>
      </c>
      <c r="AD126" t="str">
        <f t="shared" si="26"/>
        <v>4093RN153</v>
      </c>
      <c r="AE126" t="str">
        <f t="shared" ca="1" si="46"/>
        <v>PWHITE</v>
      </c>
      <c r="AF126" t="str">
        <f t="shared" ca="1" si="47"/>
        <v/>
      </c>
      <c r="AG126">
        <v>27</v>
      </c>
      <c r="AH126" t="s">
        <v>136</v>
      </c>
      <c r="AI126" t="str">
        <f t="shared" si="27"/>
        <v>Lutheran Home 25</v>
      </c>
      <c r="AJ126" t="str">
        <f t="shared" si="28"/>
        <v>Green Bay</v>
      </c>
      <c r="AK126" t="str">
        <f t="shared" si="29"/>
        <v>WI</v>
      </c>
      <c r="AL126">
        <f t="shared" si="30"/>
        <v>4091142613</v>
      </c>
      <c r="AM126" t="str">
        <f t="shared" si="31"/>
        <v>4093RN153</v>
      </c>
      <c r="AN126" t="str">
        <f t="shared" si="32"/>
        <v/>
      </c>
      <c r="AO126" t="str">
        <f t="shared" si="33"/>
        <v>Pella</v>
      </c>
      <c r="AP126">
        <f t="shared" si="34"/>
        <v>54201</v>
      </c>
      <c r="AQ126">
        <f t="shared" ca="1" si="48"/>
        <v>0</v>
      </c>
      <c r="AR126" s="1">
        <f t="shared" si="35"/>
        <v>46135</v>
      </c>
      <c r="CB126" s="1"/>
    </row>
    <row r="127" spans="1:80" x14ac:dyDescent="0.25">
      <c r="A127" s="23"/>
      <c r="B127" s="23"/>
      <c r="C127" s="23"/>
      <c r="D127" s="24"/>
      <c r="E127" s="24"/>
      <c r="F127" s="25">
        <f t="shared" si="36"/>
        <v>0</v>
      </c>
      <c r="G127" s="24"/>
      <c r="H127" s="24"/>
      <c r="I127" s="25">
        <v>1</v>
      </c>
      <c r="J127" s="24"/>
      <c r="K127" s="24"/>
      <c r="L127" s="24"/>
      <c r="M127" s="26" t="str">
        <f t="shared" si="37"/>
        <v/>
      </c>
      <c r="N127" s="27">
        <f t="shared" si="38"/>
        <v>0</v>
      </c>
      <c r="T127">
        <f t="shared" si="25"/>
        <v>129</v>
      </c>
      <c r="U127">
        <f t="shared" si="39"/>
        <v>26053</v>
      </c>
      <c r="V127">
        <f t="shared" ca="1" si="40"/>
        <v>60</v>
      </c>
      <c r="W127">
        <v>28</v>
      </c>
      <c r="X127" t="str">
        <f t="shared" ca="1" si="41"/>
        <v>JE</v>
      </c>
      <c r="Y127" t="s">
        <v>9</v>
      </c>
      <c r="Z127">
        <f t="shared" ca="1" si="42"/>
        <v>2.5</v>
      </c>
      <c r="AA127" t="str">
        <f t="shared" ca="1" si="43"/>
        <v>PAINT</v>
      </c>
      <c r="AB127">
        <f t="shared" ca="1" si="44"/>
        <v>1</v>
      </c>
      <c r="AC127">
        <f t="shared" ca="1" si="45"/>
        <v>65.625</v>
      </c>
      <c r="AD127" t="str">
        <f t="shared" si="26"/>
        <v>4093RN153</v>
      </c>
      <c r="AE127" t="str">
        <f t="shared" ca="1" si="46"/>
        <v>PWHITE</v>
      </c>
      <c r="AF127" t="str">
        <f t="shared" ca="1" si="47"/>
        <v/>
      </c>
      <c r="AG127">
        <v>28</v>
      </c>
      <c r="AH127" t="s">
        <v>136</v>
      </c>
      <c r="AI127" t="str">
        <f t="shared" si="27"/>
        <v>Lutheran Home 25</v>
      </c>
      <c r="AJ127" t="str">
        <f t="shared" si="28"/>
        <v>Green Bay</v>
      </c>
      <c r="AK127" t="str">
        <f t="shared" si="29"/>
        <v>WI</v>
      </c>
      <c r="AL127">
        <f t="shared" si="30"/>
        <v>4091142613</v>
      </c>
      <c r="AM127" t="str">
        <f t="shared" si="31"/>
        <v>4093RN153</v>
      </c>
      <c r="AN127" t="str">
        <f t="shared" si="32"/>
        <v/>
      </c>
      <c r="AO127" t="str">
        <f t="shared" si="33"/>
        <v>Pella</v>
      </c>
      <c r="AP127">
        <f t="shared" si="34"/>
        <v>54201</v>
      </c>
      <c r="AQ127">
        <f t="shared" ca="1" si="48"/>
        <v>0</v>
      </c>
      <c r="AR127" s="1">
        <f t="shared" si="35"/>
        <v>46135</v>
      </c>
      <c r="CB127" s="1"/>
    </row>
    <row r="128" spans="1:80" x14ac:dyDescent="0.25">
      <c r="A128" s="23"/>
      <c r="B128" s="23"/>
      <c r="C128" s="23"/>
      <c r="D128" s="24"/>
      <c r="E128" s="24"/>
      <c r="F128" s="25">
        <f t="shared" si="36"/>
        <v>0</v>
      </c>
      <c r="G128" s="24"/>
      <c r="H128" s="24"/>
      <c r="I128" s="25">
        <v>1</v>
      </c>
      <c r="J128" s="24"/>
      <c r="K128" s="24"/>
      <c r="L128" s="24"/>
      <c r="M128" s="26" t="str">
        <f t="shared" si="37"/>
        <v/>
      </c>
      <c r="N128" s="27">
        <f t="shared" si="38"/>
        <v>0</v>
      </c>
      <c r="T128">
        <f t="shared" si="25"/>
        <v>129</v>
      </c>
      <c r="U128">
        <f t="shared" si="39"/>
        <v>26053</v>
      </c>
      <c r="V128">
        <f t="shared" ca="1" si="40"/>
        <v>60</v>
      </c>
      <c r="W128">
        <v>28</v>
      </c>
      <c r="X128" t="str">
        <f t="shared" ca="1" si="41"/>
        <v>JE</v>
      </c>
      <c r="Y128" t="s">
        <v>33</v>
      </c>
      <c r="Z128">
        <f t="shared" ca="1" si="42"/>
        <v>2.5</v>
      </c>
      <c r="AA128" t="str">
        <f t="shared" ca="1" si="43"/>
        <v>PAINT</v>
      </c>
      <c r="AB128">
        <f t="shared" ca="1" si="44"/>
        <v>1</v>
      </c>
      <c r="AC128">
        <f t="shared" ca="1" si="45"/>
        <v>65.625</v>
      </c>
      <c r="AD128" t="str">
        <f t="shared" si="26"/>
        <v>4093RN153</v>
      </c>
      <c r="AE128" t="str">
        <f t="shared" ca="1" si="46"/>
        <v>PWHITE</v>
      </c>
      <c r="AF128" t="str">
        <f t="shared" ca="1" si="47"/>
        <v/>
      </c>
      <c r="AG128">
        <v>28</v>
      </c>
      <c r="AH128" t="s">
        <v>136</v>
      </c>
      <c r="AI128" t="str">
        <f t="shared" si="27"/>
        <v>Lutheran Home 25</v>
      </c>
      <c r="AJ128" t="str">
        <f t="shared" si="28"/>
        <v>Green Bay</v>
      </c>
      <c r="AK128" t="str">
        <f t="shared" si="29"/>
        <v>WI</v>
      </c>
      <c r="AL128">
        <f t="shared" si="30"/>
        <v>4091142613</v>
      </c>
      <c r="AM128" t="str">
        <f t="shared" si="31"/>
        <v>4093RN153</v>
      </c>
      <c r="AN128" t="str">
        <f t="shared" si="32"/>
        <v/>
      </c>
      <c r="AO128" t="str">
        <f t="shared" si="33"/>
        <v>Pella</v>
      </c>
      <c r="AP128">
        <f t="shared" si="34"/>
        <v>54201</v>
      </c>
      <c r="AQ128">
        <f t="shared" ca="1" si="48"/>
        <v>0</v>
      </c>
      <c r="AR128" s="1">
        <f t="shared" si="35"/>
        <v>46135</v>
      </c>
      <c r="CB128" s="1"/>
    </row>
    <row r="129" spans="1:80" x14ac:dyDescent="0.25">
      <c r="A129" s="23"/>
      <c r="B129" s="23"/>
      <c r="C129" s="23"/>
      <c r="D129" s="24"/>
      <c r="E129" s="24"/>
      <c r="F129" s="25">
        <f t="shared" si="36"/>
        <v>0</v>
      </c>
      <c r="G129" s="24"/>
      <c r="H129" s="24"/>
      <c r="I129" s="25">
        <v>1</v>
      </c>
      <c r="J129" s="24"/>
      <c r="K129" s="24"/>
      <c r="L129" s="24"/>
      <c r="M129" s="26" t="str">
        <f t="shared" si="37"/>
        <v/>
      </c>
      <c r="N129" s="27">
        <f t="shared" si="38"/>
        <v>0</v>
      </c>
      <c r="T129">
        <f t="shared" si="25"/>
        <v>129</v>
      </c>
      <c r="U129">
        <f t="shared" si="39"/>
        <v>26053</v>
      </c>
      <c r="V129">
        <f t="shared" ca="1" si="40"/>
        <v>60</v>
      </c>
      <c r="W129">
        <v>28</v>
      </c>
      <c r="X129" t="str">
        <f t="shared" ca="1" si="41"/>
        <v>JE</v>
      </c>
      <c r="Y129" t="s">
        <v>28</v>
      </c>
      <c r="Z129">
        <f t="shared" ca="1" si="42"/>
        <v>2.5</v>
      </c>
      <c r="AA129" t="str">
        <f t="shared" ca="1" si="43"/>
        <v>PAINT</v>
      </c>
      <c r="AB129">
        <f t="shared" ca="1" si="44"/>
        <v>1</v>
      </c>
      <c r="AC129">
        <f t="shared" ca="1" si="45"/>
        <v>168</v>
      </c>
      <c r="AD129" t="str">
        <f t="shared" si="26"/>
        <v>4093RN153</v>
      </c>
      <c r="AE129" t="str">
        <f t="shared" ca="1" si="46"/>
        <v>PWHITE</v>
      </c>
      <c r="AF129" t="str">
        <f t="shared" ca="1" si="47"/>
        <v/>
      </c>
      <c r="AG129">
        <v>28</v>
      </c>
      <c r="AH129" t="s">
        <v>136</v>
      </c>
      <c r="AI129" t="str">
        <f t="shared" si="27"/>
        <v>Lutheran Home 25</v>
      </c>
      <c r="AJ129" t="str">
        <f t="shared" si="28"/>
        <v>Green Bay</v>
      </c>
      <c r="AK129" t="str">
        <f t="shared" si="29"/>
        <v>WI</v>
      </c>
      <c r="AL129">
        <f t="shared" si="30"/>
        <v>4091142613</v>
      </c>
      <c r="AM129" t="str">
        <f t="shared" si="31"/>
        <v>4093RN153</v>
      </c>
      <c r="AN129" t="str">
        <f t="shared" si="32"/>
        <v/>
      </c>
      <c r="AO129" t="str">
        <f t="shared" si="33"/>
        <v>Pella</v>
      </c>
      <c r="AP129">
        <f t="shared" si="34"/>
        <v>54201</v>
      </c>
      <c r="AQ129">
        <f t="shared" ca="1" si="48"/>
        <v>0</v>
      </c>
      <c r="AR129" s="1">
        <f t="shared" si="35"/>
        <v>46135</v>
      </c>
      <c r="CB129" s="1"/>
    </row>
    <row r="130" spans="1:80" x14ac:dyDescent="0.25">
      <c r="A130" s="23"/>
      <c r="B130" s="23"/>
      <c r="C130" s="23"/>
      <c r="D130" s="24"/>
      <c r="E130" s="24"/>
      <c r="F130" s="25">
        <f t="shared" si="36"/>
        <v>0</v>
      </c>
      <c r="G130" s="24"/>
      <c r="H130" s="24"/>
      <c r="I130" s="25">
        <v>1</v>
      </c>
      <c r="J130" s="24"/>
      <c r="K130" s="24"/>
      <c r="L130" s="24"/>
      <c r="M130" s="26" t="str">
        <f t="shared" si="37"/>
        <v/>
      </c>
      <c r="N130" s="27">
        <f t="shared" si="38"/>
        <v>0</v>
      </c>
      <c r="T130">
        <f t="shared" si="25"/>
        <v>129</v>
      </c>
      <c r="U130">
        <f t="shared" si="39"/>
        <v>26053</v>
      </c>
      <c r="V130">
        <f t="shared" ca="1" si="40"/>
        <v>60</v>
      </c>
      <c r="W130">
        <v>28</v>
      </c>
      <c r="X130" t="str">
        <f t="shared" ca="1" si="41"/>
        <v>JE</v>
      </c>
      <c r="Y130" t="s">
        <v>32</v>
      </c>
      <c r="Z130">
        <f t="shared" ca="1" si="42"/>
        <v>2.5</v>
      </c>
      <c r="AA130" t="str">
        <f t="shared" ca="1" si="43"/>
        <v>PAINT</v>
      </c>
      <c r="AB130">
        <f t="shared" ca="1" si="44"/>
        <v>1</v>
      </c>
      <c r="AC130">
        <f t="shared" ca="1" si="45"/>
        <v>168</v>
      </c>
      <c r="AD130" t="str">
        <f t="shared" si="26"/>
        <v>4093RN153</v>
      </c>
      <c r="AE130" t="str">
        <f t="shared" ca="1" si="46"/>
        <v>PWHITE</v>
      </c>
      <c r="AF130" t="str">
        <f t="shared" ca="1" si="47"/>
        <v/>
      </c>
      <c r="AG130">
        <v>28</v>
      </c>
      <c r="AH130" t="s">
        <v>136</v>
      </c>
      <c r="AI130" t="str">
        <f t="shared" si="27"/>
        <v>Lutheran Home 25</v>
      </c>
      <c r="AJ130" t="str">
        <f t="shared" si="28"/>
        <v>Green Bay</v>
      </c>
      <c r="AK130" t="str">
        <f t="shared" si="29"/>
        <v>WI</v>
      </c>
      <c r="AL130">
        <f t="shared" si="30"/>
        <v>4091142613</v>
      </c>
      <c r="AM130" t="str">
        <f t="shared" si="31"/>
        <v>4093RN153</v>
      </c>
      <c r="AN130" t="str">
        <f t="shared" si="32"/>
        <v/>
      </c>
      <c r="AO130" t="str">
        <f t="shared" si="33"/>
        <v>Pella</v>
      </c>
      <c r="AP130">
        <f t="shared" si="34"/>
        <v>54201</v>
      </c>
      <c r="AQ130">
        <f t="shared" ca="1" si="48"/>
        <v>0</v>
      </c>
      <c r="AR130" s="1">
        <f t="shared" si="35"/>
        <v>46135</v>
      </c>
      <c r="CB130" s="1"/>
    </row>
    <row r="131" spans="1:80" x14ac:dyDescent="0.25">
      <c r="A131" s="23"/>
      <c r="B131" s="23"/>
      <c r="C131" s="23"/>
      <c r="D131" s="24"/>
      <c r="E131" s="24"/>
      <c r="F131" s="25">
        <f t="shared" si="36"/>
        <v>0</v>
      </c>
      <c r="G131" s="24"/>
      <c r="H131" s="24"/>
      <c r="I131" s="25">
        <v>1</v>
      </c>
      <c r="J131" s="24"/>
      <c r="K131" s="24"/>
      <c r="L131" s="24"/>
      <c r="M131" s="26" t="str">
        <f t="shared" si="37"/>
        <v/>
      </c>
      <c r="N131" s="27">
        <f t="shared" si="38"/>
        <v>0</v>
      </c>
      <c r="T131">
        <f t="shared" si="25"/>
        <v>129</v>
      </c>
      <c r="U131">
        <f t="shared" si="39"/>
        <v>26053</v>
      </c>
      <c r="V131">
        <f t="shared" ca="1" si="40"/>
        <v>60</v>
      </c>
      <c r="W131">
        <v>29</v>
      </c>
      <c r="X131" t="str">
        <f t="shared" ca="1" si="41"/>
        <v>JE</v>
      </c>
      <c r="Y131" t="s">
        <v>9</v>
      </c>
      <c r="Z131">
        <f t="shared" ca="1" si="42"/>
        <v>2.5</v>
      </c>
      <c r="AA131" t="str">
        <f t="shared" ca="1" si="43"/>
        <v>PAINT</v>
      </c>
      <c r="AB131">
        <f t="shared" ca="1" si="44"/>
        <v>1</v>
      </c>
      <c r="AC131">
        <f t="shared" ca="1" si="45"/>
        <v>65.625</v>
      </c>
      <c r="AD131" t="str">
        <f t="shared" si="26"/>
        <v>4093RN153</v>
      </c>
      <c r="AE131" t="str">
        <f t="shared" ca="1" si="46"/>
        <v>PWHITE</v>
      </c>
      <c r="AF131" t="str">
        <f t="shared" ca="1" si="47"/>
        <v/>
      </c>
      <c r="AG131">
        <v>29</v>
      </c>
      <c r="AH131" t="s">
        <v>136</v>
      </c>
      <c r="AI131" t="str">
        <f t="shared" si="27"/>
        <v>Lutheran Home 25</v>
      </c>
      <c r="AJ131" t="str">
        <f t="shared" si="28"/>
        <v>Green Bay</v>
      </c>
      <c r="AK131" t="str">
        <f t="shared" si="29"/>
        <v>WI</v>
      </c>
      <c r="AL131">
        <f t="shared" si="30"/>
        <v>4091142613</v>
      </c>
      <c r="AM131" t="str">
        <f t="shared" si="31"/>
        <v>4093RN153</v>
      </c>
      <c r="AN131" t="str">
        <f t="shared" si="32"/>
        <v/>
      </c>
      <c r="AO131" t="str">
        <f t="shared" si="33"/>
        <v>Pella</v>
      </c>
      <c r="AP131">
        <f t="shared" si="34"/>
        <v>54201</v>
      </c>
      <c r="AQ131">
        <f t="shared" ca="1" si="48"/>
        <v>0</v>
      </c>
      <c r="AR131" s="1">
        <f t="shared" si="35"/>
        <v>46135</v>
      </c>
      <c r="CB131" s="1"/>
    </row>
    <row r="132" spans="1:80" x14ac:dyDescent="0.25">
      <c r="A132" s="23"/>
      <c r="B132" s="23"/>
      <c r="C132" s="23"/>
      <c r="D132" s="24"/>
      <c r="E132" s="24"/>
      <c r="F132" s="25">
        <f t="shared" si="36"/>
        <v>0</v>
      </c>
      <c r="G132" s="24"/>
      <c r="H132" s="24"/>
      <c r="I132" s="25">
        <v>1</v>
      </c>
      <c r="J132" s="24"/>
      <c r="K132" s="24"/>
      <c r="L132" s="24"/>
      <c r="M132" s="26" t="str">
        <f t="shared" si="37"/>
        <v/>
      </c>
      <c r="N132" s="27">
        <f t="shared" si="38"/>
        <v>0</v>
      </c>
      <c r="T132">
        <f t="shared" si="25"/>
        <v>129</v>
      </c>
      <c r="U132">
        <f t="shared" si="39"/>
        <v>26053</v>
      </c>
      <c r="V132">
        <f t="shared" ca="1" si="40"/>
        <v>60</v>
      </c>
      <c r="W132">
        <v>29</v>
      </c>
      <c r="X132" t="str">
        <f t="shared" ca="1" si="41"/>
        <v>JE</v>
      </c>
      <c r="Y132" t="s">
        <v>33</v>
      </c>
      <c r="Z132">
        <f t="shared" ca="1" si="42"/>
        <v>2.5</v>
      </c>
      <c r="AA132" t="str">
        <f t="shared" ca="1" si="43"/>
        <v>PAINT</v>
      </c>
      <c r="AB132">
        <f t="shared" ca="1" si="44"/>
        <v>1</v>
      </c>
      <c r="AC132">
        <f t="shared" ca="1" si="45"/>
        <v>65.625</v>
      </c>
      <c r="AD132" t="str">
        <f t="shared" si="26"/>
        <v>4093RN153</v>
      </c>
      <c r="AE132" t="str">
        <f t="shared" ca="1" si="46"/>
        <v>PWHITE</v>
      </c>
      <c r="AF132" t="str">
        <f t="shared" ca="1" si="47"/>
        <v/>
      </c>
      <c r="AG132">
        <v>29</v>
      </c>
      <c r="AH132" t="s">
        <v>136</v>
      </c>
      <c r="AI132" t="str">
        <f t="shared" si="27"/>
        <v>Lutheran Home 25</v>
      </c>
      <c r="AJ132" t="str">
        <f t="shared" si="28"/>
        <v>Green Bay</v>
      </c>
      <c r="AK132" t="str">
        <f t="shared" si="29"/>
        <v>WI</v>
      </c>
      <c r="AL132">
        <f t="shared" si="30"/>
        <v>4091142613</v>
      </c>
      <c r="AM132" t="str">
        <f t="shared" si="31"/>
        <v>4093RN153</v>
      </c>
      <c r="AN132" t="str">
        <f t="shared" si="32"/>
        <v/>
      </c>
      <c r="AO132" t="str">
        <f t="shared" si="33"/>
        <v>Pella</v>
      </c>
      <c r="AP132">
        <f t="shared" si="34"/>
        <v>54201</v>
      </c>
      <c r="AQ132">
        <f t="shared" ca="1" si="48"/>
        <v>0</v>
      </c>
      <c r="AR132" s="1">
        <f t="shared" si="35"/>
        <v>46135</v>
      </c>
      <c r="CB132" s="1"/>
    </row>
    <row r="133" spans="1:80" x14ac:dyDescent="0.25">
      <c r="A133" s="23"/>
      <c r="B133" s="23"/>
      <c r="C133" s="23"/>
      <c r="D133" s="24"/>
      <c r="E133" s="24"/>
      <c r="F133" s="25">
        <f t="shared" si="36"/>
        <v>0</v>
      </c>
      <c r="G133" s="24"/>
      <c r="H133" s="24"/>
      <c r="I133" s="25">
        <v>1</v>
      </c>
      <c r="J133" s="24"/>
      <c r="K133" s="24"/>
      <c r="L133" s="24"/>
      <c r="M133" s="26" t="str">
        <f t="shared" si="37"/>
        <v/>
      </c>
      <c r="N133" s="27">
        <f t="shared" si="38"/>
        <v>0</v>
      </c>
      <c r="T133">
        <f t="shared" si="25"/>
        <v>129</v>
      </c>
      <c r="U133">
        <f t="shared" si="39"/>
        <v>26053</v>
      </c>
      <c r="V133">
        <f t="shared" ca="1" si="40"/>
        <v>60</v>
      </c>
      <c r="W133">
        <v>29</v>
      </c>
      <c r="X133" t="str">
        <f t="shared" ca="1" si="41"/>
        <v>JE</v>
      </c>
      <c r="Y133" t="s">
        <v>28</v>
      </c>
      <c r="Z133">
        <f t="shared" ca="1" si="42"/>
        <v>2.5</v>
      </c>
      <c r="AA133" t="str">
        <f t="shared" ca="1" si="43"/>
        <v>PAINT</v>
      </c>
      <c r="AB133">
        <f t="shared" ca="1" si="44"/>
        <v>1</v>
      </c>
      <c r="AC133">
        <f t="shared" ca="1" si="45"/>
        <v>168</v>
      </c>
      <c r="AD133" t="str">
        <f t="shared" si="26"/>
        <v>4093RN153</v>
      </c>
      <c r="AE133" t="str">
        <f t="shared" ca="1" si="46"/>
        <v>PWHITE</v>
      </c>
      <c r="AF133" t="str">
        <f t="shared" ca="1" si="47"/>
        <v/>
      </c>
      <c r="AG133">
        <v>29</v>
      </c>
      <c r="AH133" t="s">
        <v>136</v>
      </c>
      <c r="AI133" t="str">
        <f t="shared" si="27"/>
        <v>Lutheran Home 25</v>
      </c>
      <c r="AJ133" t="str">
        <f t="shared" si="28"/>
        <v>Green Bay</v>
      </c>
      <c r="AK133" t="str">
        <f t="shared" si="29"/>
        <v>WI</v>
      </c>
      <c r="AL133">
        <f t="shared" si="30"/>
        <v>4091142613</v>
      </c>
      <c r="AM133" t="str">
        <f t="shared" si="31"/>
        <v>4093RN153</v>
      </c>
      <c r="AN133" t="str">
        <f t="shared" si="32"/>
        <v/>
      </c>
      <c r="AO133" t="str">
        <f t="shared" si="33"/>
        <v>Pella</v>
      </c>
      <c r="AP133">
        <f t="shared" si="34"/>
        <v>54201</v>
      </c>
      <c r="AQ133">
        <f t="shared" ca="1" si="48"/>
        <v>0</v>
      </c>
      <c r="AR133" s="1">
        <f t="shared" si="35"/>
        <v>46135</v>
      </c>
      <c r="CB133" s="1"/>
    </row>
    <row r="134" spans="1:80" x14ac:dyDescent="0.25">
      <c r="A134" s="23"/>
      <c r="B134" s="23"/>
      <c r="C134" s="23"/>
      <c r="D134" s="24"/>
      <c r="E134" s="24"/>
      <c r="F134" s="25">
        <f t="shared" si="36"/>
        <v>0</v>
      </c>
      <c r="G134" s="24"/>
      <c r="H134" s="24"/>
      <c r="I134" s="25">
        <v>1</v>
      </c>
      <c r="J134" s="24"/>
      <c r="K134" s="24"/>
      <c r="L134" s="24"/>
      <c r="M134" s="26" t="str">
        <f t="shared" si="37"/>
        <v/>
      </c>
      <c r="N134" s="27">
        <f t="shared" si="38"/>
        <v>0</v>
      </c>
      <c r="T134">
        <f t="shared" si="25"/>
        <v>129</v>
      </c>
      <c r="U134">
        <f t="shared" si="39"/>
        <v>26053</v>
      </c>
      <c r="V134">
        <f t="shared" ca="1" si="40"/>
        <v>60</v>
      </c>
      <c r="W134">
        <v>29</v>
      </c>
      <c r="X134" t="str">
        <f t="shared" ca="1" si="41"/>
        <v>JE</v>
      </c>
      <c r="Y134" t="s">
        <v>32</v>
      </c>
      <c r="Z134">
        <f t="shared" ca="1" si="42"/>
        <v>2.5</v>
      </c>
      <c r="AA134" t="str">
        <f t="shared" ca="1" si="43"/>
        <v>PAINT</v>
      </c>
      <c r="AB134">
        <f t="shared" ca="1" si="44"/>
        <v>1</v>
      </c>
      <c r="AC134">
        <f t="shared" ca="1" si="45"/>
        <v>168</v>
      </c>
      <c r="AD134" t="str">
        <f t="shared" si="26"/>
        <v>4093RN153</v>
      </c>
      <c r="AE134" t="str">
        <f t="shared" ca="1" si="46"/>
        <v>PWHITE</v>
      </c>
      <c r="AF134" t="str">
        <f t="shared" ca="1" si="47"/>
        <v/>
      </c>
      <c r="AG134">
        <v>29</v>
      </c>
      <c r="AH134" t="s">
        <v>136</v>
      </c>
      <c r="AI134" t="str">
        <f t="shared" si="27"/>
        <v>Lutheran Home 25</v>
      </c>
      <c r="AJ134" t="str">
        <f t="shared" si="28"/>
        <v>Green Bay</v>
      </c>
      <c r="AK134" t="str">
        <f t="shared" si="29"/>
        <v>WI</v>
      </c>
      <c r="AL134">
        <f t="shared" si="30"/>
        <v>4091142613</v>
      </c>
      <c r="AM134" t="str">
        <f t="shared" si="31"/>
        <v>4093RN153</v>
      </c>
      <c r="AN134" t="str">
        <f t="shared" si="32"/>
        <v/>
      </c>
      <c r="AO134" t="str">
        <f t="shared" si="33"/>
        <v>Pella</v>
      </c>
      <c r="AP134">
        <f t="shared" si="34"/>
        <v>54201</v>
      </c>
      <c r="AQ134">
        <f t="shared" ca="1" si="48"/>
        <v>0</v>
      </c>
      <c r="AR134" s="1">
        <f t="shared" si="35"/>
        <v>46135</v>
      </c>
      <c r="CB134" s="1"/>
    </row>
    <row r="135" spans="1:80" x14ac:dyDescent="0.25">
      <c r="A135" s="23"/>
      <c r="B135" s="23"/>
      <c r="C135" s="23"/>
      <c r="D135" s="24"/>
      <c r="E135" s="24"/>
      <c r="F135" s="25">
        <f t="shared" si="36"/>
        <v>0</v>
      </c>
      <c r="G135" s="24"/>
      <c r="H135" s="24"/>
      <c r="I135" s="25">
        <v>1</v>
      </c>
      <c r="J135" s="24"/>
      <c r="K135" s="24"/>
      <c r="L135" s="24"/>
      <c r="M135" s="26" t="str">
        <f t="shared" si="37"/>
        <v/>
      </c>
      <c r="N135" s="27">
        <f t="shared" si="38"/>
        <v>0</v>
      </c>
      <c r="T135">
        <f t="shared" si="25"/>
        <v>129</v>
      </c>
      <c r="U135">
        <f t="shared" si="39"/>
        <v>26053</v>
      </c>
      <c r="V135">
        <f t="shared" ca="1" si="40"/>
        <v>61</v>
      </c>
      <c r="W135">
        <v>30</v>
      </c>
      <c r="X135" t="str">
        <f t="shared" ca="1" si="41"/>
        <v>JE</v>
      </c>
      <c r="Y135" t="s">
        <v>9</v>
      </c>
      <c r="Z135">
        <f t="shared" ca="1" si="42"/>
        <v>2.5</v>
      </c>
      <c r="AA135" t="str">
        <f t="shared" ca="1" si="43"/>
        <v>PAINT</v>
      </c>
      <c r="AB135">
        <f t="shared" ca="1" si="44"/>
        <v>1</v>
      </c>
      <c r="AC135">
        <f t="shared" ca="1" si="45"/>
        <v>65.625</v>
      </c>
      <c r="AD135" t="str">
        <f t="shared" si="26"/>
        <v>4093RN153</v>
      </c>
      <c r="AE135" t="str">
        <f t="shared" ca="1" si="46"/>
        <v>PWHITE</v>
      </c>
      <c r="AF135" t="str">
        <f t="shared" ca="1" si="47"/>
        <v/>
      </c>
      <c r="AG135">
        <v>30</v>
      </c>
      <c r="AH135" t="s">
        <v>136</v>
      </c>
      <c r="AI135" t="str">
        <f t="shared" si="27"/>
        <v>Lutheran Home 25</v>
      </c>
      <c r="AJ135" t="str">
        <f t="shared" si="28"/>
        <v>Green Bay</v>
      </c>
      <c r="AK135" t="str">
        <f t="shared" si="29"/>
        <v>WI</v>
      </c>
      <c r="AL135">
        <f t="shared" si="30"/>
        <v>4091142613</v>
      </c>
      <c r="AM135" t="str">
        <f t="shared" si="31"/>
        <v>4093RN153</v>
      </c>
      <c r="AN135" t="str">
        <f t="shared" si="32"/>
        <v/>
      </c>
      <c r="AO135" t="str">
        <f t="shared" si="33"/>
        <v>Pella</v>
      </c>
      <c r="AP135">
        <f t="shared" si="34"/>
        <v>54201</v>
      </c>
      <c r="AQ135">
        <f t="shared" ca="1" si="48"/>
        <v>0</v>
      </c>
      <c r="AR135" s="1">
        <f t="shared" si="35"/>
        <v>46135</v>
      </c>
      <c r="CB135" s="1"/>
    </row>
    <row r="136" spans="1:80" x14ac:dyDescent="0.25">
      <c r="A136" s="23"/>
      <c r="B136" s="23"/>
      <c r="C136" s="23"/>
      <c r="D136" s="24"/>
      <c r="E136" s="24"/>
      <c r="F136" s="25">
        <f t="shared" si="36"/>
        <v>0</v>
      </c>
      <c r="G136" s="24"/>
      <c r="H136" s="24"/>
      <c r="I136" s="25">
        <v>1</v>
      </c>
      <c r="J136" s="24"/>
      <c r="K136" s="24"/>
      <c r="L136" s="24"/>
      <c r="M136" s="26" t="str">
        <f t="shared" si="37"/>
        <v/>
      </c>
      <c r="N136" s="27">
        <f t="shared" si="38"/>
        <v>0</v>
      </c>
      <c r="T136">
        <f t="shared" si="25"/>
        <v>129</v>
      </c>
      <c r="U136">
        <f t="shared" si="39"/>
        <v>26053</v>
      </c>
      <c r="V136">
        <f t="shared" ca="1" si="40"/>
        <v>61</v>
      </c>
      <c r="W136">
        <v>30</v>
      </c>
      <c r="X136" t="str">
        <f t="shared" ca="1" si="41"/>
        <v>JE</v>
      </c>
      <c r="Y136" t="s">
        <v>33</v>
      </c>
      <c r="Z136">
        <f t="shared" ca="1" si="42"/>
        <v>2.5</v>
      </c>
      <c r="AA136" t="str">
        <f t="shared" ca="1" si="43"/>
        <v>PAINT</v>
      </c>
      <c r="AB136">
        <f t="shared" ca="1" si="44"/>
        <v>1</v>
      </c>
      <c r="AC136">
        <f t="shared" ca="1" si="45"/>
        <v>65.625</v>
      </c>
      <c r="AD136" t="str">
        <f t="shared" si="26"/>
        <v>4093RN153</v>
      </c>
      <c r="AE136" t="str">
        <f t="shared" ca="1" si="46"/>
        <v>PWHITE</v>
      </c>
      <c r="AF136" t="str">
        <f t="shared" ca="1" si="47"/>
        <v/>
      </c>
      <c r="AG136">
        <v>30</v>
      </c>
      <c r="AH136" t="s">
        <v>136</v>
      </c>
      <c r="AI136" t="str">
        <f t="shared" si="27"/>
        <v>Lutheran Home 25</v>
      </c>
      <c r="AJ136" t="str">
        <f t="shared" si="28"/>
        <v>Green Bay</v>
      </c>
      <c r="AK136" t="str">
        <f t="shared" si="29"/>
        <v>WI</v>
      </c>
      <c r="AL136">
        <f t="shared" si="30"/>
        <v>4091142613</v>
      </c>
      <c r="AM136" t="str">
        <f t="shared" si="31"/>
        <v>4093RN153</v>
      </c>
      <c r="AN136" t="str">
        <f t="shared" si="32"/>
        <v/>
      </c>
      <c r="AO136" t="str">
        <f t="shared" si="33"/>
        <v>Pella</v>
      </c>
      <c r="AP136">
        <f t="shared" si="34"/>
        <v>54201</v>
      </c>
      <c r="AQ136">
        <f t="shared" ca="1" si="48"/>
        <v>0</v>
      </c>
      <c r="AR136" s="1">
        <f t="shared" si="35"/>
        <v>46135</v>
      </c>
      <c r="CB136" s="1"/>
    </row>
    <row r="137" spans="1:80" x14ac:dyDescent="0.25">
      <c r="A137" s="23"/>
      <c r="B137" s="23"/>
      <c r="C137" s="23"/>
      <c r="D137" s="24"/>
      <c r="E137" s="24"/>
      <c r="F137" s="25">
        <f t="shared" si="36"/>
        <v>0</v>
      </c>
      <c r="G137" s="24"/>
      <c r="H137" s="24"/>
      <c r="I137" s="25">
        <v>1</v>
      </c>
      <c r="J137" s="24"/>
      <c r="K137" s="24"/>
      <c r="L137" s="24"/>
      <c r="M137" s="26" t="str">
        <f t="shared" si="37"/>
        <v/>
      </c>
      <c r="N137" s="27">
        <f t="shared" si="38"/>
        <v>0</v>
      </c>
      <c r="T137">
        <f t="shared" si="25"/>
        <v>129</v>
      </c>
      <c r="U137">
        <f t="shared" si="39"/>
        <v>26053</v>
      </c>
      <c r="V137">
        <f t="shared" ca="1" si="40"/>
        <v>61</v>
      </c>
      <c r="W137">
        <v>30</v>
      </c>
      <c r="X137" t="str">
        <f t="shared" ca="1" si="41"/>
        <v>JE</v>
      </c>
      <c r="Y137" t="s">
        <v>28</v>
      </c>
      <c r="Z137">
        <f t="shared" ca="1" si="42"/>
        <v>2.5</v>
      </c>
      <c r="AA137" t="str">
        <f t="shared" ca="1" si="43"/>
        <v>PAINT</v>
      </c>
      <c r="AB137">
        <f t="shared" ca="1" si="44"/>
        <v>1</v>
      </c>
      <c r="AC137">
        <f t="shared" ca="1" si="45"/>
        <v>168</v>
      </c>
      <c r="AD137" t="str">
        <f t="shared" si="26"/>
        <v>4093RN153</v>
      </c>
      <c r="AE137" t="str">
        <f t="shared" ca="1" si="46"/>
        <v>PWHITE</v>
      </c>
      <c r="AF137" t="str">
        <f t="shared" ca="1" si="47"/>
        <v/>
      </c>
      <c r="AG137">
        <v>30</v>
      </c>
      <c r="AH137" t="s">
        <v>136</v>
      </c>
      <c r="AI137" t="str">
        <f t="shared" si="27"/>
        <v>Lutheran Home 25</v>
      </c>
      <c r="AJ137" t="str">
        <f t="shared" si="28"/>
        <v>Green Bay</v>
      </c>
      <c r="AK137" t="str">
        <f t="shared" si="29"/>
        <v>WI</v>
      </c>
      <c r="AL137">
        <f t="shared" si="30"/>
        <v>4091142613</v>
      </c>
      <c r="AM137" t="str">
        <f t="shared" si="31"/>
        <v>4093RN153</v>
      </c>
      <c r="AN137" t="str">
        <f t="shared" si="32"/>
        <v/>
      </c>
      <c r="AO137" t="str">
        <f t="shared" si="33"/>
        <v>Pella</v>
      </c>
      <c r="AP137">
        <f t="shared" si="34"/>
        <v>54201</v>
      </c>
      <c r="AQ137">
        <f t="shared" ca="1" si="48"/>
        <v>0</v>
      </c>
      <c r="AR137" s="1">
        <f t="shared" si="35"/>
        <v>46135</v>
      </c>
      <c r="CB137" s="1"/>
    </row>
    <row r="138" spans="1:80" x14ac:dyDescent="0.25">
      <c r="A138" s="23"/>
      <c r="B138" s="23"/>
      <c r="C138" s="23"/>
      <c r="D138" s="24"/>
      <c r="E138" s="24"/>
      <c r="F138" s="25">
        <f t="shared" si="36"/>
        <v>0</v>
      </c>
      <c r="G138" s="24"/>
      <c r="H138" s="24"/>
      <c r="I138" s="25">
        <v>1</v>
      </c>
      <c r="J138" s="24"/>
      <c r="K138" s="24"/>
      <c r="L138" s="24"/>
      <c r="M138" s="26" t="str">
        <f t="shared" si="37"/>
        <v/>
      </c>
      <c r="N138" s="27">
        <f t="shared" si="38"/>
        <v>0</v>
      </c>
      <c r="T138">
        <f t="shared" si="25"/>
        <v>129</v>
      </c>
      <c r="U138">
        <f t="shared" si="39"/>
        <v>26053</v>
      </c>
      <c r="V138">
        <f t="shared" ca="1" si="40"/>
        <v>61</v>
      </c>
      <c r="W138">
        <v>30</v>
      </c>
      <c r="X138" t="str">
        <f t="shared" ca="1" si="41"/>
        <v>JE</v>
      </c>
      <c r="Y138" t="s">
        <v>32</v>
      </c>
      <c r="Z138">
        <f t="shared" ca="1" si="42"/>
        <v>2.5</v>
      </c>
      <c r="AA138" t="str">
        <f t="shared" ca="1" si="43"/>
        <v>PAINT</v>
      </c>
      <c r="AB138">
        <f t="shared" ca="1" si="44"/>
        <v>1</v>
      </c>
      <c r="AC138">
        <f t="shared" ca="1" si="45"/>
        <v>168</v>
      </c>
      <c r="AD138" t="str">
        <f t="shared" si="26"/>
        <v>4093RN153</v>
      </c>
      <c r="AE138" t="str">
        <f t="shared" ca="1" si="46"/>
        <v>PWHITE</v>
      </c>
      <c r="AF138" t="str">
        <f t="shared" ca="1" si="47"/>
        <v/>
      </c>
      <c r="AG138">
        <v>30</v>
      </c>
      <c r="AH138" t="s">
        <v>136</v>
      </c>
      <c r="AI138" t="str">
        <f t="shared" si="27"/>
        <v>Lutheran Home 25</v>
      </c>
      <c r="AJ138" t="str">
        <f t="shared" si="28"/>
        <v>Green Bay</v>
      </c>
      <c r="AK138" t="str">
        <f t="shared" si="29"/>
        <v>WI</v>
      </c>
      <c r="AL138">
        <f t="shared" si="30"/>
        <v>4091142613</v>
      </c>
      <c r="AM138" t="str">
        <f t="shared" si="31"/>
        <v>4093RN153</v>
      </c>
      <c r="AN138" t="str">
        <f t="shared" si="32"/>
        <v/>
      </c>
      <c r="AO138" t="str">
        <f t="shared" si="33"/>
        <v>Pella</v>
      </c>
      <c r="AP138">
        <f t="shared" si="34"/>
        <v>54201</v>
      </c>
      <c r="AQ138">
        <f t="shared" ca="1" si="48"/>
        <v>0</v>
      </c>
      <c r="AR138" s="1">
        <f t="shared" si="35"/>
        <v>46135</v>
      </c>
      <c r="CB138" s="1"/>
    </row>
    <row r="139" spans="1:80" x14ac:dyDescent="0.25">
      <c r="A139" s="23"/>
      <c r="B139" s="23"/>
      <c r="C139" s="23"/>
      <c r="D139" s="24"/>
      <c r="E139" s="24"/>
      <c r="F139" s="25">
        <f t="shared" si="36"/>
        <v>0</v>
      </c>
      <c r="G139" s="24"/>
      <c r="H139" s="24"/>
      <c r="I139" s="25">
        <v>1</v>
      </c>
      <c r="J139" s="24"/>
      <c r="K139" s="24"/>
      <c r="L139" s="24"/>
      <c r="M139" s="26" t="str">
        <f t="shared" si="37"/>
        <v/>
      </c>
      <c r="N139" s="27">
        <f t="shared" si="38"/>
        <v>0</v>
      </c>
      <c r="T139">
        <f t="shared" si="25"/>
        <v>129</v>
      </c>
      <c r="U139">
        <f t="shared" si="39"/>
        <v>26053</v>
      </c>
      <c r="V139">
        <f t="shared" ca="1" si="40"/>
        <v>61</v>
      </c>
      <c r="W139">
        <v>31</v>
      </c>
      <c r="X139" t="str">
        <f t="shared" ca="1" si="41"/>
        <v>JE</v>
      </c>
      <c r="Y139" t="s">
        <v>9</v>
      </c>
      <c r="Z139">
        <f t="shared" ca="1" si="42"/>
        <v>2.5</v>
      </c>
      <c r="AA139" t="str">
        <f t="shared" ca="1" si="43"/>
        <v>PAINT</v>
      </c>
      <c r="AB139">
        <f t="shared" ca="1" si="44"/>
        <v>1</v>
      </c>
      <c r="AC139">
        <f t="shared" ca="1" si="45"/>
        <v>65.625</v>
      </c>
      <c r="AD139" t="str">
        <f t="shared" si="26"/>
        <v>4093RN153</v>
      </c>
      <c r="AE139" t="str">
        <f t="shared" ca="1" si="46"/>
        <v>PWHITE</v>
      </c>
      <c r="AF139" t="str">
        <f t="shared" ca="1" si="47"/>
        <v/>
      </c>
      <c r="AG139">
        <v>31</v>
      </c>
      <c r="AH139" t="s">
        <v>136</v>
      </c>
      <c r="AI139" t="str">
        <f t="shared" si="27"/>
        <v>Lutheran Home 25</v>
      </c>
      <c r="AJ139" t="str">
        <f t="shared" si="28"/>
        <v>Green Bay</v>
      </c>
      <c r="AK139" t="str">
        <f t="shared" si="29"/>
        <v>WI</v>
      </c>
      <c r="AL139">
        <f t="shared" si="30"/>
        <v>4091142613</v>
      </c>
      <c r="AM139" t="str">
        <f t="shared" si="31"/>
        <v>4093RN153</v>
      </c>
      <c r="AN139" t="str">
        <f t="shared" si="32"/>
        <v/>
      </c>
      <c r="AO139" t="str">
        <f t="shared" si="33"/>
        <v>Pella</v>
      </c>
      <c r="AP139">
        <f t="shared" si="34"/>
        <v>54201</v>
      </c>
      <c r="AQ139">
        <f t="shared" ca="1" si="48"/>
        <v>0</v>
      </c>
      <c r="AR139" s="1">
        <f t="shared" si="35"/>
        <v>46135</v>
      </c>
      <c r="CB139" s="1"/>
    </row>
    <row r="140" spans="1:80" x14ac:dyDescent="0.25">
      <c r="A140" s="23"/>
      <c r="B140" s="23"/>
      <c r="C140" s="23"/>
      <c r="D140" s="24"/>
      <c r="E140" s="24"/>
      <c r="F140" s="25">
        <f t="shared" si="36"/>
        <v>0</v>
      </c>
      <c r="G140" s="24"/>
      <c r="H140" s="24"/>
      <c r="I140" s="25">
        <v>1</v>
      </c>
      <c r="J140" s="24"/>
      <c r="K140" s="24"/>
      <c r="L140" s="24"/>
      <c r="M140" s="26" t="str">
        <f t="shared" si="37"/>
        <v/>
      </c>
      <c r="N140" s="27">
        <f t="shared" si="38"/>
        <v>0</v>
      </c>
      <c r="T140">
        <f t="shared" si="25"/>
        <v>129</v>
      </c>
      <c r="U140">
        <f t="shared" si="39"/>
        <v>26053</v>
      </c>
      <c r="V140">
        <f t="shared" ca="1" si="40"/>
        <v>61</v>
      </c>
      <c r="W140">
        <v>31</v>
      </c>
      <c r="X140" t="str">
        <f t="shared" ca="1" si="41"/>
        <v>JE</v>
      </c>
      <c r="Y140" t="s">
        <v>33</v>
      </c>
      <c r="Z140">
        <f t="shared" ca="1" si="42"/>
        <v>2.5</v>
      </c>
      <c r="AA140" t="str">
        <f t="shared" ca="1" si="43"/>
        <v>PAINT</v>
      </c>
      <c r="AB140">
        <f t="shared" ca="1" si="44"/>
        <v>1</v>
      </c>
      <c r="AC140">
        <f t="shared" ca="1" si="45"/>
        <v>65.625</v>
      </c>
      <c r="AD140" t="str">
        <f t="shared" si="26"/>
        <v>4093RN153</v>
      </c>
      <c r="AE140" t="str">
        <f t="shared" ca="1" si="46"/>
        <v>PWHITE</v>
      </c>
      <c r="AF140" t="str">
        <f t="shared" ca="1" si="47"/>
        <v/>
      </c>
      <c r="AG140">
        <v>31</v>
      </c>
      <c r="AH140" t="s">
        <v>136</v>
      </c>
      <c r="AI140" t="str">
        <f t="shared" si="27"/>
        <v>Lutheran Home 25</v>
      </c>
      <c r="AJ140" t="str">
        <f t="shared" si="28"/>
        <v>Green Bay</v>
      </c>
      <c r="AK140" t="str">
        <f t="shared" si="29"/>
        <v>WI</v>
      </c>
      <c r="AL140">
        <f t="shared" si="30"/>
        <v>4091142613</v>
      </c>
      <c r="AM140" t="str">
        <f t="shared" si="31"/>
        <v>4093RN153</v>
      </c>
      <c r="AN140" t="str">
        <f t="shared" si="32"/>
        <v/>
      </c>
      <c r="AO140" t="str">
        <f t="shared" si="33"/>
        <v>Pella</v>
      </c>
      <c r="AP140">
        <f t="shared" si="34"/>
        <v>54201</v>
      </c>
      <c r="AQ140">
        <f t="shared" ca="1" si="48"/>
        <v>0</v>
      </c>
      <c r="AR140" s="1">
        <f t="shared" si="35"/>
        <v>46135</v>
      </c>
      <c r="CB140" s="1"/>
    </row>
    <row r="141" spans="1:80" x14ac:dyDescent="0.25">
      <c r="A141" s="23"/>
      <c r="B141" s="23"/>
      <c r="C141" s="23"/>
      <c r="D141" s="24"/>
      <c r="E141" s="24"/>
      <c r="F141" s="25">
        <f t="shared" si="36"/>
        <v>0</v>
      </c>
      <c r="G141" s="24"/>
      <c r="H141" s="24"/>
      <c r="I141" s="25">
        <v>1</v>
      </c>
      <c r="J141" s="24"/>
      <c r="K141" s="24"/>
      <c r="L141" s="24"/>
      <c r="M141" s="26" t="str">
        <f t="shared" si="37"/>
        <v/>
      </c>
      <c r="N141" s="27">
        <f t="shared" si="38"/>
        <v>0</v>
      </c>
      <c r="T141">
        <f t="shared" si="25"/>
        <v>129</v>
      </c>
      <c r="U141">
        <f t="shared" si="39"/>
        <v>26053</v>
      </c>
      <c r="V141">
        <f t="shared" ca="1" si="40"/>
        <v>61</v>
      </c>
      <c r="W141">
        <v>31</v>
      </c>
      <c r="X141" t="str">
        <f t="shared" ca="1" si="41"/>
        <v>JE</v>
      </c>
      <c r="Y141" t="s">
        <v>28</v>
      </c>
      <c r="Z141">
        <f t="shared" ca="1" si="42"/>
        <v>2.5</v>
      </c>
      <c r="AA141" t="str">
        <f t="shared" ca="1" si="43"/>
        <v>PAINT</v>
      </c>
      <c r="AB141">
        <f t="shared" ca="1" si="44"/>
        <v>1</v>
      </c>
      <c r="AC141">
        <f t="shared" ca="1" si="45"/>
        <v>168</v>
      </c>
      <c r="AD141" t="str">
        <f t="shared" si="26"/>
        <v>4093RN153</v>
      </c>
      <c r="AE141" t="str">
        <f t="shared" ca="1" si="46"/>
        <v>PWHITE</v>
      </c>
      <c r="AF141" t="str">
        <f t="shared" ca="1" si="47"/>
        <v/>
      </c>
      <c r="AG141">
        <v>31</v>
      </c>
      <c r="AH141" t="s">
        <v>136</v>
      </c>
      <c r="AI141" t="str">
        <f t="shared" si="27"/>
        <v>Lutheran Home 25</v>
      </c>
      <c r="AJ141" t="str">
        <f t="shared" si="28"/>
        <v>Green Bay</v>
      </c>
      <c r="AK141" t="str">
        <f t="shared" si="29"/>
        <v>WI</v>
      </c>
      <c r="AL141">
        <f t="shared" si="30"/>
        <v>4091142613</v>
      </c>
      <c r="AM141" t="str">
        <f t="shared" si="31"/>
        <v>4093RN153</v>
      </c>
      <c r="AN141" t="str">
        <f t="shared" si="32"/>
        <v/>
      </c>
      <c r="AO141" t="str">
        <f t="shared" si="33"/>
        <v>Pella</v>
      </c>
      <c r="AP141">
        <f t="shared" si="34"/>
        <v>54201</v>
      </c>
      <c r="AQ141">
        <f t="shared" ca="1" si="48"/>
        <v>0</v>
      </c>
      <c r="AR141" s="1">
        <f t="shared" si="35"/>
        <v>46135</v>
      </c>
      <c r="CB141" s="1"/>
    </row>
    <row r="142" spans="1:80" x14ac:dyDescent="0.25">
      <c r="A142" s="23"/>
      <c r="B142" s="23"/>
      <c r="C142" s="23"/>
      <c r="D142" s="24"/>
      <c r="E142" s="24"/>
      <c r="F142" s="25">
        <f t="shared" si="36"/>
        <v>0</v>
      </c>
      <c r="G142" s="24"/>
      <c r="H142" s="24"/>
      <c r="I142" s="25">
        <v>1</v>
      </c>
      <c r="J142" s="24"/>
      <c r="K142" s="24"/>
      <c r="L142" s="24"/>
      <c r="M142" s="26" t="str">
        <f t="shared" si="37"/>
        <v/>
      </c>
      <c r="N142" s="27">
        <f t="shared" si="38"/>
        <v>0</v>
      </c>
      <c r="T142">
        <f t="shared" si="25"/>
        <v>129</v>
      </c>
      <c r="U142">
        <f t="shared" si="39"/>
        <v>26053</v>
      </c>
      <c r="V142">
        <f t="shared" ca="1" si="40"/>
        <v>61</v>
      </c>
      <c r="W142">
        <v>31</v>
      </c>
      <c r="X142" t="str">
        <f t="shared" ca="1" si="41"/>
        <v>JE</v>
      </c>
      <c r="Y142" t="s">
        <v>32</v>
      </c>
      <c r="Z142">
        <f t="shared" ca="1" si="42"/>
        <v>2.5</v>
      </c>
      <c r="AA142" t="str">
        <f t="shared" ca="1" si="43"/>
        <v>PAINT</v>
      </c>
      <c r="AB142">
        <f t="shared" ca="1" si="44"/>
        <v>1</v>
      </c>
      <c r="AC142">
        <f t="shared" ca="1" si="45"/>
        <v>168</v>
      </c>
      <c r="AD142" t="str">
        <f t="shared" si="26"/>
        <v>4093RN153</v>
      </c>
      <c r="AE142" t="str">
        <f t="shared" ca="1" si="46"/>
        <v>PWHITE</v>
      </c>
      <c r="AF142" t="str">
        <f t="shared" ca="1" si="47"/>
        <v/>
      </c>
      <c r="AG142">
        <v>31</v>
      </c>
      <c r="AH142" t="s">
        <v>136</v>
      </c>
      <c r="AI142" t="str">
        <f t="shared" si="27"/>
        <v>Lutheran Home 25</v>
      </c>
      <c r="AJ142" t="str">
        <f t="shared" si="28"/>
        <v>Green Bay</v>
      </c>
      <c r="AK142" t="str">
        <f t="shared" si="29"/>
        <v>WI</v>
      </c>
      <c r="AL142">
        <f t="shared" si="30"/>
        <v>4091142613</v>
      </c>
      <c r="AM142" t="str">
        <f t="shared" si="31"/>
        <v>4093RN153</v>
      </c>
      <c r="AN142" t="str">
        <f t="shared" si="32"/>
        <v/>
      </c>
      <c r="AO142" t="str">
        <f t="shared" si="33"/>
        <v>Pella</v>
      </c>
      <c r="AP142">
        <f t="shared" si="34"/>
        <v>54201</v>
      </c>
      <c r="AQ142">
        <f t="shared" ca="1" si="48"/>
        <v>0</v>
      </c>
      <c r="AR142" s="1">
        <f t="shared" si="35"/>
        <v>46135</v>
      </c>
      <c r="CB142" s="1"/>
    </row>
    <row r="143" spans="1:80" x14ac:dyDescent="0.25">
      <c r="A143" s="23"/>
      <c r="B143" s="23"/>
      <c r="C143" s="23"/>
      <c r="D143" s="24"/>
      <c r="E143" s="24"/>
      <c r="F143" s="25">
        <f t="shared" si="36"/>
        <v>0</v>
      </c>
      <c r="G143" s="24"/>
      <c r="H143" s="24"/>
      <c r="I143" s="25">
        <v>1</v>
      </c>
      <c r="J143" s="24"/>
      <c r="K143" s="24"/>
      <c r="L143" s="24"/>
      <c r="M143" s="26" t="str">
        <f t="shared" si="37"/>
        <v/>
      </c>
      <c r="N143" s="27">
        <f t="shared" si="38"/>
        <v>0</v>
      </c>
      <c r="T143">
        <f t="shared" si="25"/>
        <v>129</v>
      </c>
      <c r="U143">
        <f t="shared" si="39"/>
        <v>26053</v>
      </c>
      <c r="V143">
        <f t="shared" ca="1" si="40"/>
        <v>61</v>
      </c>
      <c r="W143">
        <v>32</v>
      </c>
      <c r="X143" t="str">
        <f t="shared" ca="1" si="41"/>
        <v>JE</v>
      </c>
      <c r="Y143" t="s">
        <v>9</v>
      </c>
      <c r="Z143">
        <f t="shared" ca="1" si="42"/>
        <v>2.5</v>
      </c>
      <c r="AA143" t="str">
        <f t="shared" ca="1" si="43"/>
        <v>PAINT</v>
      </c>
      <c r="AB143">
        <f t="shared" ca="1" si="44"/>
        <v>1</v>
      </c>
      <c r="AC143">
        <f t="shared" ca="1" si="45"/>
        <v>65.625</v>
      </c>
      <c r="AD143" t="str">
        <f t="shared" si="26"/>
        <v>4093RN153</v>
      </c>
      <c r="AE143" t="str">
        <f t="shared" ca="1" si="46"/>
        <v>PWHITE</v>
      </c>
      <c r="AF143" t="str">
        <f t="shared" ca="1" si="47"/>
        <v/>
      </c>
      <c r="AG143">
        <v>32</v>
      </c>
      <c r="AH143" t="s">
        <v>136</v>
      </c>
      <c r="AI143" t="str">
        <f t="shared" si="27"/>
        <v>Lutheran Home 25</v>
      </c>
      <c r="AJ143" t="str">
        <f t="shared" si="28"/>
        <v>Green Bay</v>
      </c>
      <c r="AK143" t="str">
        <f t="shared" si="29"/>
        <v>WI</v>
      </c>
      <c r="AL143">
        <f t="shared" si="30"/>
        <v>4091142613</v>
      </c>
      <c r="AM143" t="str">
        <f t="shared" si="31"/>
        <v>4093RN153</v>
      </c>
      <c r="AN143" t="str">
        <f t="shared" si="32"/>
        <v/>
      </c>
      <c r="AO143" t="str">
        <f t="shared" si="33"/>
        <v>Pella</v>
      </c>
      <c r="AP143">
        <f t="shared" si="34"/>
        <v>54201</v>
      </c>
      <c r="AQ143">
        <f t="shared" ca="1" si="48"/>
        <v>0</v>
      </c>
      <c r="AR143" s="1">
        <f t="shared" si="35"/>
        <v>46135</v>
      </c>
      <c r="CB143" s="1"/>
    </row>
    <row r="144" spans="1:80" x14ac:dyDescent="0.25">
      <c r="A144" s="23"/>
      <c r="B144" s="23"/>
      <c r="C144" s="23"/>
      <c r="D144" s="24"/>
      <c r="E144" s="24"/>
      <c r="F144" s="25">
        <f t="shared" si="36"/>
        <v>0</v>
      </c>
      <c r="G144" s="24"/>
      <c r="H144" s="24"/>
      <c r="I144" s="25">
        <v>1</v>
      </c>
      <c r="J144" s="24"/>
      <c r="K144" s="24"/>
      <c r="L144" s="24"/>
      <c r="M144" s="26" t="str">
        <f t="shared" si="37"/>
        <v/>
      </c>
      <c r="N144" s="27">
        <f t="shared" si="38"/>
        <v>0</v>
      </c>
      <c r="T144">
        <f t="shared" si="25"/>
        <v>129</v>
      </c>
      <c r="U144">
        <f t="shared" si="39"/>
        <v>26053</v>
      </c>
      <c r="V144">
        <f t="shared" ca="1" si="40"/>
        <v>61</v>
      </c>
      <c r="W144">
        <v>32</v>
      </c>
      <c r="X144" t="str">
        <f t="shared" ca="1" si="41"/>
        <v>JE</v>
      </c>
      <c r="Y144" t="s">
        <v>33</v>
      </c>
      <c r="Z144">
        <f t="shared" ca="1" si="42"/>
        <v>2.5</v>
      </c>
      <c r="AA144" t="str">
        <f t="shared" ca="1" si="43"/>
        <v>PAINT</v>
      </c>
      <c r="AB144">
        <f t="shared" ca="1" si="44"/>
        <v>1</v>
      </c>
      <c r="AC144">
        <f t="shared" ca="1" si="45"/>
        <v>65.625</v>
      </c>
      <c r="AD144" t="str">
        <f t="shared" si="26"/>
        <v>4093RN153</v>
      </c>
      <c r="AE144" t="str">
        <f t="shared" ca="1" si="46"/>
        <v>PWHITE</v>
      </c>
      <c r="AF144" t="str">
        <f t="shared" ca="1" si="47"/>
        <v/>
      </c>
      <c r="AG144">
        <v>32</v>
      </c>
      <c r="AH144" t="s">
        <v>136</v>
      </c>
      <c r="AI144" t="str">
        <f t="shared" si="27"/>
        <v>Lutheran Home 25</v>
      </c>
      <c r="AJ144" t="str">
        <f t="shared" si="28"/>
        <v>Green Bay</v>
      </c>
      <c r="AK144" t="str">
        <f t="shared" si="29"/>
        <v>WI</v>
      </c>
      <c r="AL144">
        <f t="shared" si="30"/>
        <v>4091142613</v>
      </c>
      <c r="AM144" t="str">
        <f t="shared" si="31"/>
        <v>4093RN153</v>
      </c>
      <c r="AN144" t="str">
        <f t="shared" si="32"/>
        <v/>
      </c>
      <c r="AO144" t="str">
        <f t="shared" si="33"/>
        <v>Pella</v>
      </c>
      <c r="AP144">
        <f t="shared" si="34"/>
        <v>54201</v>
      </c>
      <c r="AQ144">
        <f t="shared" ca="1" si="48"/>
        <v>0</v>
      </c>
      <c r="AR144" s="1">
        <f t="shared" si="35"/>
        <v>46135</v>
      </c>
      <c r="CB144" s="1"/>
    </row>
    <row r="145" spans="1:80" x14ac:dyDescent="0.25">
      <c r="A145" s="23"/>
      <c r="B145" s="23"/>
      <c r="C145" s="23"/>
      <c r="D145" s="24"/>
      <c r="E145" s="24"/>
      <c r="F145" s="25">
        <f t="shared" si="36"/>
        <v>0</v>
      </c>
      <c r="G145" s="24"/>
      <c r="H145" s="24"/>
      <c r="I145" s="25">
        <v>1</v>
      </c>
      <c r="J145" s="24"/>
      <c r="K145" s="24"/>
      <c r="L145" s="24"/>
      <c r="M145" s="26" t="str">
        <f t="shared" si="37"/>
        <v/>
      </c>
      <c r="N145" s="27">
        <f t="shared" si="38"/>
        <v>0</v>
      </c>
      <c r="T145">
        <f t="shared" si="25"/>
        <v>129</v>
      </c>
      <c r="U145">
        <f t="shared" si="39"/>
        <v>26053</v>
      </c>
      <c r="V145">
        <f t="shared" ca="1" si="40"/>
        <v>61</v>
      </c>
      <c r="W145">
        <v>32</v>
      </c>
      <c r="X145" t="str">
        <f t="shared" ca="1" si="41"/>
        <v>JE</v>
      </c>
      <c r="Y145" t="s">
        <v>28</v>
      </c>
      <c r="Z145">
        <f t="shared" ca="1" si="42"/>
        <v>2.5</v>
      </c>
      <c r="AA145" t="str">
        <f t="shared" ca="1" si="43"/>
        <v>PAINT</v>
      </c>
      <c r="AB145">
        <f t="shared" ca="1" si="44"/>
        <v>1</v>
      </c>
      <c r="AC145">
        <f t="shared" ca="1" si="45"/>
        <v>168</v>
      </c>
      <c r="AD145" t="str">
        <f t="shared" si="26"/>
        <v>4093RN153</v>
      </c>
      <c r="AE145" t="str">
        <f t="shared" ca="1" si="46"/>
        <v>PWHITE</v>
      </c>
      <c r="AF145" t="str">
        <f t="shared" ca="1" si="47"/>
        <v/>
      </c>
      <c r="AG145">
        <v>32</v>
      </c>
      <c r="AH145" t="s">
        <v>136</v>
      </c>
      <c r="AI145" t="str">
        <f t="shared" si="27"/>
        <v>Lutheran Home 25</v>
      </c>
      <c r="AJ145" t="str">
        <f t="shared" si="28"/>
        <v>Green Bay</v>
      </c>
      <c r="AK145" t="str">
        <f t="shared" si="29"/>
        <v>WI</v>
      </c>
      <c r="AL145">
        <f t="shared" si="30"/>
        <v>4091142613</v>
      </c>
      <c r="AM145" t="str">
        <f t="shared" si="31"/>
        <v>4093RN153</v>
      </c>
      <c r="AN145" t="str">
        <f t="shared" si="32"/>
        <v/>
      </c>
      <c r="AO145" t="str">
        <f t="shared" si="33"/>
        <v>Pella</v>
      </c>
      <c r="AP145">
        <f t="shared" si="34"/>
        <v>54201</v>
      </c>
      <c r="AQ145">
        <f t="shared" ca="1" si="48"/>
        <v>0</v>
      </c>
      <c r="AR145" s="1">
        <f t="shared" si="35"/>
        <v>46135</v>
      </c>
      <c r="CB145" s="1"/>
    </row>
    <row r="146" spans="1:80" x14ac:dyDescent="0.25">
      <c r="A146" s="23"/>
      <c r="B146" s="23"/>
      <c r="C146" s="23"/>
      <c r="D146" s="24"/>
      <c r="E146" s="24"/>
      <c r="F146" s="25">
        <f t="shared" si="36"/>
        <v>0</v>
      </c>
      <c r="G146" s="24"/>
      <c r="H146" s="24"/>
      <c r="I146" s="25">
        <v>1</v>
      </c>
      <c r="J146" s="24"/>
      <c r="K146" s="24"/>
      <c r="L146" s="24"/>
      <c r="M146" s="26" t="str">
        <f t="shared" si="37"/>
        <v/>
      </c>
      <c r="N146" s="27">
        <f t="shared" si="38"/>
        <v>0</v>
      </c>
      <c r="T146">
        <f t="shared" si="25"/>
        <v>129</v>
      </c>
      <c r="U146">
        <f t="shared" si="39"/>
        <v>26053</v>
      </c>
      <c r="V146">
        <f t="shared" ca="1" si="40"/>
        <v>61</v>
      </c>
      <c r="W146">
        <v>32</v>
      </c>
      <c r="X146" t="str">
        <f t="shared" ca="1" si="41"/>
        <v>JE</v>
      </c>
      <c r="Y146" t="s">
        <v>32</v>
      </c>
      <c r="Z146">
        <f t="shared" ca="1" si="42"/>
        <v>2.5</v>
      </c>
      <c r="AA146" t="str">
        <f t="shared" ca="1" si="43"/>
        <v>PAINT</v>
      </c>
      <c r="AB146">
        <f t="shared" ca="1" si="44"/>
        <v>1</v>
      </c>
      <c r="AC146">
        <f t="shared" ca="1" si="45"/>
        <v>168</v>
      </c>
      <c r="AD146" t="str">
        <f t="shared" si="26"/>
        <v>4093RN153</v>
      </c>
      <c r="AE146" t="str">
        <f t="shared" ca="1" si="46"/>
        <v>PWHITE</v>
      </c>
      <c r="AF146" t="str">
        <f t="shared" ca="1" si="47"/>
        <v/>
      </c>
      <c r="AG146">
        <v>32</v>
      </c>
      <c r="AH146" t="s">
        <v>136</v>
      </c>
      <c r="AI146" t="str">
        <f t="shared" si="27"/>
        <v>Lutheran Home 25</v>
      </c>
      <c r="AJ146" t="str">
        <f t="shared" si="28"/>
        <v>Green Bay</v>
      </c>
      <c r="AK146" t="str">
        <f t="shared" si="29"/>
        <v>WI</v>
      </c>
      <c r="AL146">
        <f t="shared" si="30"/>
        <v>4091142613</v>
      </c>
      <c r="AM146" t="str">
        <f t="shared" si="31"/>
        <v>4093RN153</v>
      </c>
      <c r="AN146" t="str">
        <f t="shared" si="32"/>
        <v/>
      </c>
      <c r="AO146" t="str">
        <f t="shared" si="33"/>
        <v>Pella</v>
      </c>
      <c r="AP146">
        <f t="shared" si="34"/>
        <v>54201</v>
      </c>
      <c r="AQ146">
        <f t="shared" ca="1" si="48"/>
        <v>0</v>
      </c>
      <c r="AR146" s="1">
        <f t="shared" si="35"/>
        <v>46135</v>
      </c>
      <c r="CB146" s="1"/>
    </row>
    <row r="147" spans="1:80" x14ac:dyDescent="0.25">
      <c r="A147" s="23"/>
      <c r="B147" s="23"/>
      <c r="C147" s="23"/>
      <c r="D147" s="24"/>
      <c r="E147" s="24"/>
      <c r="F147" s="25">
        <f t="shared" si="36"/>
        <v>0</v>
      </c>
      <c r="G147" s="24"/>
      <c r="H147" s="24"/>
      <c r="I147" s="25">
        <v>1</v>
      </c>
      <c r="J147" s="24"/>
      <c r="K147" s="24"/>
      <c r="L147" s="24"/>
      <c r="M147" s="26" t="str">
        <f t="shared" si="37"/>
        <v/>
      </c>
      <c r="N147" s="27">
        <f t="shared" si="38"/>
        <v>0</v>
      </c>
      <c r="T147">
        <f t="shared" ref="T147:T210" si="49">$H$14</f>
        <v>129</v>
      </c>
      <c r="U147">
        <f t="shared" si="39"/>
        <v>26053</v>
      </c>
      <c r="V147">
        <f t="shared" ca="1" si="40"/>
        <v>0</v>
      </c>
      <c r="W147">
        <v>33</v>
      </c>
      <c r="X147" t="str">
        <f t="shared" ca="1" si="41"/>
        <v/>
      </c>
      <c r="Y147" t="s">
        <v>9</v>
      </c>
      <c r="Z147">
        <f t="shared" ca="1" si="42"/>
        <v>0</v>
      </c>
      <c r="AA147" t="str">
        <f t="shared" ca="1" si="43"/>
        <v>SPPN</v>
      </c>
      <c r="AB147">
        <f t="shared" ca="1" si="44"/>
        <v>1</v>
      </c>
      <c r="AC147" t="str">
        <f t="shared" ca="1" si="45"/>
        <v/>
      </c>
      <c r="AD147" t="str">
        <f t="shared" ref="AD147:AD210" si="50">$H$5</f>
        <v>4093RN153</v>
      </c>
      <c r="AE147">
        <f t="shared" ca="1" si="46"/>
        <v>0</v>
      </c>
      <c r="AF147" t="str">
        <f t="shared" ca="1" si="47"/>
        <v/>
      </c>
      <c r="AG147">
        <v>33</v>
      </c>
      <c r="AH147" t="s">
        <v>136</v>
      </c>
      <c r="AI147" t="str">
        <f t="shared" ref="AI147:AI210" si="51">$H$6</f>
        <v>Lutheran Home 25</v>
      </c>
      <c r="AJ147" t="str">
        <f t="shared" ref="AJ147:AJ210" si="52">$H$7</f>
        <v>Green Bay</v>
      </c>
      <c r="AK147" t="str">
        <f t="shared" ref="AK147:AK210" si="53">$H$8</f>
        <v>WI</v>
      </c>
      <c r="AL147">
        <f t="shared" ref="AL147:AL210" si="54">$H$9</f>
        <v>4091142613</v>
      </c>
      <c r="AM147" t="str">
        <f t="shared" ref="AM147:AM210" si="55">$H$5</f>
        <v>4093RN153</v>
      </c>
      <c r="AN147" t="str">
        <f t="shared" ref="AN147:AN210" si="56">IF($H$10=0,"",$H$10)</f>
        <v/>
      </c>
      <c r="AO147" t="str">
        <f t="shared" ref="AO147:AO210" si="57">IF($H$11=0,"",$H$11)</f>
        <v>Pella</v>
      </c>
      <c r="AP147">
        <f t="shared" ref="AP147:AP210" si="58">IF($H$12=0,"",$H$12)</f>
        <v>54201</v>
      </c>
      <c r="AQ147">
        <f t="shared" ca="1" si="48"/>
        <v>0</v>
      </c>
      <c r="AR147" s="1">
        <f t="shared" ref="AR147:AR210" si="59">IF($H$13=0,"",$H$13)</f>
        <v>46135</v>
      </c>
      <c r="CB147" s="1"/>
    </row>
    <row r="148" spans="1:80" x14ac:dyDescent="0.25">
      <c r="A148" s="23"/>
      <c r="B148" s="23"/>
      <c r="C148" s="23"/>
      <c r="D148" s="24"/>
      <c r="E148" s="24"/>
      <c r="F148" s="25">
        <f t="shared" ref="F148:F211" si="60">D148-E148</f>
        <v>0</v>
      </c>
      <c r="G148" s="24"/>
      <c r="H148" s="24"/>
      <c r="I148" s="25">
        <v>1</v>
      </c>
      <c r="J148" s="24"/>
      <c r="K148" s="24"/>
      <c r="L148" s="24"/>
      <c r="M148" s="26" t="str">
        <f t="shared" ref="M148:M211" si="61">IF(A148="4 Sided Window",H148-($H$3*2),IF(A148="3 Sided Patio Door",H148-0.875,""))</f>
        <v/>
      </c>
      <c r="N148" s="27">
        <f t="shared" ref="N148:N211" si="62">IF(A148="3 Sided Patio Door",(G148+((H148+2)*2))/12,((G148*2)+(H148*2))/12)</f>
        <v>0</v>
      </c>
      <c r="T148">
        <f t="shared" si="49"/>
        <v>129</v>
      </c>
      <c r="U148">
        <f t="shared" ref="U148:U211" si="63">$H$2</f>
        <v>26053</v>
      </c>
      <c r="V148">
        <f t="shared" ref="V148:V211" ca="1" si="64">(OFFSET($B$19,INT((ROW(A130)-1)/4),0))</f>
        <v>0</v>
      </c>
      <c r="W148">
        <v>33</v>
      </c>
      <c r="X148" t="str">
        <f t="shared" ref="X148:X211" ca="1" si="65">IF((OFFSET($J$19,INT((ROW(A130)-1)/4),0))="JE","JE",IF((OFFSET($J$19,INT((ROW(A130)-1)/4),0))="Drilled","JC",""))</f>
        <v/>
      </c>
      <c r="Y148" t="s">
        <v>33</v>
      </c>
      <c r="Z148">
        <f t="shared" ref="Z148:Z211" ca="1" si="66">(OFFSET($F$19,INT((ROW(A130)-1)/4),0))</f>
        <v>0</v>
      </c>
      <c r="AA148" t="str">
        <f t="shared" ref="AA148:AA211" ca="1" si="67">IF((OFFSET($K$19,INT((ROW(A130)-1)/4),0))="Poplar","PAINT",IF((OFFSET($K$19,INT((ROW(A130)-1)/4),0))="Red Oak","SGO",IF((OFFSET($K$19,INT((ROW(A130)-1)/4),0))="Maple","SM","SPPN")))</f>
        <v>SPPN</v>
      </c>
      <c r="AB148">
        <f t="shared" ref="AB148:AB211" ca="1" si="68">(OFFSET($I$19,INT((ROW(A130)-1)/4),0))</f>
        <v>1</v>
      </c>
      <c r="AC148" t="str">
        <f t="shared" ref="AC148:AC211" ca="1" si="69">IF(OR(Y148="L",Y148="R"),(OFFSET($M$19,INT((ROW(A130)-1)/4),0)),IF(Y148="B",IF((OFFSET($A$19,INT((ROW(A130)-1)/4),0))="3 Sided Patio Door",0,(OFFSET($G$19,INT((ROW(A130)-1)/4),0))),(OFFSET($G$19,INT((ROW(A130)-1)/4),0))))</f>
        <v/>
      </c>
      <c r="AD148" t="str">
        <f t="shared" si="50"/>
        <v>4093RN153</v>
      </c>
      <c r="AE148">
        <f t="shared" ref="AE148:AE211" ca="1" si="70">(OFFSET($L$19,INT((ROW(A130)-1)/4),0))</f>
        <v>0</v>
      </c>
      <c r="AF148" t="str">
        <f t="shared" ref="AF148:AF211" ca="1" si="71">IF((OFFSET($A$19,INT((ROW(A130)-1)/4),0))="3 sided Patio door", "Unassemble","")</f>
        <v/>
      </c>
      <c r="AG148">
        <v>33</v>
      </c>
      <c r="AH148" t="s">
        <v>136</v>
      </c>
      <c r="AI148" t="str">
        <f t="shared" si="51"/>
        <v>Lutheran Home 25</v>
      </c>
      <c r="AJ148" t="str">
        <f t="shared" si="52"/>
        <v>Green Bay</v>
      </c>
      <c r="AK148" t="str">
        <f t="shared" si="53"/>
        <v>WI</v>
      </c>
      <c r="AL148">
        <f t="shared" si="54"/>
        <v>4091142613</v>
      </c>
      <c r="AM148" t="str">
        <f t="shared" si="55"/>
        <v>4093RN153</v>
      </c>
      <c r="AN148" t="str">
        <f t="shared" si="56"/>
        <v/>
      </c>
      <c r="AO148" t="str">
        <f t="shared" si="57"/>
        <v>Pella</v>
      </c>
      <c r="AP148">
        <f t="shared" si="58"/>
        <v>54201</v>
      </c>
      <c r="AQ148">
        <f t="shared" ref="AQ148:AQ211" ca="1" si="72">(OFFSET($BF$39,INT((ROW(A130)-1)/4),0))</f>
        <v>0</v>
      </c>
      <c r="AR148" s="1">
        <f t="shared" si="59"/>
        <v>46135</v>
      </c>
      <c r="CB148" s="1"/>
    </row>
    <row r="149" spans="1:80" x14ac:dyDescent="0.25">
      <c r="A149" s="23"/>
      <c r="B149" s="23"/>
      <c r="C149" s="23"/>
      <c r="D149" s="24"/>
      <c r="E149" s="24"/>
      <c r="F149" s="25">
        <f t="shared" si="60"/>
        <v>0</v>
      </c>
      <c r="G149" s="24"/>
      <c r="H149" s="24"/>
      <c r="I149" s="25">
        <v>1</v>
      </c>
      <c r="J149" s="24"/>
      <c r="K149" s="24"/>
      <c r="L149" s="24"/>
      <c r="M149" s="26" t="str">
        <f t="shared" si="61"/>
        <v/>
      </c>
      <c r="N149" s="27">
        <f t="shared" si="62"/>
        <v>0</v>
      </c>
      <c r="T149">
        <f t="shared" si="49"/>
        <v>129</v>
      </c>
      <c r="U149">
        <f t="shared" si="63"/>
        <v>26053</v>
      </c>
      <c r="V149">
        <f t="shared" ca="1" si="64"/>
        <v>0</v>
      </c>
      <c r="W149">
        <v>33</v>
      </c>
      <c r="X149" t="str">
        <f t="shared" ca="1" si="65"/>
        <v/>
      </c>
      <c r="Y149" t="s">
        <v>28</v>
      </c>
      <c r="Z149">
        <f t="shared" ca="1" si="66"/>
        <v>0</v>
      </c>
      <c r="AA149" t="str">
        <f t="shared" ca="1" si="67"/>
        <v>SPPN</v>
      </c>
      <c r="AB149">
        <f t="shared" ca="1" si="68"/>
        <v>1</v>
      </c>
      <c r="AC149">
        <f t="shared" ca="1" si="69"/>
        <v>0</v>
      </c>
      <c r="AD149" t="str">
        <f t="shared" si="50"/>
        <v>4093RN153</v>
      </c>
      <c r="AE149">
        <f t="shared" ca="1" si="70"/>
        <v>0</v>
      </c>
      <c r="AF149" t="str">
        <f t="shared" ca="1" si="71"/>
        <v/>
      </c>
      <c r="AG149">
        <v>33</v>
      </c>
      <c r="AH149" t="s">
        <v>136</v>
      </c>
      <c r="AI149" t="str">
        <f t="shared" si="51"/>
        <v>Lutheran Home 25</v>
      </c>
      <c r="AJ149" t="str">
        <f t="shared" si="52"/>
        <v>Green Bay</v>
      </c>
      <c r="AK149" t="str">
        <f t="shared" si="53"/>
        <v>WI</v>
      </c>
      <c r="AL149">
        <f t="shared" si="54"/>
        <v>4091142613</v>
      </c>
      <c r="AM149" t="str">
        <f t="shared" si="55"/>
        <v>4093RN153</v>
      </c>
      <c r="AN149" t="str">
        <f t="shared" si="56"/>
        <v/>
      </c>
      <c r="AO149" t="str">
        <f t="shared" si="57"/>
        <v>Pella</v>
      </c>
      <c r="AP149">
        <f t="shared" si="58"/>
        <v>54201</v>
      </c>
      <c r="AQ149">
        <f t="shared" ca="1" si="72"/>
        <v>0</v>
      </c>
      <c r="AR149" s="1">
        <f t="shared" si="59"/>
        <v>46135</v>
      </c>
      <c r="CB149" s="1"/>
    </row>
    <row r="150" spans="1:80" x14ac:dyDescent="0.25">
      <c r="A150" s="23"/>
      <c r="B150" s="23"/>
      <c r="C150" s="23"/>
      <c r="D150" s="24"/>
      <c r="E150" s="24"/>
      <c r="F150" s="25">
        <f t="shared" si="60"/>
        <v>0</v>
      </c>
      <c r="G150" s="24"/>
      <c r="H150" s="24"/>
      <c r="I150" s="25">
        <v>1</v>
      </c>
      <c r="J150" s="24"/>
      <c r="K150" s="24"/>
      <c r="L150" s="24"/>
      <c r="M150" s="26" t="str">
        <f t="shared" si="61"/>
        <v/>
      </c>
      <c r="N150" s="27">
        <f t="shared" si="62"/>
        <v>0</v>
      </c>
      <c r="T150">
        <f t="shared" si="49"/>
        <v>129</v>
      </c>
      <c r="U150">
        <f t="shared" si="63"/>
        <v>26053</v>
      </c>
      <c r="V150">
        <f t="shared" ca="1" si="64"/>
        <v>0</v>
      </c>
      <c r="W150">
        <v>33</v>
      </c>
      <c r="X150" t="str">
        <f t="shared" ca="1" si="65"/>
        <v/>
      </c>
      <c r="Y150" t="s">
        <v>32</v>
      </c>
      <c r="Z150">
        <f t="shared" ca="1" si="66"/>
        <v>0</v>
      </c>
      <c r="AA150" t="str">
        <f t="shared" ca="1" si="67"/>
        <v>SPPN</v>
      </c>
      <c r="AB150">
        <f t="shared" ca="1" si="68"/>
        <v>1</v>
      </c>
      <c r="AC150">
        <f t="shared" ca="1" si="69"/>
        <v>0</v>
      </c>
      <c r="AD150" t="str">
        <f t="shared" si="50"/>
        <v>4093RN153</v>
      </c>
      <c r="AE150">
        <f t="shared" ca="1" si="70"/>
        <v>0</v>
      </c>
      <c r="AF150" t="str">
        <f t="shared" ca="1" si="71"/>
        <v/>
      </c>
      <c r="AG150">
        <v>33</v>
      </c>
      <c r="AH150" t="s">
        <v>136</v>
      </c>
      <c r="AI150" t="str">
        <f t="shared" si="51"/>
        <v>Lutheran Home 25</v>
      </c>
      <c r="AJ150" t="str">
        <f t="shared" si="52"/>
        <v>Green Bay</v>
      </c>
      <c r="AK150" t="str">
        <f t="shared" si="53"/>
        <v>WI</v>
      </c>
      <c r="AL150">
        <f t="shared" si="54"/>
        <v>4091142613</v>
      </c>
      <c r="AM150" t="str">
        <f t="shared" si="55"/>
        <v>4093RN153</v>
      </c>
      <c r="AN150" t="str">
        <f t="shared" si="56"/>
        <v/>
      </c>
      <c r="AO150" t="str">
        <f t="shared" si="57"/>
        <v>Pella</v>
      </c>
      <c r="AP150">
        <f t="shared" si="58"/>
        <v>54201</v>
      </c>
      <c r="AQ150">
        <f t="shared" ca="1" si="72"/>
        <v>0</v>
      </c>
      <c r="AR150" s="1">
        <f t="shared" si="59"/>
        <v>46135</v>
      </c>
      <c r="CB150" s="1"/>
    </row>
    <row r="151" spans="1:80" x14ac:dyDescent="0.25">
      <c r="A151" s="23"/>
      <c r="B151" s="23"/>
      <c r="C151" s="23"/>
      <c r="D151" s="24"/>
      <c r="E151" s="24"/>
      <c r="F151" s="25">
        <f t="shared" si="60"/>
        <v>0</v>
      </c>
      <c r="G151" s="24"/>
      <c r="H151" s="24"/>
      <c r="I151" s="25">
        <v>1</v>
      </c>
      <c r="J151" s="24"/>
      <c r="K151" s="24"/>
      <c r="L151" s="24"/>
      <c r="M151" s="26" t="str">
        <f t="shared" si="61"/>
        <v/>
      </c>
      <c r="N151" s="27">
        <f t="shared" si="62"/>
        <v>0</v>
      </c>
      <c r="T151">
        <f t="shared" si="49"/>
        <v>129</v>
      </c>
      <c r="U151">
        <f t="shared" si="63"/>
        <v>26053</v>
      </c>
      <c r="V151">
        <f t="shared" ca="1" si="64"/>
        <v>0</v>
      </c>
      <c r="W151">
        <v>34</v>
      </c>
      <c r="X151" t="str">
        <f t="shared" ca="1" si="65"/>
        <v/>
      </c>
      <c r="Y151" t="s">
        <v>9</v>
      </c>
      <c r="Z151">
        <f t="shared" ca="1" si="66"/>
        <v>0</v>
      </c>
      <c r="AA151" t="str">
        <f t="shared" ca="1" si="67"/>
        <v>SPPN</v>
      </c>
      <c r="AB151">
        <f t="shared" ca="1" si="68"/>
        <v>1</v>
      </c>
      <c r="AC151" t="str">
        <f t="shared" ca="1" si="69"/>
        <v/>
      </c>
      <c r="AD151" t="str">
        <f t="shared" si="50"/>
        <v>4093RN153</v>
      </c>
      <c r="AE151">
        <f t="shared" ca="1" si="70"/>
        <v>0</v>
      </c>
      <c r="AF151" t="str">
        <f t="shared" ca="1" si="71"/>
        <v/>
      </c>
      <c r="AG151">
        <v>34</v>
      </c>
      <c r="AH151" t="s">
        <v>136</v>
      </c>
      <c r="AI151" t="str">
        <f t="shared" si="51"/>
        <v>Lutheran Home 25</v>
      </c>
      <c r="AJ151" t="str">
        <f t="shared" si="52"/>
        <v>Green Bay</v>
      </c>
      <c r="AK151" t="str">
        <f t="shared" si="53"/>
        <v>WI</v>
      </c>
      <c r="AL151">
        <f t="shared" si="54"/>
        <v>4091142613</v>
      </c>
      <c r="AM151" t="str">
        <f t="shared" si="55"/>
        <v>4093RN153</v>
      </c>
      <c r="AN151" t="str">
        <f t="shared" si="56"/>
        <v/>
      </c>
      <c r="AO151" t="str">
        <f t="shared" si="57"/>
        <v>Pella</v>
      </c>
      <c r="AP151">
        <f t="shared" si="58"/>
        <v>54201</v>
      </c>
      <c r="AQ151">
        <f t="shared" ca="1" si="72"/>
        <v>0</v>
      </c>
      <c r="AR151" s="1">
        <f t="shared" si="59"/>
        <v>46135</v>
      </c>
      <c r="CB151" s="1"/>
    </row>
    <row r="152" spans="1:80" x14ac:dyDescent="0.25">
      <c r="A152" s="23"/>
      <c r="B152" s="23"/>
      <c r="C152" s="23"/>
      <c r="D152" s="24"/>
      <c r="E152" s="24"/>
      <c r="F152" s="25">
        <f t="shared" si="60"/>
        <v>0</v>
      </c>
      <c r="G152" s="24"/>
      <c r="H152" s="24"/>
      <c r="I152" s="25">
        <v>1</v>
      </c>
      <c r="J152" s="24"/>
      <c r="K152" s="24"/>
      <c r="L152" s="24"/>
      <c r="M152" s="26" t="str">
        <f t="shared" si="61"/>
        <v/>
      </c>
      <c r="N152" s="27">
        <f t="shared" si="62"/>
        <v>0</v>
      </c>
      <c r="T152">
        <f t="shared" si="49"/>
        <v>129</v>
      </c>
      <c r="U152">
        <f t="shared" si="63"/>
        <v>26053</v>
      </c>
      <c r="V152">
        <f t="shared" ca="1" si="64"/>
        <v>0</v>
      </c>
      <c r="W152">
        <v>34</v>
      </c>
      <c r="X152" t="str">
        <f t="shared" ca="1" si="65"/>
        <v/>
      </c>
      <c r="Y152" t="s">
        <v>33</v>
      </c>
      <c r="Z152">
        <f t="shared" ca="1" si="66"/>
        <v>0</v>
      </c>
      <c r="AA152" t="str">
        <f t="shared" ca="1" si="67"/>
        <v>SPPN</v>
      </c>
      <c r="AB152">
        <f t="shared" ca="1" si="68"/>
        <v>1</v>
      </c>
      <c r="AC152" t="str">
        <f t="shared" ca="1" si="69"/>
        <v/>
      </c>
      <c r="AD152" t="str">
        <f t="shared" si="50"/>
        <v>4093RN153</v>
      </c>
      <c r="AE152">
        <f t="shared" ca="1" si="70"/>
        <v>0</v>
      </c>
      <c r="AF152" t="str">
        <f t="shared" ca="1" si="71"/>
        <v/>
      </c>
      <c r="AG152">
        <v>34</v>
      </c>
      <c r="AH152" t="s">
        <v>136</v>
      </c>
      <c r="AI152" t="str">
        <f t="shared" si="51"/>
        <v>Lutheran Home 25</v>
      </c>
      <c r="AJ152" t="str">
        <f t="shared" si="52"/>
        <v>Green Bay</v>
      </c>
      <c r="AK152" t="str">
        <f t="shared" si="53"/>
        <v>WI</v>
      </c>
      <c r="AL152">
        <f t="shared" si="54"/>
        <v>4091142613</v>
      </c>
      <c r="AM152" t="str">
        <f t="shared" si="55"/>
        <v>4093RN153</v>
      </c>
      <c r="AN152" t="str">
        <f t="shared" si="56"/>
        <v/>
      </c>
      <c r="AO152" t="str">
        <f t="shared" si="57"/>
        <v>Pella</v>
      </c>
      <c r="AP152">
        <f t="shared" si="58"/>
        <v>54201</v>
      </c>
      <c r="AQ152">
        <f t="shared" ca="1" si="72"/>
        <v>0</v>
      </c>
      <c r="AR152" s="1">
        <f t="shared" si="59"/>
        <v>46135</v>
      </c>
      <c r="CB152" s="1"/>
    </row>
    <row r="153" spans="1:80" x14ac:dyDescent="0.25">
      <c r="A153" s="23"/>
      <c r="B153" s="23"/>
      <c r="C153" s="23"/>
      <c r="D153" s="24"/>
      <c r="E153" s="24"/>
      <c r="F153" s="25">
        <f t="shared" si="60"/>
        <v>0</v>
      </c>
      <c r="G153" s="24"/>
      <c r="H153" s="24"/>
      <c r="I153" s="25">
        <v>1</v>
      </c>
      <c r="J153" s="24"/>
      <c r="K153" s="24"/>
      <c r="L153" s="24"/>
      <c r="M153" s="26" t="str">
        <f t="shared" si="61"/>
        <v/>
      </c>
      <c r="N153" s="27">
        <f t="shared" si="62"/>
        <v>0</v>
      </c>
      <c r="T153">
        <f t="shared" si="49"/>
        <v>129</v>
      </c>
      <c r="U153">
        <f t="shared" si="63"/>
        <v>26053</v>
      </c>
      <c r="V153">
        <f t="shared" ca="1" si="64"/>
        <v>0</v>
      </c>
      <c r="W153">
        <v>34</v>
      </c>
      <c r="X153" t="str">
        <f t="shared" ca="1" si="65"/>
        <v/>
      </c>
      <c r="Y153" t="s">
        <v>28</v>
      </c>
      <c r="Z153">
        <f t="shared" ca="1" si="66"/>
        <v>0</v>
      </c>
      <c r="AA153" t="str">
        <f t="shared" ca="1" si="67"/>
        <v>SPPN</v>
      </c>
      <c r="AB153">
        <f t="shared" ca="1" si="68"/>
        <v>1</v>
      </c>
      <c r="AC153">
        <f t="shared" ca="1" si="69"/>
        <v>0</v>
      </c>
      <c r="AD153" t="str">
        <f t="shared" si="50"/>
        <v>4093RN153</v>
      </c>
      <c r="AE153">
        <f t="shared" ca="1" si="70"/>
        <v>0</v>
      </c>
      <c r="AF153" t="str">
        <f t="shared" ca="1" si="71"/>
        <v/>
      </c>
      <c r="AG153">
        <v>34</v>
      </c>
      <c r="AH153" t="s">
        <v>136</v>
      </c>
      <c r="AI153" t="str">
        <f t="shared" si="51"/>
        <v>Lutheran Home 25</v>
      </c>
      <c r="AJ153" t="str">
        <f t="shared" si="52"/>
        <v>Green Bay</v>
      </c>
      <c r="AK153" t="str">
        <f t="shared" si="53"/>
        <v>WI</v>
      </c>
      <c r="AL153">
        <f t="shared" si="54"/>
        <v>4091142613</v>
      </c>
      <c r="AM153" t="str">
        <f t="shared" si="55"/>
        <v>4093RN153</v>
      </c>
      <c r="AN153" t="str">
        <f t="shared" si="56"/>
        <v/>
      </c>
      <c r="AO153" t="str">
        <f t="shared" si="57"/>
        <v>Pella</v>
      </c>
      <c r="AP153">
        <f t="shared" si="58"/>
        <v>54201</v>
      </c>
      <c r="AQ153">
        <f t="shared" ca="1" si="72"/>
        <v>0</v>
      </c>
      <c r="AR153" s="1">
        <f t="shared" si="59"/>
        <v>46135</v>
      </c>
      <c r="CB153" s="1"/>
    </row>
    <row r="154" spans="1:80" x14ac:dyDescent="0.25">
      <c r="A154" s="23"/>
      <c r="B154" s="23"/>
      <c r="C154" s="23"/>
      <c r="D154" s="24"/>
      <c r="E154" s="24"/>
      <c r="F154" s="25">
        <f t="shared" si="60"/>
        <v>0</v>
      </c>
      <c r="G154" s="24"/>
      <c r="H154" s="24"/>
      <c r="I154" s="25">
        <v>1</v>
      </c>
      <c r="J154" s="24"/>
      <c r="K154" s="24"/>
      <c r="L154" s="24"/>
      <c r="M154" s="26" t="str">
        <f t="shared" si="61"/>
        <v/>
      </c>
      <c r="N154" s="27">
        <f t="shared" si="62"/>
        <v>0</v>
      </c>
      <c r="T154">
        <f t="shared" si="49"/>
        <v>129</v>
      </c>
      <c r="U154">
        <f t="shared" si="63"/>
        <v>26053</v>
      </c>
      <c r="V154">
        <f t="shared" ca="1" si="64"/>
        <v>0</v>
      </c>
      <c r="W154">
        <v>34</v>
      </c>
      <c r="X154" t="str">
        <f t="shared" ca="1" si="65"/>
        <v/>
      </c>
      <c r="Y154" t="s">
        <v>32</v>
      </c>
      <c r="Z154">
        <f t="shared" ca="1" si="66"/>
        <v>0</v>
      </c>
      <c r="AA154" t="str">
        <f t="shared" ca="1" si="67"/>
        <v>SPPN</v>
      </c>
      <c r="AB154">
        <f t="shared" ca="1" si="68"/>
        <v>1</v>
      </c>
      <c r="AC154">
        <f t="shared" ca="1" si="69"/>
        <v>0</v>
      </c>
      <c r="AD154" t="str">
        <f t="shared" si="50"/>
        <v>4093RN153</v>
      </c>
      <c r="AE154">
        <f t="shared" ca="1" si="70"/>
        <v>0</v>
      </c>
      <c r="AF154" t="str">
        <f t="shared" ca="1" si="71"/>
        <v/>
      </c>
      <c r="AG154">
        <v>34</v>
      </c>
      <c r="AH154" t="s">
        <v>136</v>
      </c>
      <c r="AI154" t="str">
        <f t="shared" si="51"/>
        <v>Lutheran Home 25</v>
      </c>
      <c r="AJ154" t="str">
        <f t="shared" si="52"/>
        <v>Green Bay</v>
      </c>
      <c r="AK154" t="str">
        <f t="shared" si="53"/>
        <v>WI</v>
      </c>
      <c r="AL154">
        <f t="shared" si="54"/>
        <v>4091142613</v>
      </c>
      <c r="AM154" t="str">
        <f t="shared" si="55"/>
        <v>4093RN153</v>
      </c>
      <c r="AN154" t="str">
        <f t="shared" si="56"/>
        <v/>
      </c>
      <c r="AO154" t="str">
        <f t="shared" si="57"/>
        <v>Pella</v>
      </c>
      <c r="AP154">
        <f t="shared" si="58"/>
        <v>54201</v>
      </c>
      <c r="AQ154">
        <f t="shared" ca="1" si="72"/>
        <v>0</v>
      </c>
      <c r="AR154" s="1">
        <f t="shared" si="59"/>
        <v>46135</v>
      </c>
      <c r="CB154" s="1"/>
    </row>
    <row r="155" spans="1:80" x14ac:dyDescent="0.25">
      <c r="A155" s="23"/>
      <c r="B155" s="23"/>
      <c r="C155" s="23"/>
      <c r="D155" s="24"/>
      <c r="E155" s="24"/>
      <c r="F155" s="25">
        <f t="shared" si="60"/>
        <v>0</v>
      </c>
      <c r="G155" s="24"/>
      <c r="H155" s="24"/>
      <c r="I155" s="25">
        <v>1</v>
      </c>
      <c r="J155" s="24"/>
      <c r="K155" s="24"/>
      <c r="L155" s="24"/>
      <c r="M155" s="26" t="str">
        <f t="shared" si="61"/>
        <v/>
      </c>
      <c r="N155" s="27">
        <f t="shared" si="62"/>
        <v>0</v>
      </c>
      <c r="T155">
        <f t="shared" si="49"/>
        <v>129</v>
      </c>
      <c r="U155">
        <f t="shared" si="63"/>
        <v>26053</v>
      </c>
      <c r="V155">
        <f t="shared" ca="1" si="64"/>
        <v>0</v>
      </c>
      <c r="W155">
        <v>35</v>
      </c>
      <c r="X155" t="str">
        <f t="shared" ca="1" si="65"/>
        <v/>
      </c>
      <c r="Y155" t="s">
        <v>9</v>
      </c>
      <c r="Z155">
        <f t="shared" ca="1" si="66"/>
        <v>0</v>
      </c>
      <c r="AA155" t="str">
        <f t="shared" ca="1" si="67"/>
        <v>SPPN</v>
      </c>
      <c r="AB155">
        <f t="shared" ca="1" si="68"/>
        <v>1</v>
      </c>
      <c r="AC155" t="str">
        <f t="shared" ca="1" si="69"/>
        <v/>
      </c>
      <c r="AD155" t="str">
        <f t="shared" si="50"/>
        <v>4093RN153</v>
      </c>
      <c r="AE155">
        <f t="shared" ca="1" si="70"/>
        <v>0</v>
      </c>
      <c r="AF155" t="str">
        <f t="shared" ca="1" si="71"/>
        <v/>
      </c>
      <c r="AG155">
        <v>35</v>
      </c>
      <c r="AH155" t="s">
        <v>136</v>
      </c>
      <c r="AI155" t="str">
        <f t="shared" si="51"/>
        <v>Lutheran Home 25</v>
      </c>
      <c r="AJ155" t="str">
        <f t="shared" si="52"/>
        <v>Green Bay</v>
      </c>
      <c r="AK155" t="str">
        <f t="shared" si="53"/>
        <v>WI</v>
      </c>
      <c r="AL155">
        <f t="shared" si="54"/>
        <v>4091142613</v>
      </c>
      <c r="AM155" t="str">
        <f t="shared" si="55"/>
        <v>4093RN153</v>
      </c>
      <c r="AN155" t="str">
        <f t="shared" si="56"/>
        <v/>
      </c>
      <c r="AO155" t="str">
        <f t="shared" si="57"/>
        <v>Pella</v>
      </c>
      <c r="AP155">
        <f t="shared" si="58"/>
        <v>54201</v>
      </c>
      <c r="AQ155">
        <f t="shared" ca="1" si="72"/>
        <v>0</v>
      </c>
      <c r="AR155" s="1">
        <f t="shared" si="59"/>
        <v>46135</v>
      </c>
      <c r="CB155" s="1"/>
    </row>
    <row r="156" spans="1:80" x14ac:dyDescent="0.25">
      <c r="A156" s="23"/>
      <c r="B156" s="23"/>
      <c r="C156" s="23"/>
      <c r="D156" s="24"/>
      <c r="E156" s="24"/>
      <c r="F156" s="25">
        <f t="shared" si="60"/>
        <v>0</v>
      </c>
      <c r="G156" s="24"/>
      <c r="H156" s="24"/>
      <c r="I156" s="25">
        <v>1</v>
      </c>
      <c r="J156" s="24"/>
      <c r="K156" s="24"/>
      <c r="L156" s="24"/>
      <c r="M156" s="26" t="str">
        <f t="shared" si="61"/>
        <v/>
      </c>
      <c r="N156" s="27">
        <f t="shared" si="62"/>
        <v>0</v>
      </c>
      <c r="T156">
        <f t="shared" si="49"/>
        <v>129</v>
      </c>
      <c r="U156">
        <f t="shared" si="63"/>
        <v>26053</v>
      </c>
      <c r="V156">
        <f t="shared" ca="1" si="64"/>
        <v>0</v>
      </c>
      <c r="W156">
        <v>35</v>
      </c>
      <c r="X156" t="str">
        <f t="shared" ca="1" si="65"/>
        <v/>
      </c>
      <c r="Y156" t="s">
        <v>33</v>
      </c>
      <c r="Z156">
        <f t="shared" ca="1" si="66"/>
        <v>0</v>
      </c>
      <c r="AA156" t="str">
        <f t="shared" ca="1" si="67"/>
        <v>SPPN</v>
      </c>
      <c r="AB156">
        <f t="shared" ca="1" si="68"/>
        <v>1</v>
      </c>
      <c r="AC156" t="str">
        <f t="shared" ca="1" si="69"/>
        <v/>
      </c>
      <c r="AD156" t="str">
        <f t="shared" si="50"/>
        <v>4093RN153</v>
      </c>
      <c r="AE156">
        <f t="shared" ca="1" si="70"/>
        <v>0</v>
      </c>
      <c r="AF156" t="str">
        <f t="shared" ca="1" si="71"/>
        <v/>
      </c>
      <c r="AG156">
        <v>35</v>
      </c>
      <c r="AH156" t="s">
        <v>136</v>
      </c>
      <c r="AI156" t="str">
        <f t="shared" si="51"/>
        <v>Lutheran Home 25</v>
      </c>
      <c r="AJ156" t="str">
        <f t="shared" si="52"/>
        <v>Green Bay</v>
      </c>
      <c r="AK156" t="str">
        <f t="shared" si="53"/>
        <v>WI</v>
      </c>
      <c r="AL156">
        <f t="shared" si="54"/>
        <v>4091142613</v>
      </c>
      <c r="AM156" t="str">
        <f t="shared" si="55"/>
        <v>4093RN153</v>
      </c>
      <c r="AN156" t="str">
        <f t="shared" si="56"/>
        <v/>
      </c>
      <c r="AO156" t="str">
        <f t="shared" si="57"/>
        <v>Pella</v>
      </c>
      <c r="AP156">
        <f t="shared" si="58"/>
        <v>54201</v>
      </c>
      <c r="AQ156">
        <f t="shared" ca="1" si="72"/>
        <v>0</v>
      </c>
      <c r="AR156" s="1">
        <f t="shared" si="59"/>
        <v>46135</v>
      </c>
      <c r="CB156" s="1"/>
    </row>
    <row r="157" spans="1:80" x14ac:dyDescent="0.25">
      <c r="A157" s="23"/>
      <c r="B157" s="23"/>
      <c r="C157" s="23"/>
      <c r="D157" s="24"/>
      <c r="E157" s="24"/>
      <c r="F157" s="25">
        <f t="shared" si="60"/>
        <v>0</v>
      </c>
      <c r="G157" s="24"/>
      <c r="H157" s="24"/>
      <c r="I157" s="25">
        <v>1</v>
      </c>
      <c r="J157" s="24"/>
      <c r="K157" s="24"/>
      <c r="L157" s="24"/>
      <c r="M157" s="26" t="str">
        <f t="shared" si="61"/>
        <v/>
      </c>
      <c r="N157" s="27">
        <f t="shared" si="62"/>
        <v>0</v>
      </c>
      <c r="T157">
        <f t="shared" si="49"/>
        <v>129</v>
      </c>
      <c r="U157">
        <f t="shared" si="63"/>
        <v>26053</v>
      </c>
      <c r="V157">
        <f t="shared" ca="1" si="64"/>
        <v>0</v>
      </c>
      <c r="W157">
        <v>35</v>
      </c>
      <c r="X157" t="str">
        <f t="shared" ca="1" si="65"/>
        <v/>
      </c>
      <c r="Y157" t="s">
        <v>28</v>
      </c>
      <c r="Z157">
        <f t="shared" ca="1" si="66"/>
        <v>0</v>
      </c>
      <c r="AA157" t="str">
        <f t="shared" ca="1" si="67"/>
        <v>SPPN</v>
      </c>
      <c r="AB157">
        <f t="shared" ca="1" si="68"/>
        <v>1</v>
      </c>
      <c r="AC157">
        <f t="shared" ca="1" si="69"/>
        <v>0</v>
      </c>
      <c r="AD157" t="str">
        <f t="shared" si="50"/>
        <v>4093RN153</v>
      </c>
      <c r="AE157">
        <f t="shared" ca="1" si="70"/>
        <v>0</v>
      </c>
      <c r="AF157" t="str">
        <f t="shared" ca="1" si="71"/>
        <v/>
      </c>
      <c r="AG157">
        <v>35</v>
      </c>
      <c r="AH157" t="s">
        <v>136</v>
      </c>
      <c r="AI157" t="str">
        <f t="shared" si="51"/>
        <v>Lutheran Home 25</v>
      </c>
      <c r="AJ157" t="str">
        <f t="shared" si="52"/>
        <v>Green Bay</v>
      </c>
      <c r="AK157" t="str">
        <f t="shared" si="53"/>
        <v>WI</v>
      </c>
      <c r="AL157">
        <f t="shared" si="54"/>
        <v>4091142613</v>
      </c>
      <c r="AM157" t="str">
        <f t="shared" si="55"/>
        <v>4093RN153</v>
      </c>
      <c r="AN157" t="str">
        <f t="shared" si="56"/>
        <v/>
      </c>
      <c r="AO157" t="str">
        <f t="shared" si="57"/>
        <v>Pella</v>
      </c>
      <c r="AP157">
        <f t="shared" si="58"/>
        <v>54201</v>
      </c>
      <c r="AQ157">
        <f t="shared" ca="1" si="72"/>
        <v>0</v>
      </c>
      <c r="AR157" s="1">
        <f t="shared" si="59"/>
        <v>46135</v>
      </c>
      <c r="CB157" s="1"/>
    </row>
    <row r="158" spans="1:80" x14ac:dyDescent="0.25">
      <c r="A158" s="23"/>
      <c r="B158" s="23"/>
      <c r="C158" s="23"/>
      <c r="D158" s="24"/>
      <c r="E158" s="24"/>
      <c r="F158" s="25">
        <f t="shared" si="60"/>
        <v>0</v>
      </c>
      <c r="G158" s="24"/>
      <c r="H158" s="24"/>
      <c r="I158" s="25">
        <v>1</v>
      </c>
      <c r="J158" s="24"/>
      <c r="K158" s="24"/>
      <c r="L158" s="24"/>
      <c r="M158" s="26" t="str">
        <f t="shared" si="61"/>
        <v/>
      </c>
      <c r="N158" s="27">
        <f t="shared" si="62"/>
        <v>0</v>
      </c>
      <c r="T158">
        <f t="shared" si="49"/>
        <v>129</v>
      </c>
      <c r="U158">
        <f t="shared" si="63"/>
        <v>26053</v>
      </c>
      <c r="V158">
        <f t="shared" ca="1" si="64"/>
        <v>0</v>
      </c>
      <c r="W158">
        <v>35</v>
      </c>
      <c r="X158" t="str">
        <f t="shared" ca="1" si="65"/>
        <v/>
      </c>
      <c r="Y158" t="s">
        <v>32</v>
      </c>
      <c r="Z158">
        <f t="shared" ca="1" si="66"/>
        <v>0</v>
      </c>
      <c r="AA158" t="str">
        <f t="shared" ca="1" si="67"/>
        <v>SPPN</v>
      </c>
      <c r="AB158">
        <f t="shared" ca="1" si="68"/>
        <v>1</v>
      </c>
      <c r="AC158">
        <f t="shared" ca="1" si="69"/>
        <v>0</v>
      </c>
      <c r="AD158" t="str">
        <f t="shared" si="50"/>
        <v>4093RN153</v>
      </c>
      <c r="AE158">
        <f t="shared" ca="1" si="70"/>
        <v>0</v>
      </c>
      <c r="AF158" t="str">
        <f t="shared" ca="1" si="71"/>
        <v/>
      </c>
      <c r="AG158">
        <v>35</v>
      </c>
      <c r="AH158" t="s">
        <v>136</v>
      </c>
      <c r="AI158" t="str">
        <f t="shared" si="51"/>
        <v>Lutheran Home 25</v>
      </c>
      <c r="AJ158" t="str">
        <f t="shared" si="52"/>
        <v>Green Bay</v>
      </c>
      <c r="AK158" t="str">
        <f t="shared" si="53"/>
        <v>WI</v>
      </c>
      <c r="AL158">
        <f t="shared" si="54"/>
        <v>4091142613</v>
      </c>
      <c r="AM158" t="str">
        <f t="shared" si="55"/>
        <v>4093RN153</v>
      </c>
      <c r="AN158" t="str">
        <f t="shared" si="56"/>
        <v/>
      </c>
      <c r="AO158" t="str">
        <f t="shared" si="57"/>
        <v>Pella</v>
      </c>
      <c r="AP158">
        <f t="shared" si="58"/>
        <v>54201</v>
      </c>
      <c r="AQ158">
        <f t="shared" ca="1" si="72"/>
        <v>0</v>
      </c>
      <c r="AR158" s="1">
        <f t="shared" si="59"/>
        <v>46135</v>
      </c>
      <c r="CB158" s="1"/>
    </row>
    <row r="159" spans="1:80" x14ac:dyDescent="0.25">
      <c r="A159" s="23"/>
      <c r="B159" s="23"/>
      <c r="C159" s="23"/>
      <c r="D159" s="24"/>
      <c r="E159" s="24"/>
      <c r="F159" s="25">
        <f t="shared" si="60"/>
        <v>0</v>
      </c>
      <c r="G159" s="24"/>
      <c r="H159" s="24"/>
      <c r="I159" s="25">
        <v>1</v>
      </c>
      <c r="J159" s="24"/>
      <c r="K159" s="24"/>
      <c r="L159" s="24"/>
      <c r="M159" s="26" t="str">
        <f t="shared" si="61"/>
        <v/>
      </c>
      <c r="N159" s="27">
        <f t="shared" si="62"/>
        <v>0</v>
      </c>
      <c r="T159">
        <f t="shared" si="49"/>
        <v>129</v>
      </c>
      <c r="U159">
        <f t="shared" si="63"/>
        <v>26053</v>
      </c>
      <c r="V159">
        <f t="shared" ca="1" si="64"/>
        <v>0</v>
      </c>
      <c r="W159">
        <v>36</v>
      </c>
      <c r="X159" t="str">
        <f t="shared" ca="1" si="65"/>
        <v/>
      </c>
      <c r="Y159" t="s">
        <v>9</v>
      </c>
      <c r="Z159">
        <f t="shared" ca="1" si="66"/>
        <v>0</v>
      </c>
      <c r="AA159" t="str">
        <f t="shared" ca="1" si="67"/>
        <v>SPPN</v>
      </c>
      <c r="AB159">
        <f t="shared" ca="1" si="68"/>
        <v>1</v>
      </c>
      <c r="AC159" t="str">
        <f t="shared" ca="1" si="69"/>
        <v/>
      </c>
      <c r="AD159" t="str">
        <f t="shared" si="50"/>
        <v>4093RN153</v>
      </c>
      <c r="AE159">
        <f t="shared" ca="1" si="70"/>
        <v>0</v>
      </c>
      <c r="AF159" t="str">
        <f t="shared" ca="1" si="71"/>
        <v/>
      </c>
      <c r="AG159">
        <v>36</v>
      </c>
      <c r="AH159" t="s">
        <v>136</v>
      </c>
      <c r="AI159" t="str">
        <f t="shared" si="51"/>
        <v>Lutheran Home 25</v>
      </c>
      <c r="AJ159" t="str">
        <f t="shared" si="52"/>
        <v>Green Bay</v>
      </c>
      <c r="AK159" t="str">
        <f t="shared" si="53"/>
        <v>WI</v>
      </c>
      <c r="AL159">
        <f t="shared" si="54"/>
        <v>4091142613</v>
      </c>
      <c r="AM159" t="str">
        <f t="shared" si="55"/>
        <v>4093RN153</v>
      </c>
      <c r="AN159" t="str">
        <f t="shared" si="56"/>
        <v/>
      </c>
      <c r="AO159" t="str">
        <f t="shared" si="57"/>
        <v>Pella</v>
      </c>
      <c r="AP159">
        <f t="shared" si="58"/>
        <v>54201</v>
      </c>
      <c r="AQ159">
        <f t="shared" ca="1" si="72"/>
        <v>0</v>
      </c>
      <c r="AR159" s="1">
        <f t="shared" si="59"/>
        <v>46135</v>
      </c>
      <c r="CB159" s="1"/>
    </row>
    <row r="160" spans="1:80" x14ac:dyDescent="0.25">
      <c r="A160" s="23"/>
      <c r="B160" s="23"/>
      <c r="C160" s="23"/>
      <c r="D160" s="24"/>
      <c r="E160" s="24"/>
      <c r="F160" s="25">
        <f t="shared" si="60"/>
        <v>0</v>
      </c>
      <c r="G160" s="24"/>
      <c r="H160" s="24"/>
      <c r="I160" s="25">
        <v>1</v>
      </c>
      <c r="J160" s="24"/>
      <c r="K160" s="24"/>
      <c r="L160" s="24"/>
      <c r="M160" s="26" t="str">
        <f t="shared" si="61"/>
        <v/>
      </c>
      <c r="N160" s="27">
        <f t="shared" si="62"/>
        <v>0</v>
      </c>
      <c r="T160">
        <f t="shared" si="49"/>
        <v>129</v>
      </c>
      <c r="U160">
        <f t="shared" si="63"/>
        <v>26053</v>
      </c>
      <c r="V160">
        <f t="shared" ca="1" si="64"/>
        <v>0</v>
      </c>
      <c r="W160">
        <v>36</v>
      </c>
      <c r="X160" t="str">
        <f t="shared" ca="1" si="65"/>
        <v/>
      </c>
      <c r="Y160" t="s">
        <v>33</v>
      </c>
      <c r="Z160">
        <f t="shared" ca="1" si="66"/>
        <v>0</v>
      </c>
      <c r="AA160" t="str">
        <f t="shared" ca="1" si="67"/>
        <v>SPPN</v>
      </c>
      <c r="AB160">
        <f t="shared" ca="1" si="68"/>
        <v>1</v>
      </c>
      <c r="AC160" t="str">
        <f t="shared" ca="1" si="69"/>
        <v/>
      </c>
      <c r="AD160" t="str">
        <f t="shared" si="50"/>
        <v>4093RN153</v>
      </c>
      <c r="AE160">
        <f t="shared" ca="1" si="70"/>
        <v>0</v>
      </c>
      <c r="AF160" t="str">
        <f t="shared" ca="1" si="71"/>
        <v/>
      </c>
      <c r="AG160">
        <v>36</v>
      </c>
      <c r="AH160" t="s">
        <v>136</v>
      </c>
      <c r="AI160" t="str">
        <f t="shared" si="51"/>
        <v>Lutheran Home 25</v>
      </c>
      <c r="AJ160" t="str">
        <f t="shared" si="52"/>
        <v>Green Bay</v>
      </c>
      <c r="AK160" t="str">
        <f t="shared" si="53"/>
        <v>WI</v>
      </c>
      <c r="AL160">
        <f t="shared" si="54"/>
        <v>4091142613</v>
      </c>
      <c r="AM160" t="str">
        <f t="shared" si="55"/>
        <v>4093RN153</v>
      </c>
      <c r="AN160" t="str">
        <f t="shared" si="56"/>
        <v/>
      </c>
      <c r="AO160" t="str">
        <f t="shared" si="57"/>
        <v>Pella</v>
      </c>
      <c r="AP160">
        <f t="shared" si="58"/>
        <v>54201</v>
      </c>
      <c r="AQ160">
        <f t="shared" ca="1" si="72"/>
        <v>0</v>
      </c>
      <c r="AR160" s="1">
        <f t="shared" si="59"/>
        <v>46135</v>
      </c>
      <c r="CB160" s="1"/>
    </row>
    <row r="161" spans="1:80" x14ac:dyDescent="0.25">
      <c r="A161" s="23"/>
      <c r="B161" s="23"/>
      <c r="C161" s="23"/>
      <c r="D161" s="24"/>
      <c r="E161" s="24"/>
      <c r="F161" s="25">
        <f t="shared" si="60"/>
        <v>0</v>
      </c>
      <c r="G161" s="24"/>
      <c r="H161" s="24"/>
      <c r="I161" s="25">
        <v>1</v>
      </c>
      <c r="J161" s="24"/>
      <c r="K161" s="24"/>
      <c r="L161" s="24"/>
      <c r="M161" s="26" t="str">
        <f t="shared" si="61"/>
        <v/>
      </c>
      <c r="N161" s="27">
        <f t="shared" si="62"/>
        <v>0</v>
      </c>
      <c r="T161">
        <f t="shared" si="49"/>
        <v>129</v>
      </c>
      <c r="U161">
        <f t="shared" si="63"/>
        <v>26053</v>
      </c>
      <c r="V161">
        <f t="shared" ca="1" si="64"/>
        <v>0</v>
      </c>
      <c r="W161">
        <v>36</v>
      </c>
      <c r="X161" t="str">
        <f t="shared" ca="1" si="65"/>
        <v/>
      </c>
      <c r="Y161" t="s">
        <v>28</v>
      </c>
      <c r="Z161">
        <f t="shared" ca="1" si="66"/>
        <v>0</v>
      </c>
      <c r="AA161" t="str">
        <f t="shared" ca="1" si="67"/>
        <v>SPPN</v>
      </c>
      <c r="AB161">
        <f t="shared" ca="1" si="68"/>
        <v>1</v>
      </c>
      <c r="AC161">
        <f t="shared" ca="1" si="69"/>
        <v>0</v>
      </c>
      <c r="AD161" t="str">
        <f t="shared" si="50"/>
        <v>4093RN153</v>
      </c>
      <c r="AE161">
        <f t="shared" ca="1" si="70"/>
        <v>0</v>
      </c>
      <c r="AF161" t="str">
        <f t="shared" ca="1" si="71"/>
        <v/>
      </c>
      <c r="AG161">
        <v>36</v>
      </c>
      <c r="AH161" t="s">
        <v>136</v>
      </c>
      <c r="AI161" t="str">
        <f t="shared" si="51"/>
        <v>Lutheran Home 25</v>
      </c>
      <c r="AJ161" t="str">
        <f t="shared" si="52"/>
        <v>Green Bay</v>
      </c>
      <c r="AK161" t="str">
        <f t="shared" si="53"/>
        <v>WI</v>
      </c>
      <c r="AL161">
        <f t="shared" si="54"/>
        <v>4091142613</v>
      </c>
      <c r="AM161" t="str">
        <f t="shared" si="55"/>
        <v>4093RN153</v>
      </c>
      <c r="AN161" t="str">
        <f t="shared" si="56"/>
        <v/>
      </c>
      <c r="AO161" t="str">
        <f t="shared" si="57"/>
        <v>Pella</v>
      </c>
      <c r="AP161">
        <f t="shared" si="58"/>
        <v>54201</v>
      </c>
      <c r="AQ161">
        <f t="shared" ca="1" si="72"/>
        <v>0</v>
      </c>
      <c r="AR161" s="1">
        <f t="shared" si="59"/>
        <v>46135</v>
      </c>
      <c r="CB161" s="1"/>
    </row>
    <row r="162" spans="1:80" x14ac:dyDescent="0.25">
      <c r="A162" s="23"/>
      <c r="B162" s="23"/>
      <c r="C162" s="23"/>
      <c r="D162" s="24"/>
      <c r="E162" s="24"/>
      <c r="F162" s="25">
        <f t="shared" si="60"/>
        <v>0</v>
      </c>
      <c r="G162" s="24"/>
      <c r="H162" s="24"/>
      <c r="I162" s="25">
        <v>1</v>
      </c>
      <c r="J162" s="24"/>
      <c r="K162" s="24"/>
      <c r="L162" s="24"/>
      <c r="M162" s="26" t="str">
        <f t="shared" si="61"/>
        <v/>
      </c>
      <c r="N162" s="27">
        <f t="shared" si="62"/>
        <v>0</v>
      </c>
      <c r="T162">
        <f t="shared" si="49"/>
        <v>129</v>
      </c>
      <c r="U162">
        <f t="shared" si="63"/>
        <v>26053</v>
      </c>
      <c r="V162">
        <f t="shared" ca="1" si="64"/>
        <v>0</v>
      </c>
      <c r="W162">
        <v>36</v>
      </c>
      <c r="X162" t="str">
        <f t="shared" ca="1" si="65"/>
        <v/>
      </c>
      <c r="Y162" t="s">
        <v>32</v>
      </c>
      <c r="Z162">
        <f t="shared" ca="1" si="66"/>
        <v>0</v>
      </c>
      <c r="AA162" t="str">
        <f t="shared" ca="1" si="67"/>
        <v>SPPN</v>
      </c>
      <c r="AB162">
        <f t="shared" ca="1" si="68"/>
        <v>1</v>
      </c>
      <c r="AC162">
        <f t="shared" ca="1" si="69"/>
        <v>0</v>
      </c>
      <c r="AD162" t="str">
        <f t="shared" si="50"/>
        <v>4093RN153</v>
      </c>
      <c r="AE162">
        <f t="shared" ca="1" si="70"/>
        <v>0</v>
      </c>
      <c r="AF162" t="str">
        <f t="shared" ca="1" si="71"/>
        <v/>
      </c>
      <c r="AG162">
        <v>36</v>
      </c>
      <c r="AH162" t="s">
        <v>136</v>
      </c>
      <c r="AI162" t="str">
        <f t="shared" si="51"/>
        <v>Lutheran Home 25</v>
      </c>
      <c r="AJ162" t="str">
        <f t="shared" si="52"/>
        <v>Green Bay</v>
      </c>
      <c r="AK162" t="str">
        <f t="shared" si="53"/>
        <v>WI</v>
      </c>
      <c r="AL162">
        <f t="shared" si="54"/>
        <v>4091142613</v>
      </c>
      <c r="AM162" t="str">
        <f t="shared" si="55"/>
        <v>4093RN153</v>
      </c>
      <c r="AN162" t="str">
        <f t="shared" si="56"/>
        <v/>
      </c>
      <c r="AO162" t="str">
        <f t="shared" si="57"/>
        <v>Pella</v>
      </c>
      <c r="AP162">
        <f t="shared" si="58"/>
        <v>54201</v>
      </c>
      <c r="AQ162">
        <f t="shared" ca="1" si="72"/>
        <v>0</v>
      </c>
      <c r="AR162" s="1">
        <f t="shared" si="59"/>
        <v>46135</v>
      </c>
      <c r="CB162" s="1"/>
    </row>
    <row r="163" spans="1:80" x14ac:dyDescent="0.25">
      <c r="A163" s="23"/>
      <c r="B163" s="23"/>
      <c r="C163" s="23"/>
      <c r="D163" s="24"/>
      <c r="E163" s="24"/>
      <c r="F163" s="25">
        <f t="shared" si="60"/>
        <v>0</v>
      </c>
      <c r="G163" s="24"/>
      <c r="H163" s="24"/>
      <c r="I163" s="25">
        <v>1</v>
      </c>
      <c r="J163" s="24"/>
      <c r="K163" s="24"/>
      <c r="L163" s="24"/>
      <c r="M163" s="26" t="str">
        <f t="shared" si="61"/>
        <v/>
      </c>
      <c r="N163" s="27">
        <f t="shared" si="62"/>
        <v>0</v>
      </c>
      <c r="T163">
        <f t="shared" si="49"/>
        <v>129</v>
      </c>
      <c r="U163">
        <f t="shared" si="63"/>
        <v>26053</v>
      </c>
      <c r="V163">
        <f t="shared" ca="1" si="64"/>
        <v>0</v>
      </c>
      <c r="W163">
        <v>37</v>
      </c>
      <c r="X163" t="str">
        <f t="shared" ca="1" si="65"/>
        <v/>
      </c>
      <c r="Y163" t="s">
        <v>9</v>
      </c>
      <c r="Z163">
        <f t="shared" ca="1" si="66"/>
        <v>0</v>
      </c>
      <c r="AA163" t="str">
        <f t="shared" ca="1" si="67"/>
        <v>SPPN</v>
      </c>
      <c r="AB163">
        <f t="shared" ca="1" si="68"/>
        <v>1</v>
      </c>
      <c r="AC163" t="str">
        <f t="shared" ca="1" si="69"/>
        <v/>
      </c>
      <c r="AD163" t="str">
        <f t="shared" si="50"/>
        <v>4093RN153</v>
      </c>
      <c r="AE163">
        <f t="shared" ca="1" si="70"/>
        <v>0</v>
      </c>
      <c r="AF163" t="str">
        <f t="shared" ca="1" si="71"/>
        <v/>
      </c>
      <c r="AG163">
        <v>37</v>
      </c>
      <c r="AH163" t="s">
        <v>136</v>
      </c>
      <c r="AI163" t="str">
        <f t="shared" si="51"/>
        <v>Lutheran Home 25</v>
      </c>
      <c r="AJ163" t="str">
        <f t="shared" si="52"/>
        <v>Green Bay</v>
      </c>
      <c r="AK163" t="str">
        <f t="shared" si="53"/>
        <v>WI</v>
      </c>
      <c r="AL163">
        <f t="shared" si="54"/>
        <v>4091142613</v>
      </c>
      <c r="AM163" t="str">
        <f t="shared" si="55"/>
        <v>4093RN153</v>
      </c>
      <c r="AN163" t="str">
        <f t="shared" si="56"/>
        <v/>
      </c>
      <c r="AO163" t="str">
        <f t="shared" si="57"/>
        <v>Pella</v>
      </c>
      <c r="AP163">
        <f t="shared" si="58"/>
        <v>54201</v>
      </c>
      <c r="AQ163">
        <f t="shared" ca="1" si="72"/>
        <v>0</v>
      </c>
      <c r="AR163" s="1">
        <f t="shared" si="59"/>
        <v>46135</v>
      </c>
      <c r="CB163" s="1"/>
    </row>
    <row r="164" spans="1:80" x14ac:dyDescent="0.25">
      <c r="A164" s="23"/>
      <c r="B164" s="23"/>
      <c r="C164" s="23"/>
      <c r="D164" s="24"/>
      <c r="E164" s="24"/>
      <c r="F164" s="25">
        <f t="shared" si="60"/>
        <v>0</v>
      </c>
      <c r="G164" s="24"/>
      <c r="H164" s="24"/>
      <c r="I164" s="25">
        <v>1</v>
      </c>
      <c r="J164" s="24"/>
      <c r="K164" s="24"/>
      <c r="L164" s="24"/>
      <c r="M164" s="26" t="str">
        <f t="shared" si="61"/>
        <v/>
      </c>
      <c r="N164" s="27">
        <f t="shared" si="62"/>
        <v>0</v>
      </c>
      <c r="T164">
        <f t="shared" si="49"/>
        <v>129</v>
      </c>
      <c r="U164">
        <f t="shared" si="63"/>
        <v>26053</v>
      </c>
      <c r="V164">
        <f t="shared" ca="1" si="64"/>
        <v>0</v>
      </c>
      <c r="W164">
        <v>37</v>
      </c>
      <c r="X164" t="str">
        <f t="shared" ca="1" si="65"/>
        <v/>
      </c>
      <c r="Y164" t="s">
        <v>33</v>
      </c>
      <c r="Z164">
        <f t="shared" ca="1" si="66"/>
        <v>0</v>
      </c>
      <c r="AA164" t="str">
        <f t="shared" ca="1" si="67"/>
        <v>SPPN</v>
      </c>
      <c r="AB164">
        <f t="shared" ca="1" si="68"/>
        <v>1</v>
      </c>
      <c r="AC164" t="str">
        <f t="shared" ca="1" si="69"/>
        <v/>
      </c>
      <c r="AD164" t="str">
        <f t="shared" si="50"/>
        <v>4093RN153</v>
      </c>
      <c r="AE164">
        <f t="shared" ca="1" si="70"/>
        <v>0</v>
      </c>
      <c r="AF164" t="str">
        <f t="shared" ca="1" si="71"/>
        <v/>
      </c>
      <c r="AG164">
        <v>37</v>
      </c>
      <c r="AH164" t="s">
        <v>136</v>
      </c>
      <c r="AI164" t="str">
        <f t="shared" si="51"/>
        <v>Lutheran Home 25</v>
      </c>
      <c r="AJ164" t="str">
        <f t="shared" si="52"/>
        <v>Green Bay</v>
      </c>
      <c r="AK164" t="str">
        <f t="shared" si="53"/>
        <v>WI</v>
      </c>
      <c r="AL164">
        <f t="shared" si="54"/>
        <v>4091142613</v>
      </c>
      <c r="AM164" t="str">
        <f t="shared" si="55"/>
        <v>4093RN153</v>
      </c>
      <c r="AN164" t="str">
        <f t="shared" si="56"/>
        <v/>
      </c>
      <c r="AO164" t="str">
        <f t="shared" si="57"/>
        <v>Pella</v>
      </c>
      <c r="AP164">
        <f t="shared" si="58"/>
        <v>54201</v>
      </c>
      <c r="AQ164">
        <f t="shared" ca="1" si="72"/>
        <v>0</v>
      </c>
      <c r="AR164" s="1">
        <f t="shared" si="59"/>
        <v>46135</v>
      </c>
      <c r="CB164" s="1"/>
    </row>
    <row r="165" spans="1:80" x14ac:dyDescent="0.25">
      <c r="A165" s="23"/>
      <c r="B165" s="23"/>
      <c r="C165" s="23"/>
      <c r="D165" s="24"/>
      <c r="E165" s="24"/>
      <c r="F165" s="25">
        <f t="shared" si="60"/>
        <v>0</v>
      </c>
      <c r="G165" s="24"/>
      <c r="H165" s="24"/>
      <c r="I165" s="25">
        <v>1</v>
      </c>
      <c r="J165" s="24"/>
      <c r="K165" s="24"/>
      <c r="L165" s="24"/>
      <c r="M165" s="26" t="str">
        <f t="shared" si="61"/>
        <v/>
      </c>
      <c r="N165" s="27">
        <f t="shared" si="62"/>
        <v>0</v>
      </c>
      <c r="T165">
        <f t="shared" si="49"/>
        <v>129</v>
      </c>
      <c r="U165">
        <f t="shared" si="63"/>
        <v>26053</v>
      </c>
      <c r="V165">
        <f t="shared" ca="1" si="64"/>
        <v>0</v>
      </c>
      <c r="W165">
        <v>37</v>
      </c>
      <c r="X165" t="str">
        <f t="shared" ca="1" si="65"/>
        <v/>
      </c>
      <c r="Y165" t="s">
        <v>28</v>
      </c>
      <c r="Z165">
        <f t="shared" ca="1" si="66"/>
        <v>0</v>
      </c>
      <c r="AA165" t="str">
        <f t="shared" ca="1" si="67"/>
        <v>SPPN</v>
      </c>
      <c r="AB165">
        <f t="shared" ca="1" si="68"/>
        <v>1</v>
      </c>
      <c r="AC165">
        <f t="shared" ca="1" si="69"/>
        <v>0</v>
      </c>
      <c r="AD165" t="str">
        <f t="shared" si="50"/>
        <v>4093RN153</v>
      </c>
      <c r="AE165">
        <f t="shared" ca="1" si="70"/>
        <v>0</v>
      </c>
      <c r="AF165" t="str">
        <f t="shared" ca="1" si="71"/>
        <v/>
      </c>
      <c r="AG165">
        <v>37</v>
      </c>
      <c r="AH165" t="s">
        <v>136</v>
      </c>
      <c r="AI165" t="str">
        <f t="shared" si="51"/>
        <v>Lutheran Home 25</v>
      </c>
      <c r="AJ165" t="str">
        <f t="shared" si="52"/>
        <v>Green Bay</v>
      </c>
      <c r="AK165" t="str">
        <f t="shared" si="53"/>
        <v>WI</v>
      </c>
      <c r="AL165">
        <f t="shared" si="54"/>
        <v>4091142613</v>
      </c>
      <c r="AM165" t="str">
        <f t="shared" si="55"/>
        <v>4093RN153</v>
      </c>
      <c r="AN165" t="str">
        <f t="shared" si="56"/>
        <v/>
      </c>
      <c r="AO165" t="str">
        <f t="shared" si="57"/>
        <v>Pella</v>
      </c>
      <c r="AP165">
        <f t="shared" si="58"/>
        <v>54201</v>
      </c>
      <c r="AQ165">
        <f t="shared" ca="1" si="72"/>
        <v>0</v>
      </c>
      <c r="AR165" s="1">
        <f t="shared" si="59"/>
        <v>46135</v>
      </c>
      <c r="CB165" s="1"/>
    </row>
    <row r="166" spans="1:80" x14ac:dyDescent="0.25">
      <c r="A166" s="23"/>
      <c r="B166" s="23"/>
      <c r="C166" s="23"/>
      <c r="D166" s="24"/>
      <c r="E166" s="24"/>
      <c r="F166" s="25">
        <f t="shared" si="60"/>
        <v>0</v>
      </c>
      <c r="G166" s="24"/>
      <c r="H166" s="24"/>
      <c r="I166" s="25">
        <v>1</v>
      </c>
      <c r="J166" s="24"/>
      <c r="K166" s="24"/>
      <c r="L166" s="24"/>
      <c r="M166" s="26" t="str">
        <f t="shared" si="61"/>
        <v/>
      </c>
      <c r="N166" s="27">
        <f t="shared" si="62"/>
        <v>0</v>
      </c>
      <c r="T166">
        <f t="shared" si="49"/>
        <v>129</v>
      </c>
      <c r="U166">
        <f t="shared" si="63"/>
        <v>26053</v>
      </c>
      <c r="V166">
        <f t="shared" ca="1" si="64"/>
        <v>0</v>
      </c>
      <c r="W166">
        <v>37</v>
      </c>
      <c r="X166" t="str">
        <f t="shared" ca="1" si="65"/>
        <v/>
      </c>
      <c r="Y166" t="s">
        <v>32</v>
      </c>
      <c r="Z166">
        <f t="shared" ca="1" si="66"/>
        <v>0</v>
      </c>
      <c r="AA166" t="str">
        <f t="shared" ca="1" si="67"/>
        <v>SPPN</v>
      </c>
      <c r="AB166">
        <f t="shared" ca="1" si="68"/>
        <v>1</v>
      </c>
      <c r="AC166">
        <f t="shared" ca="1" si="69"/>
        <v>0</v>
      </c>
      <c r="AD166" t="str">
        <f t="shared" si="50"/>
        <v>4093RN153</v>
      </c>
      <c r="AE166">
        <f t="shared" ca="1" si="70"/>
        <v>0</v>
      </c>
      <c r="AF166" t="str">
        <f t="shared" ca="1" si="71"/>
        <v/>
      </c>
      <c r="AG166">
        <v>37</v>
      </c>
      <c r="AH166" t="s">
        <v>136</v>
      </c>
      <c r="AI166" t="str">
        <f t="shared" si="51"/>
        <v>Lutheran Home 25</v>
      </c>
      <c r="AJ166" t="str">
        <f t="shared" si="52"/>
        <v>Green Bay</v>
      </c>
      <c r="AK166" t="str">
        <f t="shared" si="53"/>
        <v>WI</v>
      </c>
      <c r="AL166">
        <f t="shared" si="54"/>
        <v>4091142613</v>
      </c>
      <c r="AM166" t="str">
        <f t="shared" si="55"/>
        <v>4093RN153</v>
      </c>
      <c r="AN166" t="str">
        <f t="shared" si="56"/>
        <v/>
      </c>
      <c r="AO166" t="str">
        <f t="shared" si="57"/>
        <v>Pella</v>
      </c>
      <c r="AP166">
        <f t="shared" si="58"/>
        <v>54201</v>
      </c>
      <c r="AQ166">
        <f t="shared" ca="1" si="72"/>
        <v>0</v>
      </c>
      <c r="AR166" s="1">
        <f t="shared" si="59"/>
        <v>46135</v>
      </c>
      <c r="CB166" s="1"/>
    </row>
    <row r="167" spans="1:80" x14ac:dyDescent="0.25">
      <c r="A167" s="23"/>
      <c r="B167" s="23"/>
      <c r="C167" s="23"/>
      <c r="D167" s="24"/>
      <c r="E167" s="24"/>
      <c r="F167" s="25">
        <f t="shared" si="60"/>
        <v>0</v>
      </c>
      <c r="G167" s="24"/>
      <c r="H167" s="24"/>
      <c r="I167" s="25">
        <v>1</v>
      </c>
      <c r="J167" s="24"/>
      <c r="K167" s="24"/>
      <c r="L167" s="24"/>
      <c r="M167" s="26" t="str">
        <f t="shared" si="61"/>
        <v/>
      </c>
      <c r="N167" s="27">
        <f t="shared" si="62"/>
        <v>0</v>
      </c>
      <c r="T167">
        <f t="shared" si="49"/>
        <v>129</v>
      </c>
      <c r="U167">
        <f t="shared" si="63"/>
        <v>26053</v>
      </c>
      <c r="V167">
        <f t="shared" ca="1" si="64"/>
        <v>0</v>
      </c>
      <c r="W167">
        <v>38</v>
      </c>
      <c r="X167" t="str">
        <f t="shared" ca="1" si="65"/>
        <v/>
      </c>
      <c r="Y167" t="s">
        <v>9</v>
      </c>
      <c r="Z167">
        <f t="shared" ca="1" si="66"/>
        <v>0</v>
      </c>
      <c r="AA167" t="str">
        <f t="shared" ca="1" si="67"/>
        <v>SPPN</v>
      </c>
      <c r="AB167">
        <f t="shared" ca="1" si="68"/>
        <v>1</v>
      </c>
      <c r="AC167" t="str">
        <f t="shared" ca="1" si="69"/>
        <v/>
      </c>
      <c r="AD167" t="str">
        <f t="shared" si="50"/>
        <v>4093RN153</v>
      </c>
      <c r="AE167">
        <f t="shared" ca="1" si="70"/>
        <v>0</v>
      </c>
      <c r="AF167" t="str">
        <f t="shared" ca="1" si="71"/>
        <v/>
      </c>
      <c r="AG167">
        <v>38</v>
      </c>
      <c r="AH167" t="s">
        <v>136</v>
      </c>
      <c r="AI167" t="str">
        <f t="shared" si="51"/>
        <v>Lutheran Home 25</v>
      </c>
      <c r="AJ167" t="str">
        <f t="shared" si="52"/>
        <v>Green Bay</v>
      </c>
      <c r="AK167" t="str">
        <f t="shared" si="53"/>
        <v>WI</v>
      </c>
      <c r="AL167">
        <f t="shared" si="54"/>
        <v>4091142613</v>
      </c>
      <c r="AM167" t="str">
        <f t="shared" si="55"/>
        <v>4093RN153</v>
      </c>
      <c r="AN167" t="str">
        <f t="shared" si="56"/>
        <v/>
      </c>
      <c r="AO167" t="str">
        <f t="shared" si="57"/>
        <v>Pella</v>
      </c>
      <c r="AP167">
        <f t="shared" si="58"/>
        <v>54201</v>
      </c>
      <c r="AQ167">
        <f t="shared" ca="1" si="72"/>
        <v>0</v>
      </c>
      <c r="AR167" s="1">
        <f t="shared" si="59"/>
        <v>46135</v>
      </c>
      <c r="CB167" s="1"/>
    </row>
    <row r="168" spans="1:80" x14ac:dyDescent="0.25">
      <c r="A168" s="23"/>
      <c r="B168" s="23"/>
      <c r="C168" s="23"/>
      <c r="D168" s="24"/>
      <c r="E168" s="24"/>
      <c r="F168" s="25">
        <f t="shared" si="60"/>
        <v>0</v>
      </c>
      <c r="G168" s="24"/>
      <c r="H168" s="24"/>
      <c r="I168" s="25">
        <v>1</v>
      </c>
      <c r="J168" s="24"/>
      <c r="K168" s="24"/>
      <c r="L168" s="24"/>
      <c r="M168" s="26" t="str">
        <f t="shared" si="61"/>
        <v/>
      </c>
      <c r="N168" s="27">
        <f t="shared" si="62"/>
        <v>0</v>
      </c>
      <c r="T168">
        <f t="shared" si="49"/>
        <v>129</v>
      </c>
      <c r="U168">
        <f t="shared" si="63"/>
        <v>26053</v>
      </c>
      <c r="V168">
        <f t="shared" ca="1" si="64"/>
        <v>0</v>
      </c>
      <c r="W168">
        <v>38</v>
      </c>
      <c r="X168" t="str">
        <f t="shared" ca="1" si="65"/>
        <v/>
      </c>
      <c r="Y168" t="s">
        <v>33</v>
      </c>
      <c r="Z168">
        <f t="shared" ca="1" si="66"/>
        <v>0</v>
      </c>
      <c r="AA168" t="str">
        <f t="shared" ca="1" si="67"/>
        <v>SPPN</v>
      </c>
      <c r="AB168">
        <f t="shared" ca="1" si="68"/>
        <v>1</v>
      </c>
      <c r="AC168" t="str">
        <f t="shared" ca="1" si="69"/>
        <v/>
      </c>
      <c r="AD168" t="str">
        <f t="shared" si="50"/>
        <v>4093RN153</v>
      </c>
      <c r="AE168">
        <f t="shared" ca="1" si="70"/>
        <v>0</v>
      </c>
      <c r="AF168" t="str">
        <f t="shared" ca="1" si="71"/>
        <v/>
      </c>
      <c r="AG168">
        <v>38</v>
      </c>
      <c r="AH168" t="s">
        <v>136</v>
      </c>
      <c r="AI168" t="str">
        <f t="shared" si="51"/>
        <v>Lutheran Home 25</v>
      </c>
      <c r="AJ168" t="str">
        <f t="shared" si="52"/>
        <v>Green Bay</v>
      </c>
      <c r="AK168" t="str">
        <f t="shared" si="53"/>
        <v>WI</v>
      </c>
      <c r="AL168">
        <f t="shared" si="54"/>
        <v>4091142613</v>
      </c>
      <c r="AM168" t="str">
        <f t="shared" si="55"/>
        <v>4093RN153</v>
      </c>
      <c r="AN168" t="str">
        <f t="shared" si="56"/>
        <v/>
      </c>
      <c r="AO168" t="str">
        <f t="shared" si="57"/>
        <v>Pella</v>
      </c>
      <c r="AP168">
        <f t="shared" si="58"/>
        <v>54201</v>
      </c>
      <c r="AQ168">
        <f t="shared" ca="1" si="72"/>
        <v>0</v>
      </c>
      <c r="AR168" s="1">
        <f t="shared" si="59"/>
        <v>46135</v>
      </c>
      <c r="CB168" s="1"/>
    </row>
    <row r="169" spans="1:80" x14ac:dyDescent="0.25">
      <c r="A169" s="23"/>
      <c r="B169" s="23"/>
      <c r="C169" s="23"/>
      <c r="D169" s="24"/>
      <c r="E169" s="24"/>
      <c r="F169" s="25">
        <f t="shared" si="60"/>
        <v>0</v>
      </c>
      <c r="G169" s="24"/>
      <c r="H169" s="24"/>
      <c r="I169" s="25">
        <v>1</v>
      </c>
      <c r="J169" s="24"/>
      <c r="K169" s="24"/>
      <c r="L169" s="24"/>
      <c r="M169" s="26" t="str">
        <f t="shared" si="61"/>
        <v/>
      </c>
      <c r="N169" s="27">
        <f t="shared" si="62"/>
        <v>0</v>
      </c>
      <c r="T169">
        <f t="shared" si="49"/>
        <v>129</v>
      </c>
      <c r="U169">
        <f t="shared" si="63"/>
        <v>26053</v>
      </c>
      <c r="V169">
        <f t="shared" ca="1" si="64"/>
        <v>0</v>
      </c>
      <c r="W169">
        <v>38</v>
      </c>
      <c r="X169" t="str">
        <f t="shared" ca="1" si="65"/>
        <v/>
      </c>
      <c r="Y169" t="s">
        <v>28</v>
      </c>
      <c r="Z169">
        <f t="shared" ca="1" si="66"/>
        <v>0</v>
      </c>
      <c r="AA169" t="str">
        <f t="shared" ca="1" si="67"/>
        <v>SPPN</v>
      </c>
      <c r="AB169">
        <f t="shared" ca="1" si="68"/>
        <v>1</v>
      </c>
      <c r="AC169">
        <f t="shared" ca="1" si="69"/>
        <v>0</v>
      </c>
      <c r="AD169" t="str">
        <f t="shared" si="50"/>
        <v>4093RN153</v>
      </c>
      <c r="AE169">
        <f t="shared" ca="1" si="70"/>
        <v>0</v>
      </c>
      <c r="AF169" t="str">
        <f t="shared" ca="1" si="71"/>
        <v/>
      </c>
      <c r="AG169">
        <v>38</v>
      </c>
      <c r="AH169" t="s">
        <v>136</v>
      </c>
      <c r="AI169" t="str">
        <f t="shared" si="51"/>
        <v>Lutheran Home 25</v>
      </c>
      <c r="AJ169" t="str">
        <f t="shared" si="52"/>
        <v>Green Bay</v>
      </c>
      <c r="AK169" t="str">
        <f t="shared" si="53"/>
        <v>WI</v>
      </c>
      <c r="AL169">
        <f t="shared" si="54"/>
        <v>4091142613</v>
      </c>
      <c r="AM169" t="str">
        <f t="shared" si="55"/>
        <v>4093RN153</v>
      </c>
      <c r="AN169" t="str">
        <f t="shared" si="56"/>
        <v/>
      </c>
      <c r="AO169" t="str">
        <f t="shared" si="57"/>
        <v>Pella</v>
      </c>
      <c r="AP169">
        <f t="shared" si="58"/>
        <v>54201</v>
      </c>
      <c r="AQ169">
        <f t="shared" ca="1" si="72"/>
        <v>0</v>
      </c>
      <c r="AR169" s="1">
        <f t="shared" si="59"/>
        <v>46135</v>
      </c>
      <c r="CB169" s="1"/>
    </row>
    <row r="170" spans="1:80" x14ac:dyDescent="0.25">
      <c r="A170" s="23"/>
      <c r="B170" s="23"/>
      <c r="C170" s="23"/>
      <c r="D170" s="24"/>
      <c r="E170" s="24"/>
      <c r="F170" s="25">
        <f t="shared" si="60"/>
        <v>0</v>
      </c>
      <c r="G170" s="24"/>
      <c r="H170" s="24"/>
      <c r="I170" s="25">
        <v>1</v>
      </c>
      <c r="J170" s="24"/>
      <c r="K170" s="24"/>
      <c r="L170" s="24"/>
      <c r="M170" s="26" t="str">
        <f t="shared" si="61"/>
        <v/>
      </c>
      <c r="N170" s="27">
        <f t="shared" si="62"/>
        <v>0</v>
      </c>
      <c r="T170">
        <f t="shared" si="49"/>
        <v>129</v>
      </c>
      <c r="U170">
        <f t="shared" si="63"/>
        <v>26053</v>
      </c>
      <c r="V170">
        <f t="shared" ca="1" si="64"/>
        <v>0</v>
      </c>
      <c r="W170">
        <v>38</v>
      </c>
      <c r="X170" t="str">
        <f t="shared" ca="1" si="65"/>
        <v/>
      </c>
      <c r="Y170" t="s">
        <v>32</v>
      </c>
      <c r="Z170">
        <f t="shared" ca="1" si="66"/>
        <v>0</v>
      </c>
      <c r="AA170" t="str">
        <f t="shared" ca="1" si="67"/>
        <v>SPPN</v>
      </c>
      <c r="AB170">
        <f t="shared" ca="1" si="68"/>
        <v>1</v>
      </c>
      <c r="AC170">
        <f t="shared" ca="1" si="69"/>
        <v>0</v>
      </c>
      <c r="AD170" t="str">
        <f t="shared" si="50"/>
        <v>4093RN153</v>
      </c>
      <c r="AE170">
        <f t="shared" ca="1" si="70"/>
        <v>0</v>
      </c>
      <c r="AF170" t="str">
        <f t="shared" ca="1" si="71"/>
        <v/>
      </c>
      <c r="AG170">
        <v>38</v>
      </c>
      <c r="AH170" t="s">
        <v>136</v>
      </c>
      <c r="AI170" t="str">
        <f t="shared" si="51"/>
        <v>Lutheran Home 25</v>
      </c>
      <c r="AJ170" t="str">
        <f t="shared" si="52"/>
        <v>Green Bay</v>
      </c>
      <c r="AK170" t="str">
        <f t="shared" si="53"/>
        <v>WI</v>
      </c>
      <c r="AL170">
        <f t="shared" si="54"/>
        <v>4091142613</v>
      </c>
      <c r="AM170" t="str">
        <f t="shared" si="55"/>
        <v>4093RN153</v>
      </c>
      <c r="AN170" t="str">
        <f t="shared" si="56"/>
        <v/>
      </c>
      <c r="AO170" t="str">
        <f t="shared" si="57"/>
        <v>Pella</v>
      </c>
      <c r="AP170">
        <f t="shared" si="58"/>
        <v>54201</v>
      </c>
      <c r="AQ170">
        <f t="shared" ca="1" si="72"/>
        <v>0</v>
      </c>
      <c r="AR170" s="1">
        <f t="shared" si="59"/>
        <v>46135</v>
      </c>
      <c r="CB170" s="1"/>
    </row>
    <row r="171" spans="1:80" x14ac:dyDescent="0.25">
      <c r="A171" s="23"/>
      <c r="B171" s="23"/>
      <c r="C171" s="23"/>
      <c r="D171" s="24"/>
      <c r="E171" s="24"/>
      <c r="F171" s="25">
        <f t="shared" si="60"/>
        <v>0</v>
      </c>
      <c r="G171" s="24"/>
      <c r="H171" s="24"/>
      <c r="I171" s="25">
        <v>1</v>
      </c>
      <c r="J171" s="24"/>
      <c r="K171" s="24"/>
      <c r="L171" s="24"/>
      <c r="M171" s="26" t="str">
        <f t="shared" si="61"/>
        <v/>
      </c>
      <c r="N171" s="27">
        <f t="shared" si="62"/>
        <v>0</v>
      </c>
      <c r="T171">
        <f t="shared" si="49"/>
        <v>129</v>
      </c>
      <c r="U171">
        <f t="shared" si="63"/>
        <v>26053</v>
      </c>
      <c r="V171">
        <f t="shared" ca="1" si="64"/>
        <v>0</v>
      </c>
      <c r="W171">
        <v>39</v>
      </c>
      <c r="X171" t="str">
        <f t="shared" ca="1" si="65"/>
        <v/>
      </c>
      <c r="Y171" t="s">
        <v>9</v>
      </c>
      <c r="Z171">
        <f t="shared" ca="1" si="66"/>
        <v>0</v>
      </c>
      <c r="AA171" t="str">
        <f t="shared" ca="1" si="67"/>
        <v>SPPN</v>
      </c>
      <c r="AB171">
        <f t="shared" ca="1" si="68"/>
        <v>1</v>
      </c>
      <c r="AC171" t="str">
        <f t="shared" ca="1" si="69"/>
        <v/>
      </c>
      <c r="AD171" t="str">
        <f t="shared" si="50"/>
        <v>4093RN153</v>
      </c>
      <c r="AE171">
        <f t="shared" ca="1" si="70"/>
        <v>0</v>
      </c>
      <c r="AF171" t="str">
        <f t="shared" ca="1" si="71"/>
        <v/>
      </c>
      <c r="AG171">
        <v>39</v>
      </c>
      <c r="AH171" t="s">
        <v>136</v>
      </c>
      <c r="AI171" t="str">
        <f t="shared" si="51"/>
        <v>Lutheran Home 25</v>
      </c>
      <c r="AJ171" t="str">
        <f t="shared" si="52"/>
        <v>Green Bay</v>
      </c>
      <c r="AK171" t="str">
        <f t="shared" si="53"/>
        <v>WI</v>
      </c>
      <c r="AL171">
        <f t="shared" si="54"/>
        <v>4091142613</v>
      </c>
      <c r="AM171" t="str">
        <f t="shared" si="55"/>
        <v>4093RN153</v>
      </c>
      <c r="AN171" t="str">
        <f t="shared" si="56"/>
        <v/>
      </c>
      <c r="AO171" t="str">
        <f t="shared" si="57"/>
        <v>Pella</v>
      </c>
      <c r="AP171">
        <f t="shared" si="58"/>
        <v>54201</v>
      </c>
      <c r="AQ171">
        <f t="shared" ca="1" si="72"/>
        <v>0</v>
      </c>
      <c r="AR171" s="1">
        <f t="shared" si="59"/>
        <v>46135</v>
      </c>
      <c r="CB171" s="1"/>
    </row>
    <row r="172" spans="1:80" x14ac:dyDescent="0.25">
      <c r="A172" s="23"/>
      <c r="B172" s="23"/>
      <c r="C172" s="23"/>
      <c r="D172" s="24"/>
      <c r="E172" s="24"/>
      <c r="F172" s="25">
        <f t="shared" si="60"/>
        <v>0</v>
      </c>
      <c r="G172" s="24"/>
      <c r="H172" s="24"/>
      <c r="I172" s="25">
        <v>1</v>
      </c>
      <c r="J172" s="24"/>
      <c r="K172" s="24"/>
      <c r="L172" s="24"/>
      <c r="M172" s="26" t="str">
        <f t="shared" si="61"/>
        <v/>
      </c>
      <c r="N172" s="27">
        <f t="shared" si="62"/>
        <v>0</v>
      </c>
      <c r="T172">
        <f t="shared" si="49"/>
        <v>129</v>
      </c>
      <c r="U172">
        <f t="shared" si="63"/>
        <v>26053</v>
      </c>
      <c r="V172">
        <f t="shared" ca="1" si="64"/>
        <v>0</v>
      </c>
      <c r="W172">
        <v>39</v>
      </c>
      <c r="X172" t="str">
        <f t="shared" ca="1" si="65"/>
        <v/>
      </c>
      <c r="Y172" t="s">
        <v>33</v>
      </c>
      <c r="Z172">
        <f t="shared" ca="1" si="66"/>
        <v>0</v>
      </c>
      <c r="AA172" t="str">
        <f t="shared" ca="1" si="67"/>
        <v>SPPN</v>
      </c>
      <c r="AB172">
        <f t="shared" ca="1" si="68"/>
        <v>1</v>
      </c>
      <c r="AC172" t="str">
        <f t="shared" ca="1" si="69"/>
        <v/>
      </c>
      <c r="AD172" t="str">
        <f t="shared" si="50"/>
        <v>4093RN153</v>
      </c>
      <c r="AE172">
        <f t="shared" ca="1" si="70"/>
        <v>0</v>
      </c>
      <c r="AF172" t="str">
        <f t="shared" ca="1" si="71"/>
        <v/>
      </c>
      <c r="AG172">
        <v>39</v>
      </c>
      <c r="AH172" t="s">
        <v>136</v>
      </c>
      <c r="AI172" t="str">
        <f t="shared" si="51"/>
        <v>Lutheran Home 25</v>
      </c>
      <c r="AJ172" t="str">
        <f t="shared" si="52"/>
        <v>Green Bay</v>
      </c>
      <c r="AK172" t="str">
        <f t="shared" si="53"/>
        <v>WI</v>
      </c>
      <c r="AL172">
        <f t="shared" si="54"/>
        <v>4091142613</v>
      </c>
      <c r="AM172" t="str">
        <f t="shared" si="55"/>
        <v>4093RN153</v>
      </c>
      <c r="AN172" t="str">
        <f t="shared" si="56"/>
        <v/>
      </c>
      <c r="AO172" t="str">
        <f t="shared" si="57"/>
        <v>Pella</v>
      </c>
      <c r="AP172">
        <f t="shared" si="58"/>
        <v>54201</v>
      </c>
      <c r="AQ172">
        <f t="shared" ca="1" si="72"/>
        <v>0</v>
      </c>
      <c r="AR172" s="1">
        <f t="shared" si="59"/>
        <v>46135</v>
      </c>
      <c r="CB172" s="1"/>
    </row>
    <row r="173" spans="1:80" x14ac:dyDescent="0.25">
      <c r="A173" s="23"/>
      <c r="B173" s="23"/>
      <c r="C173" s="23"/>
      <c r="D173" s="24"/>
      <c r="E173" s="24"/>
      <c r="F173" s="25">
        <f t="shared" si="60"/>
        <v>0</v>
      </c>
      <c r="G173" s="24"/>
      <c r="H173" s="24"/>
      <c r="I173" s="25">
        <v>1</v>
      </c>
      <c r="J173" s="24"/>
      <c r="K173" s="24"/>
      <c r="L173" s="24"/>
      <c r="M173" s="26" t="str">
        <f t="shared" si="61"/>
        <v/>
      </c>
      <c r="N173" s="27">
        <f t="shared" si="62"/>
        <v>0</v>
      </c>
      <c r="T173">
        <f t="shared" si="49"/>
        <v>129</v>
      </c>
      <c r="U173">
        <f t="shared" si="63"/>
        <v>26053</v>
      </c>
      <c r="V173">
        <f t="shared" ca="1" si="64"/>
        <v>0</v>
      </c>
      <c r="W173">
        <v>39</v>
      </c>
      <c r="X173" t="str">
        <f t="shared" ca="1" si="65"/>
        <v/>
      </c>
      <c r="Y173" t="s">
        <v>28</v>
      </c>
      <c r="Z173">
        <f t="shared" ca="1" si="66"/>
        <v>0</v>
      </c>
      <c r="AA173" t="str">
        <f t="shared" ca="1" si="67"/>
        <v>SPPN</v>
      </c>
      <c r="AB173">
        <f t="shared" ca="1" si="68"/>
        <v>1</v>
      </c>
      <c r="AC173">
        <f t="shared" ca="1" si="69"/>
        <v>0</v>
      </c>
      <c r="AD173" t="str">
        <f t="shared" si="50"/>
        <v>4093RN153</v>
      </c>
      <c r="AE173">
        <f t="shared" ca="1" si="70"/>
        <v>0</v>
      </c>
      <c r="AF173" t="str">
        <f t="shared" ca="1" si="71"/>
        <v/>
      </c>
      <c r="AG173">
        <v>39</v>
      </c>
      <c r="AH173" t="s">
        <v>136</v>
      </c>
      <c r="AI173" t="str">
        <f t="shared" si="51"/>
        <v>Lutheran Home 25</v>
      </c>
      <c r="AJ173" t="str">
        <f t="shared" si="52"/>
        <v>Green Bay</v>
      </c>
      <c r="AK173" t="str">
        <f t="shared" si="53"/>
        <v>WI</v>
      </c>
      <c r="AL173">
        <f t="shared" si="54"/>
        <v>4091142613</v>
      </c>
      <c r="AM173" t="str">
        <f t="shared" si="55"/>
        <v>4093RN153</v>
      </c>
      <c r="AN173" t="str">
        <f t="shared" si="56"/>
        <v/>
      </c>
      <c r="AO173" t="str">
        <f t="shared" si="57"/>
        <v>Pella</v>
      </c>
      <c r="AP173">
        <f t="shared" si="58"/>
        <v>54201</v>
      </c>
      <c r="AQ173">
        <f t="shared" ca="1" si="72"/>
        <v>0</v>
      </c>
      <c r="AR173" s="1">
        <f t="shared" si="59"/>
        <v>46135</v>
      </c>
      <c r="CB173" s="1"/>
    </row>
    <row r="174" spans="1:80" x14ac:dyDescent="0.25">
      <c r="A174" s="23"/>
      <c r="B174" s="23"/>
      <c r="C174" s="23"/>
      <c r="D174" s="24"/>
      <c r="E174" s="24"/>
      <c r="F174" s="25">
        <f t="shared" si="60"/>
        <v>0</v>
      </c>
      <c r="G174" s="24"/>
      <c r="H174" s="24"/>
      <c r="I174" s="25">
        <v>1</v>
      </c>
      <c r="J174" s="24"/>
      <c r="K174" s="24"/>
      <c r="L174" s="24"/>
      <c r="M174" s="26" t="str">
        <f t="shared" si="61"/>
        <v/>
      </c>
      <c r="N174" s="27">
        <f t="shared" si="62"/>
        <v>0</v>
      </c>
      <c r="T174">
        <f t="shared" si="49"/>
        <v>129</v>
      </c>
      <c r="U174">
        <f t="shared" si="63"/>
        <v>26053</v>
      </c>
      <c r="V174">
        <f t="shared" ca="1" si="64"/>
        <v>0</v>
      </c>
      <c r="W174">
        <v>39</v>
      </c>
      <c r="X174" t="str">
        <f t="shared" ca="1" si="65"/>
        <v/>
      </c>
      <c r="Y174" t="s">
        <v>32</v>
      </c>
      <c r="Z174">
        <f t="shared" ca="1" si="66"/>
        <v>0</v>
      </c>
      <c r="AA174" t="str">
        <f t="shared" ca="1" si="67"/>
        <v>SPPN</v>
      </c>
      <c r="AB174">
        <f t="shared" ca="1" si="68"/>
        <v>1</v>
      </c>
      <c r="AC174">
        <f t="shared" ca="1" si="69"/>
        <v>0</v>
      </c>
      <c r="AD174" t="str">
        <f t="shared" si="50"/>
        <v>4093RN153</v>
      </c>
      <c r="AE174">
        <f t="shared" ca="1" si="70"/>
        <v>0</v>
      </c>
      <c r="AF174" t="str">
        <f t="shared" ca="1" si="71"/>
        <v/>
      </c>
      <c r="AG174">
        <v>39</v>
      </c>
      <c r="AH174" t="s">
        <v>136</v>
      </c>
      <c r="AI174" t="str">
        <f t="shared" si="51"/>
        <v>Lutheran Home 25</v>
      </c>
      <c r="AJ174" t="str">
        <f t="shared" si="52"/>
        <v>Green Bay</v>
      </c>
      <c r="AK174" t="str">
        <f t="shared" si="53"/>
        <v>WI</v>
      </c>
      <c r="AL174">
        <f t="shared" si="54"/>
        <v>4091142613</v>
      </c>
      <c r="AM174" t="str">
        <f t="shared" si="55"/>
        <v>4093RN153</v>
      </c>
      <c r="AN174" t="str">
        <f t="shared" si="56"/>
        <v/>
      </c>
      <c r="AO174" t="str">
        <f t="shared" si="57"/>
        <v>Pella</v>
      </c>
      <c r="AP174">
        <f t="shared" si="58"/>
        <v>54201</v>
      </c>
      <c r="AQ174">
        <f t="shared" ca="1" si="72"/>
        <v>0</v>
      </c>
      <c r="AR174" s="1">
        <f t="shared" si="59"/>
        <v>46135</v>
      </c>
      <c r="CB174" s="1"/>
    </row>
    <row r="175" spans="1:80" x14ac:dyDescent="0.25">
      <c r="A175" s="23"/>
      <c r="B175" s="23"/>
      <c r="C175" s="23"/>
      <c r="D175" s="24"/>
      <c r="E175" s="24"/>
      <c r="F175" s="25">
        <f t="shared" si="60"/>
        <v>0</v>
      </c>
      <c r="G175" s="24"/>
      <c r="H175" s="24"/>
      <c r="I175" s="25">
        <v>1</v>
      </c>
      <c r="J175" s="24"/>
      <c r="K175" s="24"/>
      <c r="L175" s="24"/>
      <c r="M175" s="26" t="str">
        <f t="shared" si="61"/>
        <v/>
      </c>
      <c r="N175" s="27">
        <f t="shared" si="62"/>
        <v>0</v>
      </c>
      <c r="T175">
        <f t="shared" si="49"/>
        <v>129</v>
      </c>
      <c r="U175">
        <f t="shared" si="63"/>
        <v>26053</v>
      </c>
      <c r="V175">
        <f t="shared" ca="1" si="64"/>
        <v>0</v>
      </c>
      <c r="W175">
        <v>40</v>
      </c>
      <c r="X175" t="str">
        <f t="shared" ca="1" si="65"/>
        <v/>
      </c>
      <c r="Y175" t="s">
        <v>9</v>
      </c>
      <c r="Z175">
        <f t="shared" ca="1" si="66"/>
        <v>0</v>
      </c>
      <c r="AA175" t="str">
        <f t="shared" ca="1" si="67"/>
        <v>SPPN</v>
      </c>
      <c r="AB175">
        <f t="shared" ca="1" si="68"/>
        <v>1</v>
      </c>
      <c r="AC175" t="str">
        <f t="shared" ca="1" si="69"/>
        <v/>
      </c>
      <c r="AD175" t="str">
        <f t="shared" si="50"/>
        <v>4093RN153</v>
      </c>
      <c r="AE175">
        <f t="shared" ca="1" si="70"/>
        <v>0</v>
      </c>
      <c r="AF175" t="str">
        <f t="shared" ca="1" si="71"/>
        <v/>
      </c>
      <c r="AG175">
        <v>40</v>
      </c>
      <c r="AH175" t="s">
        <v>136</v>
      </c>
      <c r="AI175" t="str">
        <f t="shared" si="51"/>
        <v>Lutheran Home 25</v>
      </c>
      <c r="AJ175" t="str">
        <f t="shared" si="52"/>
        <v>Green Bay</v>
      </c>
      <c r="AK175" t="str">
        <f t="shared" si="53"/>
        <v>WI</v>
      </c>
      <c r="AL175">
        <f t="shared" si="54"/>
        <v>4091142613</v>
      </c>
      <c r="AM175" t="str">
        <f t="shared" si="55"/>
        <v>4093RN153</v>
      </c>
      <c r="AN175" t="str">
        <f t="shared" si="56"/>
        <v/>
      </c>
      <c r="AO175" t="str">
        <f t="shared" si="57"/>
        <v>Pella</v>
      </c>
      <c r="AP175">
        <f t="shared" si="58"/>
        <v>54201</v>
      </c>
      <c r="AQ175">
        <f t="shared" ca="1" si="72"/>
        <v>0</v>
      </c>
      <c r="AR175" s="1">
        <f t="shared" si="59"/>
        <v>46135</v>
      </c>
      <c r="CB175" s="1"/>
    </row>
    <row r="176" spans="1:80" x14ac:dyDescent="0.25">
      <c r="A176" s="23"/>
      <c r="B176" s="23"/>
      <c r="C176" s="23"/>
      <c r="D176" s="24"/>
      <c r="E176" s="24"/>
      <c r="F176" s="25">
        <f t="shared" si="60"/>
        <v>0</v>
      </c>
      <c r="G176" s="24"/>
      <c r="H176" s="24"/>
      <c r="I176" s="25">
        <v>1</v>
      </c>
      <c r="J176" s="24"/>
      <c r="K176" s="24"/>
      <c r="L176" s="24"/>
      <c r="M176" s="26" t="str">
        <f t="shared" si="61"/>
        <v/>
      </c>
      <c r="N176" s="27">
        <f t="shared" si="62"/>
        <v>0</v>
      </c>
      <c r="T176">
        <f t="shared" si="49"/>
        <v>129</v>
      </c>
      <c r="U176">
        <f t="shared" si="63"/>
        <v>26053</v>
      </c>
      <c r="V176">
        <f t="shared" ca="1" si="64"/>
        <v>0</v>
      </c>
      <c r="W176">
        <v>40</v>
      </c>
      <c r="X176" t="str">
        <f t="shared" ca="1" si="65"/>
        <v/>
      </c>
      <c r="Y176" t="s">
        <v>33</v>
      </c>
      <c r="Z176">
        <f t="shared" ca="1" si="66"/>
        <v>0</v>
      </c>
      <c r="AA176" t="str">
        <f t="shared" ca="1" si="67"/>
        <v>SPPN</v>
      </c>
      <c r="AB176">
        <f t="shared" ca="1" si="68"/>
        <v>1</v>
      </c>
      <c r="AC176" t="str">
        <f t="shared" ca="1" si="69"/>
        <v/>
      </c>
      <c r="AD176" t="str">
        <f t="shared" si="50"/>
        <v>4093RN153</v>
      </c>
      <c r="AE176">
        <f t="shared" ca="1" si="70"/>
        <v>0</v>
      </c>
      <c r="AF176" t="str">
        <f t="shared" ca="1" si="71"/>
        <v/>
      </c>
      <c r="AG176">
        <v>40</v>
      </c>
      <c r="AH176" t="s">
        <v>136</v>
      </c>
      <c r="AI176" t="str">
        <f t="shared" si="51"/>
        <v>Lutheran Home 25</v>
      </c>
      <c r="AJ176" t="str">
        <f t="shared" si="52"/>
        <v>Green Bay</v>
      </c>
      <c r="AK176" t="str">
        <f t="shared" si="53"/>
        <v>WI</v>
      </c>
      <c r="AL176">
        <f t="shared" si="54"/>
        <v>4091142613</v>
      </c>
      <c r="AM176" t="str">
        <f t="shared" si="55"/>
        <v>4093RN153</v>
      </c>
      <c r="AN176" t="str">
        <f t="shared" si="56"/>
        <v/>
      </c>
      <c r="AO176" t="str">
        <f t="shared" si="57"/>
        <v>Pella</v>
      </c>
      <c r="AP176">
        <f t="shared" si="58"/>
        <v>54201</v>
      </c>
      <c r="AQ176">
        <f t="shared" ca="1" si="72"/>
        <v>0</v>
      </c>
      <c r="AR176" s="1">
        <f t="shared" si="59"/>
        <v>46135</v>
      </c>
      <c r="CB176" s="1"/>
    </row>
    <row r="177" spans="1:80" x14ac:dyDescent="0.25">
      <c r="A177" s="23"/>
      <c r="B177" s="23"/>
      <c r="C177" s="23"/>
      <c r="D177" s="24"/>
      <c r="E177" s="24"/>
      <c r="F177" s="25">
        <f t="shared" si="60"/>
        <v>0</v>
      </c>
      <c r="G177" s="24"/>
      <c r="H177" s="24"/>
      <c r="I177" s="25">
        <v>1</v>
      </c>
      <c r="J177" s="24"/>
      <c r="K177" s="24"/>
      <c r="L177" s="24"/>
      <c r="M177" s="26" t="str">
        <f t="shared" si="61"/>
        <v/>
      </c>
      <c r="N177" s="27">
        <f t="shared" si="62"/>
        <v>0</v>
      </c>
      <c r="T177">
        <f t="shared" si="49"/>
        <v>129</v>
      </c>
      <c r="U177">
        <f t="shared" si="63"/>
        <v>26053</v>
      </c>
      <c r="V177">
        <f t="shared" ca="1" si="64"/>
        <v>0</v>
      </c>
      <c r="W177">
        <v>40</v>
      </c>
      <c r="X177" t="str">
        <f t="shared" ca="1" si="65"/>
        <v/>
      </c>
      <c r="Y177" t="s">
        <v>28</v>
      </c>
      <c r="Z177">
        <f t="shared" ca="1" si="66"/>
        <v>0</v>
      </c>
      <c r="AA177" t="str">
        <f t="shared" ca="1" si="67"/>
        <v>SPPN</v>
      </c>
      <c r="AB177">
        <f t="shared" ca="1" si="68"/>
        <v>1</v>
      </c>
      <c r="AC177">
        <f t="shared" ca="1" si="69"/>
        <v>0</v>
      </c>
      <c r="AD177" t="str">
        <f t="shared" si="50"/>
        <v>4093RN153</v>
      </c>
      <c r="AE177">
        <f t="shared" ca="1" si="70"/>
        <v>0</v>
      </c>
      <c r="AF177" t="str">
        <f t="shared" ca="1" si="71"/>
        <v/>
      </c>
      <c r="AG177">
        <v>40</v>
      </c>
      <c r="AH177" t="s">
        <v>136</v>
      </c>
      <c r="AI177" t="str">
        <f t="shared" si="51"/>
        <v>Lutheran Home 25</v>
      </c>
      <c r="AJ177" t="str">
        <f t="shared" si="52"/>
        <v>Green Bay</v>
      </c>
      <c r="AK177" t="str">
        <f t="shared" si="53"/>
        <v>WI</v>
      </c>
      <c r="AL177">
        <f t="shared" si="54"/>
        <v>4091142613</v>
      </c>
      <c r="AM177" t="str">
        <f t="shared" si="55"/>
        <v>4093RN153</v>
      </c>
      <c r="AN177" t="str">
        <f t="shared" si="56"/>
        <v/>
      </c>
      <c r="AO177" t="str">
        <f t="shared" si="57"/>
        <v>Pella</v>
      </c>
      <c r="AP177">
        <f t="shared" si="58"/>
        <v>54201</v>
      </c>
      <c r="AQ177">
        <f t="shared" ca="1" si="72"/>
        <v>0</v>
      </c>
      <c r="AR177" s="1">
        <f t="shared" si="59"/>
        <v>46135</v>
      </c>
      <c r="CB177" s="1"/>
    </row>
    <row r="178" spans="1:80" x14ac:dyDescent="0.25">
      <c r="A178" s="23"/>
      <c r="B178" s="23"/>
      <c r="C178" s="23"/>
      <c r="D178" s="24"/>
      <c r="E178" s="24"/>
      <c r="F178" s="25">
        <f t="shared" si="60"/>
        <v>0</v>
      </c>
      <c r="G178" s="24"/>
      <c r="H178" s="24"/>
      <c r="I178" s="25">
        <v>1</v>
      </c>
      <c r="J178" s="24"/>
      <c r="K178" s="24"/>
      <c r="L178" s="24"/>
      <c r="M178" s="26" t="str">
        <f t="shared" si="61"/>
        <v/>
      </c>
      <c r="N178" s="27">
        <f t="shared" si="62"/>
        <v>0</v>
      </c>
      <c r="T178">
        <f t="shared" si="49"/>
        <v>129</v>
      </c>
      <c r="U178">
        <f t="shared" si="63"/>
        <v>26053</v>
      </c>
      <c r="V178">
        <f t="shared" ca="1" si="64"/>
        <v>0</v>
      </c>
      <c r="W178">
        <v>40</v>
      </c>
      <c r="X178" t="str">
        <f t="shared" ca="1" si="65"/>
        <v/>
      </c>
      <c r="Y178" t="s">
        <v>32</v>
      </c>
      <c r="Z178">
        <f t="shared" ca="1" si="66"/>
        <v>0</v>
      </c>
      <c r="AA178" t="str">
        <f t="shared" ca="1" si="67"/>
        <v>SPPN</v>
      </c>
      <c r="AB178">
        <f t="shared" ca="1" si="68"/>
        <v>1</v>
      </c>
      <c r="AC178">
        <f t="shared" ca="1" si="69"/>
        <v>0</v>
      </c>
      <c r="AD178" t="str">
        <f t="shared" si="50"/>
        <v>4093RN153</v>
      </c>
      <c r="AE178">
        <f t="shared" ca="1" si="70"/>
        <v>0</v>
      </c>
      <c r="AF178" t="str">
        <f t="shared" ca="1" si="71"/>
        <v/>
      </c>
      <c r="AG178">
        <v>40</v>
      </c>
      <c r="AH178" t="s">
        <v>136</v>
      </c>
      <c r="AI178" t="str">
        <f t="shared" si="51"/>
        <v>Lutheran Home 25</v>
      </c>
      <c r="AJ178" t="str">
        <f t="shared" si="52"/>
        <v>Green Bay</v>
      </c>
      <c r="AK178" t="str">
        <f t="shared" si="53"/>
        <v>WI</v>
      </c>
      <c r="AL178">
        <f t="shared" si="54"/>
        <v>4091142613</v>
      </c>
      <c r="AM178" t="str">
        <f t="shared" si="55"/>
        <v>4093RN153</v>
      </c>
      <c r="AN178" t="str">
        <f t="shared" si="56"/>
        <v/>
      </c>
      <c r="AO178" t="str">
        <f t="shared" si="57"/>
        <v>Pella</v>
      </c>
      <c r="AP178">
        <f t="shared" si="58"/>
        <v>54201</v>
      </c>
      <c r="AQ178">
        <f t="shared" ca="1" si="72"/>
        <v>0</v>
      </c>
      <c r="AR178" s="1">
        <f t="shared" si="59"/>
        <v>46135</v>
      </c>
      <c r="CB178" s="1"/>
    </row>
    <row r="179" spans="1:80" x14ac:dyDescent="0.25">
      <c r="A179" s="23"/>
      <c r="B179" s="23"/>
      <c r="C179" s="23"/>
      <c r="D179" s="24"/>
      <c r="E179" s="24"/>
      <c r="F179" s="25">
        <f t="shared" si="60"/>
        <v>0</v>
      </c>
      <c r="G179" s="24"/>
      <c r="H179" s="24"/>
      <c r="I179" s="25">
        <v>1</v>
      </c>
      <c r="J179" s="24"/>
      <c r="K179" s="24"/>
      <c r="L179" s="24"/>
      <c r="M179" s="26" t="str">
        <f t="shared" si="61"/>
        <v/>
      </c>
      <c r="N179" s="27">
        <f t="shared" si="62"/>
        <v>0</v>
      </c>
      <c r="T179">
        <f t="shared" si="49"/>
        <v>129</v>
      </c>
      <c r="U179">
        <f t="shared" si="63"/>
        <v>26053</v>
      </c>
      <c r="V179">
        <f t="shared" ca="1" si="64"/>
        <v>0</v>
      </c>
      <c r="W179">
        <v>41</v>
      </c>
      <c r="X179" t="str">
        <f t="shared" ca="1" si="65"/>
        <v/>
      </c>
      <c r="Y179" t="s">
        <v>9</v>
      </c>
      <c r="Z179">
        <f t="shared" ca="1" si="66"/>
        <v>0</v>
      </c>
      <c r="AA179" t="str">
        <f t="shared" ca="1" si="67"/>
        <v>SPPN</v>
      </c>
      <c r="AB179">
        <f t="shared" ca="1" si="68"/>
        <v>1</v>
      </c>
      <c r="AC179" t="str">
        <f t="shared" ca="1" si="69"/>
        <v/>
      </c>
      <c r="AD179" t="str">
        <f t="shared" si="50"/>
        <v>4093RN153</v>
      </c>
      <c r="AE179">
        <f t="shared" ca="1" si="70"/>
        <v>0</v>
      </c>
      <c r="AF179" t="str">
        <f t="shared" ca="1" si="71"/>
        <v/>
      </c>
      <c r="AG179">
        <v>41</v>
      </c>
      <c r="AH179" t="s">
        <v>136</v>
      </c>
      <c r="AI179" t="str">
        <f t="shared" si="51"/>
        <v>Lutheran Home 25</v>
      </c>
      <c r="AJ179" t="str">
        <f t="shared" si="52"/>
        <v>Green Bay</v>
      </c>
      <c r="AK179" t="str">
        <f t="shared" si="53"/>
        <v>WI</v>
      </c>
      <c r="AL179">
        <f t="shared" si="54"/>
        <v>4091142613</v>
      </c>
      <c r="AM179" t="str">
        <f t="shared" si="55"/>
        <v>4093RN153</v>
      </c>
      <c r="AN179" t="str">
        <f t="shared" si="56"/>
        <v/>
      </c>
      <c r="AO179" t="str">
        <f t="shared" si="57"/>
        <v>Pella</v>
      </c>
      <c r="AP179">
        <f t="shared" si="58"/>
        <v>54201</v>
      </c>
      <c r="AQ179">
        <f t="shared" ca="1" si="72"/>
        <v>0</v>
      </c>
      <c r="AR179" s="1">
        <f t="shared" si="59"/>
        <v>46135</v>
      </c>
      <c r="CB179" s="1"/>
    </row>
    <row r="180" spans="1:80" x14ac:dyDescent="0.25">
      <c r="A180" s="23"/>
      <c r="B180" s="23"/>
      <c r="C180" s="23"/>
      <c r="D180" s="24"/>
      <c r="E180" s="24"/>
      <c r="F180" s="25">
        <f t="shared" si="60"/>
        <v>0</v>
      </c>
      <c r="G180" s="24"/>
      <c r="H180" s="24"/>
      <c r="I180" s="25">
        <v>1</v>
      </c>
      <c r="J180" s="24"/>
      <c r="K180" s="24"/>
      <c r="L180" s="24"/>
      <c r="M180" s="26" t="str">
        <f t="shared" si="61"/>
        <v/>
      </c>
      <c r="N180" s="27">
        <f t="shared" si="62"/>
        <v>0</v>
      </c>
      <c r="T180">
        <f t="shared" si="49"/>
        <v>129</v>
      </c>
      <c r="U180">
        <f t="shared" si="63"/>
        <v>26053</v>
      </c>
      <c r="V180">
        <f t="shared" ca="1" si="64"/>
        <v>0</v>
      </c>
      <c r="W180">
        <v>41</v>
      </c>
      <c r="X180" t="str">
        <f t="shared" ca="1" si="65"/>
        <v/>
      </c>
      <c r="Y180" t="s">
        <v>33</v>
      </c>
      <c r="Z180">
        <f t="shared" ca="1" si="66"/>
        <v>0</v>
      </c>
      <c r="AA180" t="str">
        <f t="shared" ca="1" si="67"/>
        <v>SPPN</v>
      </c>
      <c r="AB180">
        <f t="shared" ca="1" si="68"/>
        <v>1</v>
      </c>
      <c r="AC180" t="str">
        <f t="shared" ca="1" si="69"/>
        <v/>
      </c>
      <c r="AD180" t="str">
        <f t="shared" si="50"/>
        <v>4093RN153</v>
      </c>
      <c r="AE180">
        <f t="shared" ca="1" si="70"/>
        <v>0</v>
      </c>
      <c r="AF180" t="str">
        <f t="shared" ca="1" si="71"/>
        <v/>
      </c>
      <c r="AG180">
        <v>41</v>
      </c>
      <c r="AH180" t="s">
        <v>136</v>
      </c>
      <c r="AI180" t="str">
        <f t="shared" si="51"/>
        <v>Lutheran Home 25</v>
      </c>
      <c r="AJ180" t="str">
        <f t="shared" si="52"/>
        <v>Green Bay</v>
      </c>
      <c r="AK180" t="str">
        <f t="shared" si="53"/>
        <v>WI</v>
      </c>
      <c r="AL180">
        <f t="shared" si="54"/>
        <v>4091142613</v>
      </c>
      <c r="AM180" t="str">
        <f t="shared" si="55"/>
        <v>4093RN153</v>
      </c>
      <c r="AN180" t="str">
        <f t="shared" si="56"/>
        <v/>
      </c>
      <c r="AO180" t="str">
        <f t="shared" si="57"/>
        <v>Pella</v>
      </c>
      <c r="AP180">
        <f t="shared" si="58"/>
        <v>54201</v>
      </c>
      <c r="AQ180">
        <f t="shared" ca="1" si="72"/>
        <v>0</v>
      </c>
      <c r="AR180" s="1">
        <f t="shared" si="59"/>
        <v>46135</v>
      </c>
      <c r="CB180" s="1"/>
    </row>
    <row r="181" spans="1:80" x14ac:dyDescent="0.25">
      <c r="A181" s="23"/>
      <c r="B181" s="23"/>
      <c r="C181" s="23"/>
      <c r="D181" s="24"/>
      <c r="E181" s="24"/>
      <c r="F181" s="25">
        <f t="shared" si="60"/>
        <v>0</v>
      </c>
      <c r="G181" s="24"/>
      <c r="H181" s="24"/>
      <c r="I181" s="25">
        <v>1</v>
      </c>
      <c r="J181" s="24"/>
      <c r="K181" s="24"/>
      <c r="L181" s="24"/>
      <c r="M181" s="26" t="str">
        <f t="shared" si="61"/>
        <v/>
      </c>
      <c r="N181" s="27">
        <f t="shared" si="62"/>
        <v>0</v>
      </c>
      <c r="T181">
        <f t="shared" si="49"/>
        <v>129</v>
      </c>
      <c r="U181">
        <f t="shared" si="63"/>
        <v>26053</v>
      </c>
      <c r="V181">
        <f t="shared" ca="1" si="64"/>
        <v>0</v>
      </c>
      <c r="W181">
        <v>41</v>
      </c>
      <c r="X181" t="str">
        <f t="shared" ca="1" si="65"/>
        <v/>
      </c>
      <c r="Y181" t="s">
        <v>28</v>
      </c>
      <c r="Z181">
        <f t="shared" ca="1" si="66"/>
        <v>0</v>
      </c>
      <c r="AA181" t="str">
        <f t="shared" ca="1" si="67"/>
        <v>SPPN</v>
      </c>
      <c r="AB181">
        <f t="shared" ca="1" si="68"/>
        <v>1</v>
      </c>
      <c r="AC181">
        <f t="shared" ca="1" si="69"/>
        <v>0</v>
      </c>
      <c r="AD181" t="str">
        <f t="shared" si="50"/>
        <v>4093RN153</v>
      </c>
      <c r="AE181">
        <f t="shared" ca="1" si="70"/>
        <v>0</v>
      </c>
      <c r="AF181" t="str">
        <f t="shared" ca="1" si="71"/>
        <v/>
      </c>
      <c r="AG181">
        <v>41</v>
      </c>
      <c r="AH181" t="s">
        <v>136</v>
      </c>
      <c r="AI181" t="str">
        <f t="shared" si="51"/>
        <v>Lutheran Home 25</v>
      </c>
      <c r="AJ181" t="str">
        <f t="shared" si="52"/>
        <v>Green Bay</v>
      </c>
      <c r="AK181" t="str">
        <f t="shared" si="53"/>
        <v>WI</v>
      </c>
      <c r="AL181">
        <f t="shared" si="54"/>
        <v>4091142613</v>
      </c>
      <c r="AM181" t="str">
        <f t="shared" si="55"/>
        <v>4093RN153</v>
      </c>
      <c r="AN181" t="str">
        <f t="shared" si="56"/>
        <v/>
      </c>
      <c r="AO181" t="str">
        <f t="shared" si="57"/>
        <v>Pella</v>
      </c>
      <c r="AP181">
        <f t="shared" si="58"/>
        <v>54201</v>
      </c>
      <c r="AQ181">
        <f t="shared" ca="1" si="72"/>
        <v>0</v>
      </c>
      <c r="AR181" s="1">
        <f t="shared" si="59"/>
        <v>46135</v>
      </c>
      <c r="CB181" s="1"/>
    </row>
    <row r="182" spans="1:80" x14ac:dyDescent="0.25">
      <c r="A182" s="23"/>
      <c r="B182" s="23"/>
      <c r="C182" s="23"/>
      <c r="D182" s="24"/>
      <c r="E182" s="24"/>
      <c r="F182" s="25">
        <f t="shared" si="60"/>
        <v>0</v>
      </c>
      <c r="G182" s="24"/>
      <c r="H182" s="24"/>
      <c r="I182" s="25">
        <v>1</v>
      </c>
      <c r="J182" s="24"/>
      <c r="K182" s="24"/>
      <c r="L182" s="24"/>
      <c r="M182" s="26" t="str">
        <f t="shared" si="61"/>
        <v/>
      </c>
      <c r="N182" s="27">
        <f t="shared" si="62"/>
        <v>0</v>
      </c>
      <c r="T182">
        <f t="shared" si="49"/>
        <v>129</v>
      </c>
      <c r="U182">
        <f t="shared" si="63"/>
        <v>26053</v>
      </c>
      <c r="V182">
        <f t="shared" ca="1" si="64"/>
        <v>0</v>
      </c>
      <c r="W182">
        <v>41</v>
      </c>
      <c r="X182" t="str">
        <f t="shared" ca="1" si="65"/>
        <v/>
      </c>
      <c r="Y182" t="s">
        <v>32</v>
      </c>
      <c r="Z182">
        <f t="shared" ca="1" si="66"/>
        <v>0</v>
      </c>
      <c r="AA182" t="str">
        <f t="shared" ca="1" si="67"/>
        <v>SPPN</v>
      </c>
      <c r="AB182">
        <f t="shared" ca="1" si="68"/>
        <v>1</v>
      </c>
      <c r="AC182">
        <f t="shared" ca="1" si="69"/>
        <v>0</v>
      </c>
      <c r="AD182" t="str">
        <f t="shared" si="50"/>
        <v>4093RN153</v>
      </c>
      <c r="AE182">
        <f t="shared" ca="1" si="70"/>
        <v>0</v>
      </c>
      <c r="AF182" t="str">
        <f t="shared" ca="1" si="71"/>
        <v/>
      </c>
      <c r="AG182">
        <v>41</v>
      </c>
      <c r="AH182" t="s">
        <v>136</v>
      </c>
      <c r="AI182" t="str">
        <f t="shared" si="51"/>
        <v>Lutheran Home 25</v>
      </c>
      <c r="AJ182" t="str">
        <f t="shared" si="52"/>
        <v>Green Bay</v>
      </c>
      <c r="AK182" t="str">
        <f t="shared" si="53"/>
        <v>WI</v>
      </c>
      <c r="AL182">
        <f t="shared" si="54"/>
        <v>4091142613</v>
      </c>
      <c r="AM182" t="str">
        <f t="shared" si="55"/>
        <v>4093RN153</v>
      </c>
      <c r="AN182" t="str">
        <f t="shared" si="56"/>
        <v/>
      </c>
      <c r="AO182" t="str">
        <f t="shared" si="57"/>
        <v>Pella</v>
      </c>
      <c r="AP182">
        <f t="shared" si="58"/>
        <v>54201</v>
      </c>
      <c r="AQ182">
        <f t="shared" ca="1" si="72"/>
        <v>0</v>
      </c>
      <c r="AR182" s="1">
        <f t="shared" si="59"/>
        <v>46135</v>
      </c>
      <c r="CB182" s="1"/>
    </row>
    <row r="183" spans="1:80" x14ac:dyDescent="0.25">
      <c r="A183" s="23"/>
      <c r="B183" s="23"/>
      <c r="C183" s="23"/>
      <c r="D183" s="24"/>
      <c r="E183" s="24"/>
      <c r="F183" s="25">
        <f t="shared" si="60"/>
        <v>0</v>
      </c>
      <c r="G183" s="24"/>
      <c r="H183" s="24"/>
      <c r="I183" s="25">
        <v>1</v>
      </c>
      <c r="J183" s="24"/>
      <c r="K183" s="24"/>
      <c r="L183" s="24"/>
      <c r="M183" s="26" t="str">
        <f t="shared" si="61"/>
        <v/>
      </c>
      <c r="N183" s="27">
        <f t="shared" si="62"/>
        <v>0</v>
      </c>
      <c r="T183">
        <f t="shared" si="49"/>
        <v>129</v>
      </c>
      <c r="U183">
        <f t="shared" si="63"/>
        <v>26053</v>
      </c>
      <c r="V183">
        <f t="shared" ca="1" si="64"/>
        <v>0</v>
      </c>
      <c r="W183">
        <v>42</v>
      </c>
      <c r="X183" t="str">
        <f t="shared" ca="1" si="65"/>
        <v/>
      </c>
      <c r="Y183" t="s">
        <v>9</v>
      </c>
      <c r="Z183">
        <f t="shared" ca="1" si="66"/>
        <v>0</v>
      </c>
      <c r="AA183" t="str">
        <f t="shared" ca="1" si="67"/>
        <v>SPPN</v>
      </c>
      <c r="AB183">
        <f t="shared" ca="1" si="68"/>
        <v>1</v>
      </c>
      <c r="AC183" t="str">
        <f t="shared" ca="1" si="69"/>
        <v/>
      </c>
      <c r="AD183" t="str">
        <f t="shared" si="50"/>
        <v>4093RN153</v>
      </c>
      <c r="AE183">
        <f t="shared" ca="1" si="70"/>
        <v>0</v>
      </c>
      <c r="AF183" t="str">
        <f t="shared" ca="1" si="71"/>
        <v/>
      </c>
      <c r="AG183">
        <v>42</v>
      </c>
      <c r="AH183" t="s">
        <v>136</v>
      </c>
      <c r="AI183" t="str">
        <f t="shared" si="51"/>
        <v>Lutheran Home 25</v>
      </c>
      <c r="AJ183" t="str">
        <f t="shared" si="52"/>
        <v>Green Bay</v>
      </c>
      <c r="AK183" t="str">
        <f t="shared" si="53"/>
        <v>WI</v>
      </c>
      <c r="AL183">
        <f t="shared" si="54"/>
        <v>4091142613</v>
      </c>
      <c r="AM183" t="str">
        <f t="shared" si="55"/>
        <v>4093RN153</v>
      </c>
      <c r="AN183" t="str">
        <f t="shared" si="56"/>
        <v/>
      </c>
      <c r="AO183" t="str">
        <f t="shared" si="57"/>
        <v>Pella</v>
      </c>
      <c r="AP183">
        <f t="shared" si="58"/>
        <v>54201</v>
      </c>
      <c r="AQ183">
        <f t="shared" ca="1" si="72"/>
        <v>0</v>
      </c>
      <c r="AR183" s="1">
        <f t="shared" si="59"/>
        <v>46135</v>
      </c>
      <c r="CB183" s="1"/>
    </row>
    <row r="184" spans="1:80" x14ac:dyDescent="0.25">
      <c r="A184" s="23"/>
      <c r="B184" s="23"/>
      <c r="C184" s="23"/>
      <c r="D184" s="24"/>
      <c r="E184" s="24"/>
      <c r="F184" s="25">
        <f t="shared" si="60"/>
        <v>0</v>
      </c>
      <c r="G184" s="24"/>
      <c r="H184" s="24"/>
      <c r="I184" s="25">
        <v>1</v>
      </c>
      <c r="J184" s="24"/>
      <c r="K184" s="24"/>
      <c r="L184" s="24"/>
      <c r="M184" s="26" t="str">
        <f t="shared" si="61"/>
        <v/>
      </c>
      <c r="N184" s="27">
        <f t="shared" si="62"/>
        <v>0</v>
      </c>
      <c r="T184">
        <f t="shared" si="49"/>
        <v>129</v>
      </c>
      <c r="U184">
        <f t="shared" si="63"/>
        <v>26053</v>
      </c>
      <c r="V184">
        <f t="shared" ca="1" si="64"/>
        <v>0</v>
      </c>
      <c r="W184">
        <v>42</v>
      </c>
      <c r="X184" t="str">
        <f t="shared" ca="1" si="65"/>
        <v/>
      </c>
      <c r="Y184" t="s">
        <v>33</v>
      </c>
      <c r="Z184">
        <f t="shared" ca="1" si="66"/>
        <v>0</v>
      </c>
      <c r="AA184" t="str">
        <f t="shared" ca="1" si="67"/>
        <v>SPPN</v>
      </c>
      <c r="AB184">
        <f t="shared" ca="1" si="68"/>
        <v>1</v>
      </c>
      <c r="AC184" t="str">
        <f t="shared" ca="1" si="69"/>
        <v/>
      </c>
      <c r="AD184" t="str">
        <f t="shared" si="50"/>
        <v>4093RN153</v>
      </c>
      <c r="AE184">
        <f t="shared" ca="1" si="70"/>
        <v>0</v>
      </c>
      <c r="AF184" t="str">
        <f t="shared" ca="1" si="71"/>
        <v/>
      </c>
      <c r="AG184">
        <v>42</v>
      </c>
      <c r="AH184" t="s">
        <v>136</v>
      </c>
      <c r="AI184" t="str">
        <f t="shared" si="51"/>
        <v>Lutheran Home 25</v>
      </c>
      <c r="AJ184" t="str">
        <f t="shared" si="52"/>
        <v>Green Bay</v>
      </c>
      <c r="AK184" t="str">
        <f t="shared" si="53"/>
        <v>WI</v>
      </c>
      <c r="AL184">
        <f t="shared" si="54"/>
        <v>4091142613</v>
      </c>
      <c r="AM184" t="str">
        <f t="shared" si="55"/>
        <v>4093RN153</v>
      </c>
      <c r="AN184" t="str">
        <f t="shared" si="56"/>
        <v/>
      </c>
      <c r="AO184" t="str">
        <f t="shared" si="57"/>
        <v>Pella</v>
      </c>
      <c r="AP184">
        <f t="shared" si="58"/>
        <v>54201</v>
      </c>
      <c r="AQ184">
        <f t="shared" ca="1" si="72"/>
        <v>0</v>
      </c>
      <c r="AR184" s="1">
        <f t="shared" si="59"/>
        <v>46135</v>
      </c>
      <c r="CB184" s="1"/>
    </row>
    <row r="185" spans="1:80" x14ac:dyDescent="0.25">
      <c r="A185" s="23"/>
      <c r="B185" s="23"/>
      <c r="C185" s="23"/>
      <c r="D185" s="24"/>
      <c r="E185" s="24"/>
      <c r="F185" s="25">
        <f t="shared" si="60"/>
        <v>0</v>
      </c>
      <c r="G185" s="24"/>
      <c r="H185" s="24"/>
      <c r="I185" s="25">
        <v>1</v>
      </c>
      <c r="J185" s="24"/>
      <c r="K185" s="24"/>
      <c r="L185" s="24"/>
      <c r="M185" s="26" t="str">
        <f t="shared" si="61"/>
        <v/>
      </c>
      <c r="N185" s="27">
        <f t="shared" si="62"/>
        <v>0</v>
      </c>
      <c r="T185">
        <f t="shared" si="49"/>
        <v>129</v>
      </c>
      <c r="U185">
        <f t="shared" si="63"/>
        <v>26053</v>
      </c>
      <c r="V185">
        <f t="shared" ca="1" si="64"/>
        <v>0</v>
      </c>
      <c r="W185">
        <v>42</v>
      </c>
      <c r="X185" t="str">
        <f t="shared" ca="1" si="65"/>
        <v/>
      </c>
      <c r="Y185" t="s">
        <v>28</v>
      </c>
      <c r="Z185">
        <f t="shared" ca="1" si="66"/>
        <v>0</v>
      </c>
      <c r="AA185" t="str">
        <f t="shared" ca="1" si="67"/>
        <v>SPPN</v>
      </c>
      <c r="AB185">
        <f t="shared" ca="1" si="68"/>
        <v>1</v>
      </c>
      <c r="AC185">
        <f t="shared" ca="1" si="69"/>
        <v>0</v>
      </c>
      <c r="AD185" t="str">
        <f t="shared" si="50"/>
        <v>4093RN153</v>
      </c>
      <c r="AE185">
        <f t="shared" ca="1" si="70"/>
        <v>0</v>
      </c>
      <c r="AF185" t="str">
        <f t="shared" ca="1" si="71"/>
        <v/>
      </c>
      <c r="AG185">
        <v>42</v>
      </c>
      <c r="AH185" t="s">
        <v>136</v>
      </c>
      <c r="AI185" t="str">
        <f t="shared" si="51"/>
        <v>Lutheran Home 25</v>
      </c>
      <c r="AJ185" t="str">
        <f t="shared" si="52"/>
        <v>Green Bay</v>
      </c>
      <c r="AK185" t="str">
        <f t="shared" si="53"/>
        <v>WI</v>
      </c>
      <c r="AL185">
        <f t="shared" si="54"/>
        <v>4091142613</v>
      </c>
      <c r="AM185" t="str">
        <f t="shared" si="55"/>
        <v>4093RN153</v>
      </c>
      <c r="AN185" t="str">
        <f t="shared" si="56"/>
        <v/>
      </c>
      <c r="AO185" t="str">
        <f t="shared" si="57"/>
        <v>Pella</v>
      </c>
      <c r="AP185">
        <f t="shared" si="58"/>
        <v>54201</v>
      </c>
      <c r="AQ185">
        <f t="shared" ca="1" si="72"/>
        <v>0</v>
      </c>
      <c r="AR185" s="1">
        <f t="shared" si="59"/>
        <v>46135</v>
      </c>
      <c r="CB185" s="1"/>
    </row>
    <row r="186" spans="1:80" x14ac:dyDescent="0.25">
      <c r="A186" s="23"/>
      <c r="B186" s="23"/>
      <c r="C186" s="23"/>
      <c r="D186" s="24"/>
      <c r="E186" s="24"/>
      <c r="F186" s="25">
        <f t="shared" si="60"/>
        <v>0</v>
      </c>
      <c r="G186" s="24"/>
      <c r="H186" s="24"/>
      <c r="I186" s="25">
        <v>1</v>
      </c>
      <c r="J186" s="24"/>
      <c r="K186" s="24"/>
      <c r="L186" s="24"/>
      <c r="M186" s="26" t="str">
        <f t="shared" si="61"/>
        <v/>
      </c>
      <c r="N186" s="27">
        <f t="shared" si="62"/>
        <v>0</v>
      </c>
      <c r="T186">
        <f t="shared" si="49"/>
        <v>129</v>
      </c>
      <c r="U186">
        <f t="shared" si="63"/>
        <v>26053</v>
      </c>
      <c r="V186">
        <f t="shared" ca="1" si="64"/>
        <v>0</v>
      </c>
      <c r="W186">
        <v>42</v>
      </c>
      <c r="X186" t="str">
        <f t="shared" ca="1" si="65"/>
        <v/>
      </c>
      <c r="Y186" t="s">
        <v>32</v>
      </c>
      <c r="Z186">
        <f t="shared" ca="1" si="66"/>
        <v>0</v>
      </c>
      <c r="AA186" t="str">
        <f t="shared" ca="1" si="67"/>
        <v>SPPN</v>
      </c>
      <c r="AB186">
        <f t="shared" ca="1" si="68"/>
        <v>1</v>
      </c>
      <c r="AC186">
        <f t="shared" ca="1" si="69"/>
        <v>0</v>
      </c>
      <c r="AD186" t="str">
        <f t="shared" si="50"/>
        <v>4093RN153</v>
      </c>
      <c r="AE186">
        <f t="shared" ca="1" si="70"/>
        <v>0</v>
      </c>
      <c r="AF186" t="str">
        <f t="shared" ca="1" si="71"/>
        <v/>
      </c>
      <c r="AG186">
        <v>42</v>
      </c>
      <c r="AH186" t="s">
        <v>136</v>
      </c>
      <c r="AI186" t="str">
        <f t="shared" si="51"/>
        <v>Lutheran Home 25</v>
      </c>
      <c r="AJ186" t="str">
        <f t="shared" si="52"/>
        <v>Green Bay</v>
      </c>
      <c r="AK186" t="str">
        <f t="shared" si="53"/>
        <v>WI</v>
      </c>
      <c r="AL186">
        <f t="shared" si="54"/>
        <v>4091142613</v>
      </c>
      <c r="AM186" t="str">
        <f t="shared" si="55"/>
        <v>4093RN153</v>
      </c>
      <c r="AN186" t="str">
        <f t="shared" si="56"/>
        <v/>
      </c>
      <c r="AO186" t="str">
        <f t="shared" si="57"/>
        <v>Pella</v>
      </c>
      <c r="AP186">
        <f t="shared" si="58"/>
        <v>54201</v>
      </c>
      <c r="AQ186">
        <f t="shared" ca="1" si="72"/>
        <v>0</v>
      </c>
      <c r="AR186" s="1">
        <f t="shared" si="59"/>
        <v>46135</v>
      </c>
      <c r="CB186" s="1"/>
    </row>
    <row r="187" spans="1:80" x14ac:dyDescent="0.25">
      <c r="A187" s="23"/>
      <c r="B187" s="23"/>
      <c r="C187" s="23"/>
      <c r="D187" s="24"/>
      <c r="E187" s="24"/>
      <c r="F187" s="25">
        <f t="shared" si="60"/>
        <v>0</v>
      </c>
      <c r="G187" s="24"/>
      <c r="H187" s="24"/>
      <c r="I187" s="25">
        <v>1</v>
      </c>
      <c r="J187" s="24"/>
      <c r="K187" s="24"/>
      <c r="L187" s="24"/>
      <c r="M187" s="26" t="str">
        <f t="shared" si="61"/>
        <v/>
      </c>
      <c r="N187" s="27">
        <f t="shared" si="62"/>
        <v>0</v>
      </c>
      <c r="T187">
        <f t="shared" si="49"/>
        <v>129</v>
      </c>
      <c r="U187">
        <f t="shared" si="63"/>
        <v>26053</v>
      </c>
      <c r="V187">
        <f t="shared" ca="1" si="64"/>
        <v>0</v>
      </c>
      <c r="W187">
        <v>43</v>
      </c>
      <c r="X187" t="str">
        <f t="shared" ca="1" si="65"/>
        <v/>
      </c>
      <c r="Y187" t="s">
        <v>9</v>
      </c>
      <c r="Z187">
        <f t="shared" ca="1" si="66"/>
        <v>0</v>
      </c>
      <c r="AA187" t="str">
        <f t="shared" ca="1" si="67"/>
        <v>SPPN</v>
      </c>
      <c r="AB187">
        <f t="shared" ca="1" si="68"/>
        <v>1</v>
      </c>
      <c r="AC187" t="str">
        <f t="shared" ca="1" si="69"/>
        <v/>
      </c>
      <c r="AD187" t="str">
        <f t="shared" si="50"/>
        <v>4093RN153</v>
      </c>
      <c r="AE187">
        <f t="shared" ca="1" si="70"/>
        <v>0</v>
      </c>
      <c r="AF187" t="str">
        <f t="shared" ca="1" si="71"/>
        <v/>
      </c>
      <c r="AG187">
        <v>43</v>
      </c>
      <c r="AH187" t="s">
        <v>136</v>
      </c>
      <c r="AI187" t="str">
        <f t="shared" si="51"/>
        <v>Lutheran Home 25</v>
      </c>
      <c r="AJ187" t="str">
        <f t="shared" si="52"/>
        <v>Green Bay</v>
      </c>
      <c r="AK187" t="str">
        <f t="shared" si="53"/>
        <v>WI</v>
      </c>
      <c r="AL187">
        <f t="shared" si="54"/>
        <v>4091142613</v>
      </c>
      <c r="AM187" t="str">
        <f t="shared" si="55"/>
        <v>4093RN153</v>
      </c>
      <c r="AN187" t="str">
        <f t="shared" si="56"/>
        <v/>
      </c>
      <c r="AO187" t="str">
        <f t="shared" si="57"/>
        <v>Pella</v>
      </c>
      <c r="AP187">
        <f t="shared" si="58"/>
        <v>54201</v>
      </c>
      <c r="AQ187">
        <f t="shared" ca="1" si="72"/>
        <v>0</v>
      </c>
      <c r="AR187" s="1">
        <f t="shared" si="59"/>
        <v>46135</v>
      </c>
      <c r="CB187" s="1"/>
    </row>
    <row r="188" spans="1:80" x14ac:dyDescent="0.25">
      <c r="A188" s="23"/>
      <c r="B188" s="23"/>
      <c r="C188" s="23"/>
      <c r="D188" s="24"/>
      <c r="E188" s="24"/>
      <c r="F188" s="25">
        <f t="shared" si="60"/>
        <v>0</v>
      </c>
      <c r="G188" s="24"/>
      <c r="H188" s="24"/>
      <c r="I188" s="25">
        <v>1</v>
      </c>
      <c r="J188" s="24"/>
      <c r="K188" s="24"/>
      <c r="L188" s="24"/>
      <c r="M188" s="26" t="str">
        <f t="shared" si="61"/>
        <v/>
      </c>
      <c r="N188" s="27">
        <f t="shared" si="62"/>
        <v>0</v>
      </c>
      <c r="T188">
        <f t="shared" si="49"/>
        <v>129</v>
      </c>
      <c r="U188">
        <f t="shared" si="63"/>
        <v>26053</v>
      </c>
      <c r="V188">
        <f t="shared" ca="1" si="64"/>
        <v>0</v>
      </c>
      <c r="W188">
        <v>43</v>
      </c>
      <c r="X188" t="str">
        <f t="shared" ca="1" si="65"/>
        <v/>
      </c>
      <c r="Y188" t="s">
        <v>33</v>
      </c>
      <c r="Z188">
        <f t="shared" ca="1" si="66"/>
        <v>0</v>
      </c>
      <c r="AA188" t="str">
        <f t="shared" ca="1" si="67"/>
        <v>SPPN</v>
      </c>
      <c r="AB188">
        <f t="shared" ca="1" si="68"/>
        <v>1</v>
      </c>
      <c r="AC188" t="str">
        <f t="shared" ca="1" si="69"/>
        <v/>
      </c>
      <c r="AD188" t="str">
        <f t="shared" si="50"/>
        <v>4093RN153</v>
      </c>
      <c r="AE188">
        <f t="shared" ca="1" si="70"/>
        <v>0</v>
      </c>
      <c r="AF188" t="str">
        <f t="shared" ca="1" si="71"/>
        <v/>
      </c>
      <c r="AG188">
        <v>43</v>
      </c>
      <c r="AH188" t="s">
        <v>136</v>
      </c>
      <c r="AI188" t="str">
        <f t="shared" si="51"/>
        <v>Lutheran Home 25</v>
      </c>
      <c r="AJ188" t="str">
        <f t="shared" si="52"/>
        <v>Green Bay</v>
      </c>
      <c r="AK188" t="str">
        <f t="shared" si="53"/>
        <v>WI</v>
      </c>
      <c r="AL188">
        <f t="shared" si="54"/>
        <v>4091142613</v>
      </c>
      <c r="AM188" t="str">
        <f t="shared" si="55"/>
        <v>4093RN153</v>
      </c>
      <c r="AN188" t="str">
        <f t="shared" si="56"/>
        <v/>
      </c>
      <c r="AO188" t="str">
        <f t="shared" si="57"/>
        <v>Pella</v>
      </c>
      <c r="AP188">
        <f t="shared" si="58"/>
        <v>54201</v>
      </c>
      <c r="AQ188">
        <f t="shared" ca="1" si="72"/>
        <v>0</v>
      </c>
      <c r="AR188" s="1">
        <f t="shared" si="59"/>
        <v>46135</v>
      </c>
      <c r="CB188" s="1"/>
    </row>
    <row r="189" spans="1:80" x14ac:dyDescent="0.25">
      <c r="A189" s="23"/>
      <c r="B189" s="23"/>
      <c r="C189" s="23"/>
      <c r="D189" s="24"/>
      <c r="E189" s="24"/>
      <c r="F189" s="25">
        <f t="shared" si="60"/>
        <v>0</v>
      </c>
      <c r="G189" s="24"/>
      <c r="H189" s="24"/>
      <c r="I189" s="25">
        <v>1</v>
      </c>
      <c r="J189" s="24"/>
      <c r="K189" s="24"/>
      <c r="L189" s="24"/>
      <c r="M189" s="26" t="str">
        <f t="shared" si="61"/>
        <v/>
      </c>
      <c r="N189" s="27">
        <f t="shared" si="62"/>
        <v>0</v>
      </c>
      <c r="T189">
        <f t="shared" si="49"/>
        <v>129</v>
      </c>
      <c r="U189">
        <f t="shared" si="63"/>
        <v>26053</v>
      </c>
      <c r="V189">
        <f t="shared" ca="1" si="64"/>
        <v>0</v>
      </c>
      <c r="W189">
        <v>43</v>
      </c>
      <c r="X189" t="str">
        <f t="shared" ca="1" si="65"/>
        <v/>
      </c>
      <c r="Y189" t="s">
        <v>28</v>
      </c>
      <c r="Z189">
        <f t="shared" ca="1" si="66"/>
        <v>0</v>
      </c>
      <c r="AA189" t="str">
        <f t="shared" ca="1" si="67"/>
        <v>SPPN</v>
      </c>
      <c r="AB189">
        <f t="shared" ca="1" si="68"/>
        <v>1</v>
      </c>
      <c r="AC189">
        <f t="shared" ca="1" si="69"/>
        <v>0</v>
      </c>
      <c r="AD189" t="str">
        <f t="shared" si="50"/>
        <v>4093RN153</v>
      </c>
      <c r="AE189">
        <f t="shared" ca="1" si="70"/>
        <v>0</v>
      </c>
      <c r="AF189" t="str">
        <f t="shared" ca="1" si="71"/>
        <v/>
      </c>
      <c r="AG189">
        <v>43</v>
      </c>
      <c r="AH189" t="s">
        <v>136</v>
      </c>
      <c r="AI189" t="str">
        <f t="shared" si="51"/>
        <v>Lutheran Home 25</v>
      </c>
      <c r="AJ189" t="str">
        <f t="shared" si="52"/>
        <v>Green Bay</v>
      </c>
      <c r="AK189" t="str">
        <f t="shared" si="53"/>
        <v>WI</v>
      </c>
      <c r="AL189">
        <f t="shared" si="54"/>
        <v>4091142613</v>
      </c>
      <c r="AM189" t="str">
        <f t="shared" si="55"/>
        <v>4093RN153</v>
      </c>
      <c r="AN189" t="str">
        <f t="shared" si="56"/>
        <v/>
      </c>
      <c r="AO189" t="str">
        <f t="shared" si="57"/>
        <v>Pella</v>
      </c>
      <c r="AP189">
        <f t="shared" si="58"/>
        <v>54201</v>
      </c>
      <c r="AQ189">
        <f t="shared" ca="1" si="72"/>
        <v>0</v>
      </c>
      <c r="AR189" s="1">
        <f t="shared" si="59"/>
        <v>46135</v>
      </c>
      <c r="CB189" s="1"/>
    </row>
    <row r="190" spans="1:80" x14ac:dyDescent="0.25">
      <c r="A190" s="23"/>
      <c r="B190" s="23"/>
      <c r="C190" s="23"/>
      <c r="D190" s="24"/>
      <c r="E190" s="24"/>
      <c r="F190" s="25">
        <f t="shared" si="60"/>
        <v>0</v>
      </c>
      <c r="G190" s="24"/>
      <c r="H190" s="24"/>
      <c r="I190" s="25">
        <v>1</v>
      </c>
      <c r="J190" s="24"/>
      <c r="K190" s="24"/>
      <c r="L190" s="24"/>
      <c r="M190" s="26" t="str">
        <f t="shared" si="61"/>
        <v/>
      </c>
      <c r="N190" s="27">
        <f t="shared" si="62"/>
        <v>0</v>
      </c>
      <c r="T190">
        <f t="shared" si="49"/>
        <v>129</v>
      </c>
      <c r="U190">
        <f t="shared" si="63"/>
        <v>26053</v>
      </c>
      <c r="V190">
        <f t="shared" ca="1" si="64"/>
        <v>0</v>
      </c>
      <c r="W190">
        <v>43</v>
      </c>
      <c r="X190" t="str">
        <f t="shared" ca="1" si="65"/>
        <v/>
      </c>
      <c r="Y190" t="s">
        <v>32</v>
      </c>
      <c r="Z190">
        <f t="shared" ca="1" si="66"/>
        <v>0</v>
      </c>
      <c r="AA190" t="str">
        <f t="shared" ca="1" si="67"/>
        <v>SPPN</v>
      </c>
      <c r="AB190">
        <f t="shared" ca="1" si="68"/>
        <v>1</v>
      </c>
      <c r="AC190">
        <f t="shared" ca="1" si="69"/>
        <v>0</v>
      </c>
      <c r="AD190" t="str">
        <f t="shared" si="50"/>
        <v>4093RN153</v>
      </c>
      <c r="AE190">
        <f t="shared" ca="1" si="70"/>
        <v>0</v>
      </c>
      <c r="AF190" t="str">
        <f t="shared" ca="1" si="71"/>
        <v/>
      </c>
      <c r="AG190">
        <v>43</v>
      </c>
      <c r="AH190" t="s">
        <v>136</v>
      </c>
      <c r="AI190" t="str">
        <f t="shared" si="51"/>
        <v>Lutheran Home 25</v>
      </c>
      <c r="AJ190" t="str">
        <f t="shared" si="52"/>
        <v>Green Bay</v>
      </c>
      <c r="AK190" t="str">
        <f t="shared" si="53"/>
        <v>WI</v>
      </c>
      <c r="AL190">
        <f t="shared" si="54"/>
        <v>4091142613</v>
      </c>
      <c r="AM190" t="str">
        <f t="shared" si="55"/>
        <v>4093RN153</v>
      </c>
      <c r="AN190" t="str">
        <f t="shared" si="56"/>
        <v/>
      </c>
      <c r="AO190" t="str">
        <f t="shared" si="57"/>
        <v>Pella</v>
      </c>
      <c r="AP190">
        <f t="shared" si="58"/>
        <v>54201</v>
      </c>
      <c r="AQ190">
        <f t="shared" ca="1" si="72"/>
        <v>0</v>
      </c>
      <c r="AR190" s="1">
        <f t="shared" si="59"/>
        <v>46135</v>
      </c>
      <c r="CB190" s="1"/>
    </row>
    <row r="191" spans="1:80" x14ac:dyDescent="0.25">
      <c r="A191" s="23"/>
      <c r="B191" s="23"/>
      <c r="C191" s="23"/>
      <c r="D191" s="24"/>
      <c r="E191" s="24"/>
      <c r="F191" s="25">
        <f t="shared" si="60"/>
        <v>0</v>
      </c>
      <c r="G191" s="24"/>
      <c r="H191" s="24"/>
      <c r="I191" s="25">
        <v>1</v>
      </c>
      <c r="J191" s="24"/>
      <c r="K191" s="24"/>
      <c r="L191" s="24"/>
      <c r="M191" s="26" t="str">
        <f t="shared" si="61"/>
        <v/>
      </c>
      <c r="N191" s="27">
        <f t="shared" si="62"/>
        <v>0</v>
      </c>
      <c r="T191">
        <f t="shared" si="49"/>
        <v>129</v>
      </c>
      <c r="U191">
        <f t="shared" si="63"/>
        <v>26053</v>
      </c>
      <c r="V191">
        <f t="shared" ca="1" si="64"/>
        <v>0</v>
      </c>
      <c r="W191">
        <v>44</v>
      </c>
      <c r="X191" t="str">
        <f t="shared" ca="1" si="65"/>
        <v/>
      </c>
      <c r="Y191" t="s">
        <v>9</v>
      </c>
      <c r="Z191">
        <f t="shared" ca="1" si="66"/>
        <v>0</v>
      </c>
      <c r="AA191" t="str">
        <f t="shared" ca="1" si="67"/>
        <v>SPPN</v>
      </c>
      <c r="AB191">
        <f t="shared" ca="1" si="68"/>
        <v>1</v>
      </c>
      <c r="AC191" t="str">
        <f t="shared" ca="1" si="69"/>
        <v/>
      </c>
      <c r="AD191" t="str">
        <f t="shared" si="50"/>
        <v>4093RN153</v>
      </c>
      <c r="AE191">
        <f t="shared" ca="1" si="70"/>
        <v>0</v>
      </c>
      <c r="AF191" t="str">
        <f t="shared" ca="1" si="71"/>
        <v/>
      </c>
      <c r="AG191">
        <v>44</v>
      </c>
      <c r="AH191" t="s">
        <v>136</v>
      </c>
      <c r="AI191" t="str">
        <f t="shared" si="51"/>
        <v>Lutheran Home 25</v>
      </c>
      <c r="AJ191" t="str">
        <f t="shared" si="52"/>
        <v>Green Bay</v>
      </c>
      <c r="AK191" t="str">
        <f t="shared" si="53"/>
        <v>WI</v>
      </c>
      <c r="AL191">
        <f t="shared" si="54"/>
        <v>4091142613</v>
      </c>
      <c r="AM191" t="str">
        <f t="shared" si="55"/>
        <v>4093RN153</v>
      </c>
      <c r="AN191" t="str">
        <f t="shared" si="56"/>
        <v/>
      </c>
      <c r="AO191" t="str">
        <f t="shared" si="57"/>
        <v>Pella</v>
      </c>
      <c r="AP191">
        <f t="shared" si="58"/>
        <v>54201</v>
      </c>
      <c r="AQ191">
        <f t="shared" ca="1" si="72"/>
        <v>0</v>
      </c>
      <c r="AR191" s="1">
        <f t="shared" si="59"/>
        <v>46135</v>
      </c>
      <c r="CB191" s="1"/>
    </row>
    <row r="192" spans="1:80" x14ac:dyDescent="0.25">
      <c r="A192" s="23"/>
      <c r="B192" s="23"/>
      <c r="C192" s="23"/>
      <c r="D192" s="24"/>
      <c r="E192" s="24"/>
      <c r="F192" s="25">
        <f t="shared" si="60"/>
        <v>0</v>
      </c>
      <c r="G192" s="24"/>
      <c r="H192" s="24"/>
      <c r="I192" s="25">
        <v>1</v>
      </c>
      <c r="J192" s="24"/>
      <c r="K192" s="24"/>
      <c r="L192" s="24"/>
      <c r="M192" s="26" t="str">
        <f t="shared" si="61"/>
        <v/>
      </c>
      <c r="N192" s="27">
        <f t="shared" si="62"/>
        <v>0</v>
      </c>
      <c r="T192">
        <f t="shared" si="49"/>
        <v>129</v>
      </c>
      <c r="U192">
        <f t="shared" si="63"/>
        <v>26053</v>
      </c>
      <c r="V192">
        <f t="shared" ca="1" si="64"/>
        <v>0</v>
      </c>
      <c r="W192">
        <v>44</v>
      </c>
      <c r="X192" t="str">
        <f t="shared" ca="1" si="65"/>
        <v/>
      </c>
      <c r="Y192" t="s">
        <v>33</v>
      </c>
      <c r="Z192">
        <f t="shared" ca="1" si="66"/>
        <v>0</v>
      </c>
      <c r="AA192" t="str">
        <f t="shared" ca="1" si="67"/>
        <v>SPPN</v>
      </c>
      <c r="AB192">
        <f t="shared" ca="1" si="68"/>
        <v>1</v>
      </c>
      <c r="AC192" t="str">
        <f t="shared" ca="1" si="69"/>
        <v/>
      </c>
      <c r="AD192" t="str">
        <f t="shared" si="50"/>
        <v>4093RN153</v>
      </c>
      <c r="AE192">
        <f t="shared" ca="1" si="70"/>
        <v>0</v>
      </c>
      <c r="AF192" t="str">
        <f t="shared" ca="1" si="71"/>
        <v/>
      </c>
      <c r="AG192">
        <v>44</v>
      </c>
      <c r="AH192" t="s">
        <v>136</v>
      </c>
      <c r="AI192" t="str">
        <f t="shared" si="51"/>
        <v>Lutheran Home 25</v>
      </c>
      <c r="AJ192" t="str">
        <f t="shared" si="52"/>
        <v>Green Bay</v>
      </c>
      <c r="AK192" t="str">
        <f t="shared" si="53"/>
        <v>WI</v>
      </c>
      <c r="AL192">
        <f t="shared" si="54"/>
        <v>4091142613</v>
      </c>
      <c r="AM192" t="str">
        <f t="shared" si="55"/>
        <v>4093RN153</v>
      </c>
      <c r="AN192" t="str">
        <f t="shared" si="56"/>
        <v/>
      </c>
      <c r="AO192" t="str">
        <f t="shared" si="57"/>
        <v>Pella</v>
      </c>
      <c r="AP192">
        <f t="shared" si="58"/>
        <v>54201</v>
      </c>
      <c r="AQ192">
        <f t="shared" ca="1" si="72"/>
        <v>0</v>
      </c>
      <c r="AR192" s="1">
        <f t="shared" si="59"/>
        <v>46135</v>
      </c>
      <c r="CB192" s="1"/>
    </row>
    <row r="193" spans="1:80" x14ac:dyDescent="0.25">
      <c r="A193" s="23"/>
      <c r="B193" s="23"/>
      <c r="C193" s="23"/>
      <c r="D193" s="24"/>
      <c r="E193" s="24"/>
      <c r="F193" s="25">
        <f t="shared" si="60"/>
        <v>0</v>
      </c>
      <c r="G193" s="24"/>
      <c r="H193" s="24"/>
      <c r="I193" s="25">
        <v>1</v>
      </c>
      <c r="J193" s="24"/>
      <c r="K193" s="24"/>
      <c r="L193" s="24"/>
      <c r="M193" s="26" t="str">
        <f t="shared" si="61"/>
        <v/>
      </c>
      <c r="N193" s="27">
        <f t="shared" si="62"/>
        <v>0</v>
      </c>
      <c r="T193">
        <f t="shared" si="49"/>
        <v>129</v>
      </c>
      <c r="U193">
        <f t="shared" si="63"/>
        <v>26053</v>
      </c>
      <c r="V193">
        <f t="shared" ca="1" si="64"/>
        <v>0</v>
      </c>
      <c r="W193">
        <v>44</v>
      </c>
      <c r="X193" t="str">
        <f t="shared" ca="1" si="65"/>
        <v/>
      </c>
      <c r="Y193" t="s">
        <v>28</v>
      </c>
      <c r="Z193">
        <f t="shared" ca="1" si="66"/>
        <v>0</v>
      </c>
      <c r="AA193" t="str">
        <f t="shared" ca="1" si="67"/>
        <v>SPPN</v>
      </c>
      <c r="AB193">
        <f t="shared" ca="1" si="68"/>
        <v>1</v>
      </c>
      <c r="AC193">
        <f t="shared" ca="1" si="69"/>
        <v>0</v>
      </c>
      <c r="AD193" t="str">
        <f t="shared" si="50"/>
        <v>4093RN153</v>
      </c>
      <c r="AE193">
        <f t="shared" ca="1" si="70"/>
        <v>0</v>
      </c>
      <c r="AF193" t="str">
        <f t="shared" ca="1" si="71"/>
        <v/>
      </c>
      <c r="AG193">
        <v>44</v>
      </c>
      <c r="AH193" t="s">
        <v>136</v>
      </c>
      <c r="AI193" t="str">
        <f t="shared" si="51"/>
        <v>Lutheran Home 25</v>
      </c>
      <c r="AJ193" t="str">
        <f t="shared" si="52"/>
        <v>Green Bay</v>
      </c>
      <c r="AK193" t="str">
        <f t="shared" si="53"/>
        <v>WI</v>
      </c>
      <c r="AL193">
        <f t="shared" si="54"/>
        <v>4091142613</v>
      </c>
      <c r="AM193" t="str">
        <f t="shared" si="55"/>
        <v>4093RN153</v>
      </c>
      <c r="AN193" t="str">
        <f t="shared" si="56"/>
        <v/>
      </c>
      <c r="AO193" t="str">
        <f t="shared" si="57"/>
        <v>Pella</v>
      </c>
      <c r="AP193">
        <f t="shared" si="58"/>
        <v>54201</v>
      </c>
      <c r="AQ193">
        <f t="shared" ca="1" si="72"/>
        <v>0</v>
      </c>
      <c r="AR193" s="1">
        <f t="shared" si="59"/>
        <v>46135</v>
      </c>
      <c r="CB193" s="1"/>
    </row>
    <row r="194" spans="1:80" x14ac:dyDescent="0.25">
      <c r="A194" s="23"/>
      <c r="B194" s="23"/>
      <c r="C194" s="23"/>
      <c r="D194" s="24"/>
      <c r="E194" s="24"/>
      <c r="F194" s="25">
        <f t="shared" si="60"/>
        <v>0</v>
      </c>
      <c r="G194" s="24"/>
      <c r="H194" s="24"/>
      <c r="I194" s="25">
        <v>1</v>
      </c>
      <c r="J194" s="24"/>
      <c r="K194" s="24"/>
      <c r="L194" s="24"/>
      <c r="M194" s="26" t="str">
        <f t="shared" si="61"/>
        <v/>
      </c>
      <c r="N194" s="27">
        <f t="shared" si="62"/>
        <v>0</v>
      </c>
      <c r="T194">
        <f t="shared" si="49"/>
        <v>129</v>
      </c>
      <c r="U194">
        <f t="shared" si="63"/>
        <v>26053</v>
      </c>
      <c r="V194">
        <f t="shared" ca="1" si="64"/>
        <v>0</v>
      </c>
      <c r="W194">
        <v>44</v>
      </c>
      <c r="X194" t="str">
        <f t="shared" ca="1" si="65"/>
        <v/>
      </c>
      <c r="Y194" t="s">
        <v>32</v>
      </c>
      <c r="Z194">
        <f t="shared" ca="1" si="66"/>
        <v>0</v>
      </c>
      <c r="AA194" t="str">
        <f t="shared" ca="1" si="67"/>
        <v>SPPN</v>
      </c>
      <c r="AB194">
        <f t="shared" ca="1" si="68"/>
        <v>1</v>
      </c>
      <c r="AC194">
        <f t="shared" ca="1" si="69"/>
        <v>0</v>
      </c>
      <c r="AD194" t="str">
        <f t="shared" si="50"/>
        <v>4093RN153</v>
      </c>
      <c r="AE194">
        <f t="shared" ca="1" si="70"/>
        <v>0</v>
      </c>
      <c r="AF194" t="str">
        <f t="shared" ca="1" si="71"/>
        <v/>
      </c>
      <c r="AG194">
        <v>44</v>
      </c>
      <c r="AH194" t="s">
        <v>136</v>
      </c>
      <c r="AI194" t="str">
        <f t="shared" si="51"/>
        <v>Lutheran Home 25</v>
      </c>
      <c r="AJ194" t="str">
        <f t="shared" si="52"/>
        <v>Green Bay</v>
      </c>
      <c r="AK194" t="str">
        <f t="shared" si="53"/>
        <v>WI</v>
      </c>
      <c r="AL194">
        <f t="shared" si="54"/>
        <v>4091142613</v>
      </c>
      <c r="AM194" t="str">
        <f t="shared" si="55"/>
        <v>4093RN153</v>
      </c>
      <c r="AN194" t="str">
        <f t="shared" si="56"/>
        <v/>
      </c>
      <c r="AO194" t="str">
        <f t="shared" si="57"/>
        <v>Pella</v>
      </c>
      <c r="AP194">
        <f t="shared" si="58"/>
        <v>54201</v>
      </c>
      <c r="AQ194">
        <f t="shared" ca="1" si="72"/>
        <v>0</v>
      </c>
      <c r="AR194" s="1">
        <f t="shared" si="59"/>
        <v>46135</v>
      </c>
      <c r="CB194" s="1"/>
    </row>
    <row r="195" spans="1:80" x14ac:dyDescent="0.25">
      <c r="A195" s="23"/>
      <c r="B195" s="23"/>
      <c r="C195" s="23"/>
      <c r="D195" s="24"/>
      <c r="E195" s="24"/>
      <c r="F195" s="25">
        <f t="shared" si="60"/>
        <v>0</v>
      </c>
      <c r="G195" s="24"/>
      <c r="H195" s="24"/>
      <c r="I195" s="25">
        <v>1</v>
      </c>
      <c r="J195" s="24"/>
      <c r="K195" s="24"/>
      <c r="L195" s="24"/>
      <c r="M195" s="26" t="str">
        <f t="shared" si="61"/>
        <v/>
      </c>
      <c r="N195" s="27">
        <f t="shared" si="62"/>
        <v>0</v>
      </c>
      <c r="T195">
        <f t="shared" si="49"/>
        <v>129</v>
      </c>
      <c r="U195">
        <f t="shared" si="63"/>
        <v>26053</v>
      </c>
      <c r="V195">
        <f t="shared" ca="1" si="64"/>
        <v>0</v>
      </c>
      <c r="W195">
        <v>45</v>
      </c>
      <c r="X195" t="str">
        <f t="shared" ca="1" si="65"/>
        <v/>
      </c>
      <c r="Y195" t="s">
        <v>9</v>
      </c>
      <c r="Z195">
        <f t="shared" ca="1" si="66"/>
        <v>0</v>
      </c>
      <c r="AA195" t="str">
        <f t="shared" ca="1" si="67"/>
        <v>SPPN</v>
      </c>
      <c r="AB195">
        <f t="shared" ca="1" si="68"/>
        <v>1</v>
      </c>
      <c r="AC195" t="str">
        <f t="shared" ca="1" si="69"/>
        <v/>
      </c>
      <c r="AD195" t="str">
        <f t="shared" si="50"/>
        <v>4093RN153</v>
      </c>
      <c r="AE195">
        <f t="shared" ca="1" si="70"/>
        <v>0</v>
      </c>
      <c r="AF195" t="str">
        <f t="shared" ca="1" si="71"/>
        <v/>
      </c>
      <c r="AG195">
        <v>45</v>
      </c>
      <c r="AH195" t="s">
        <v>136</v>
      </c>
      <c r="AI195" t="str">
        <f t="shared" si="51"/>
        <v>Lutheran Home 25</v>
      </c>
      <c r="AJ195" t="str">
        <f t="shared" si="52"/>
        <v>Green Bay</v>
      </c>
      <c r="AK195" t="str">
        <f t="shared" si="53"/>
        <v>WI</v>
      </c>
      <c r="AL195">
        <f t="shared" si="54"/>
        <v>4091142613</v>
      </c>
      <c r="AM195" t="str">
        <f t="shared" si="55"/>
        <v>4093RN153</v>
      </c>
      <c r="AN195" t="str">
        <f t="shared" si="56"/>
        <v/>
      </c>
      <c r="AO195" t="str">
        <f t="shared" si="57"/>
        <v>Pella</v>
      </c>
      <c r="AP195">
        <f t="shared" si="58"/>
        <v>54201</v>
      </c>
      <c r="AQ195">
        <f t="shared" ca="1" si="72"/>
        <v>0</v>
      </c>
      <c r="AR195" s="1">
        <f t="shared" si="59"/>
        <v>46135</v>
      </c>
      <c r="CB195" s="1"/>
    </row>
    <row r="196" spans="1:80" x14ac:dyDescent="0.25">
      <c r="A196" s="23"/>
      <c r="B196" s="23"/>
      <c r="C196" s="23"/>
      <c r="D196" s="24"/>
      <c r="E196" s="24"/>
      <c r="F196" s="25">
        <f t="shared" si="60"/>
        <v>0</v>
      </c>
      <c r="G196" s="24"/>
      <c r="H196" s="24"/>
      <c r="I196" s="25">
        <v>1</v>
      </c>
      <c r="J196" s="24"/>
      <c r="K196" s="24"/>
      <c r="L196" s="24"/>
      <c r="M196" s="26" t="str">
        <f t="shared" si="61"/>
        <v/>
      </c>
      <c r="N196" s="27">
        <f t="shared" si="62"/>
        <v>0</v>
      </c>
      <c r="T196">
        <f t="shared" si="49"/>
        <v>129</v>
      </c>
      <c r="U196">
        <f t="shared" si="63"/>
        <v>26053</v>
      </c>
      <c r="V196">
        <f t="shared" ca="1" si="64"/>
        <v>0</v>
      </c>
      <c r="W196">
        <v>45</v>
      </c>
      <c r="X196" t="str">
        <f t="shared" ca="1" si="65"/>
        <v/>
      </c>
      <c r="Y196" t="s">
        <v>33</v>
      </c>
      <c r="Z196">
        <f t="shared" ca="1" si="66"/>
        <v>0</v>
      </c>
      <c r="AA196" t="str">
        <f t="shared" ca="1" si="67"/>
        <v>SPPN</v>
      </c>
      <c r="AB196">
        <f t="shared" ca="1" si="68"/>
        <v>1</v>
      </c>
      <c r="AC196" t="str">
        <f t="shared" ca="1" si="69"/>
        <v/>
      </c>
      <c r="AD196" t="str">
        <f t="shared" si="50"/>
        <v>4093RN153</v>
      </c>
      <c r="AE196">
        <f t="shared" ca="1" si="70"/>
        <v>0</v>
      </c>
      <c r="AF196" t="str">
        <f t="shared" ca="1" si="71"/>
        <v/>
      </c>
      <c r="AG196">
        <v>45</v>
      </c>
      <c r="AH196" t="s">
        <v>136</v>
      </c>
      <c r="AI196" t="str">
        <f t="shared" si="51"/>
        <v>Lutheran Home 25</v>
      </c>
      <c r="AJ196" t="str">
        <f t="shared" si="52"/>
        <v>Green Bay</v>
      </c>
      <c r="AK196" t="str">
        <f t="shared" si="53"/>
        <v>WI</v>
      </c>
      <c r="AL196">
        <f t="shared" si="54"/>
        <v>4091142613</v>
      </c>
      <c r="AM196" t="str">
        <f t="shared" si="55"/>
        <v>4093RN153</v>
      </c>
      <c r="AN196" t="str">
        <f t="shared" si="56"/>
        <v/>
      </c>
      <c r="AO196" t="str">
        <f t="shared" si="57"/>
        <v>Pella</v>
      </c>
      <c r="AP196">
        <f t="shared" si="58"/>
        <v>54201</v>
      </c>
      <c r="AQ196">
        <f t="shared" ca="1" si="72"/>
        <v>0</v>
      </c>
      <c r="AR196" s="1">
        <f t="shared" si="59"/>
        <v>46135</v>
      </c>
      <c r="CB196" s="1"/>
    </row>
    <row r="197" spans="1:80" x14ac:dyDescent="0.25">
      <c r="A197" s="23"/>
      <c r="B197" s="23"/>
      <c r="C197" s="23"/>
      <c r="D197" s="24"/>
      <c r="E197" s="24"/>
      <c r="F197" s="25">
        <f t="shared" si="60"/>
        <v>0</v>
      </c>
      <c r="G197" s="24"/>
      <c r="H197" s="24"/>
      <c r="I197" s="25">
        <v>1</v>
      </c>
      <c r="J197" s="24"/>
      <c r="K197" s="24"/>
      <c r="L197" s="24"/>
      <c r="M197" s="26" t="str">
        <f t="shared" si="61"/>
        <v/>
      </c>
      <c r="N197" s="27">
        <f t="shared" si="62"/>
        <v>0</v>
      </c>
      <c r="T197">
        <f t="shared" si="49"/>
        <v>129</v>
      </c>
      <c r="U197">
        <f t="shared" si="63"/>
        <v>26053</v>
      </c>
      <c r="V197">
        <f t="shared" ca="1" si="64"/>
        <v>0</v>
      </c>
      <c r="W197">
        <v>45</v>
      </c>
      <c r="X197" t="str">
        <f t="shared" ca="1" si="65"/>
        <v/>
      </c>
      <c r="Y197" t="s">
        <v>28</v>
      </c>
      <c r="Z197">
        <f t="shared" ca="1" si="66"/>
        <v>0</v>
      </c>
      <c r="AA197" t="str">
        <f t="shared" ca="1" si="67"/>
        <v>SPPN</v>
      </c>
      <c r="AB197">
        <f t="shared" ca="1" si="68"/>
        <v>1</v>
      </c>
      <c r="AC197">
        <f t="shared" ca="1" si="69"/>
        <v>0</v>
      </c>
      <c r="AD197" t="str">
        <f t="shared" si="50"/>
        <v>4093RN153</v>
      </c>
      <c r="AE197">
        <f t="shared" ca="1" si="70"/>
        <v>0</v>
      </c>
      <c r="AF197" t="str">
        <f t="shared" ca="1" si="71"/>
        <v/>
      </c>
      <c r="AG197">
        <v>45</v>
      </c>
      <c r="AH197" t="s">
        <v>136</v>
      </c>
      <c r="AI197" t="str">
        <f t="shared" si="51"/>
        <v>Lutheran Home 25</v>
      </c>
      <c r="AJ197" t="str">
        <f t="shared" si="52"/>
        <v>Green Bay</v>
      </c>
      <c r="AK197" t="str">
        <f t="shared" si="53"/>
        <v>WI</v>
      </c>
      <c r="AL197">
        <f t="shared" si="54"/>
        <v>4091142613</v>
      </c>
      <c r="AM197" t="str">
        <f t="shared" si="55"/>
        <v>4093RN153</v>
      </c>
      <c r="AN197" t="str">
        <f t="shared" si="56"/>
        <v/>
      </c>
      <c r="AO197" t="str">
        <f t="shared" si="57"/>
        <v>Pella</v>
      </c>
      <c r="AP197">
        <f t="shared" si="58"/>
        <v>54201</v>
      </c>
      <c r="AQ197">
        <f t="shared" ca="1" si="72"/>
        <v>0</v>
      </c>
      <c r="AR197" s="1">
        <f t="shared" si="59"/>
        <v>46135</v>
      </c>
      <c r="CB197" s="1"/>
    </row>
    <row r="198" spans="1:80" x14ac:dyDescent="0.25">
      <c r="A198" s="23"/>
      <c r="B198" s="23"/>
      <c r="C198" s="23"/>
      <c r="D198" s="24"/>
      <c r="E198" s="24"/>
      <c r="F198" s="25">
        <f t="shared" si="60"/>
        <v>0</v>
      </c>
      <c r="G198" s="24"/>
      <c r="H198" s="24"/>
      <c r="I198" s="25">
        <v>1</v>
      </c>
      <c r="J198" s="24"/>
      <c r="K198" s="24"/>
      <c r="L198" s="24"/>
      <c r="M198" s="26" t="str">
        <f t="shared" si="61"/>
        <v/>
      </c>
      <c r="N198" s="27">
        <f t="shared" si="62"/>
        <v>0</v>
      </c>
      <c r="T198">
        <f t="shared" si="49"/>
        <v>129</v>
      </c>
      <c r="U198">
        <f t="shared" si="63"/>
        <v>26053</v>
      </c>
      <c r="V198">
        <f t="shared" ca="1" si="64"/>
        <v>0</v>
      </c>
      <c r="W198">
        <v>45</v>
      </c>
      <c r="X198" t="str">
        <f t="shared" ca="1" si="65"/>
        <v/>
      </c>
      <c r="Y198" t="s">
        <v>32</v>
      </c>
      <c r="Z198">
        <f t="shared" ca="1" si="66"/>
        <v>0</v>
      </c>
      <c r="AA198" t="str">
        <f t="shared" ca="1" si="67"/>
        <v>SPPN</v>
      </c>
      <c r="AB198">
        <f t="shared" ca="1" si="68"/>
        <v>1</v>
      </c>
      <c r="AC198">
        <f t="shared" ca="1" si="69"/>
        <v>0</v>
      </c>
      <c r="AD198" t="str">
        <f t="shared" si="50"/>
        <v>4093RN153</v>
      </c>
      <c r="AE198">
        <f t="shared" ca="1" si="70"/>
        <v>0</v>
      </c>
      <c r="AF198" t="str">
        <f t="shared" ca="1" si="71"/>
        <v/>
      </c>
      <c r="AG198">
        <v>45</v>
      </c>
      <c r="AH198" t="s">
        <v>136</v>
      </c>
      <c r="AI198" t="str">
        <f t="shared" si="51"/>
        <v>Lutheran Home 25</v>
      </c>
      <c r="AJ198" t="str">
        <f t="shared" si="52"/>
        <v>Green Bay</v>
      </c>
      <c r="AK198" t="str">
        <f t="shared" si="53"/>
        <v>WI</v>
      </c>
      <c r="AL198">
        <f t="shared" si="54"/>
        <v>4091142613</v>
      </c>
      <c r="AM198" t="str">
        <f t="shared" si="55"/>
        <v>4093RN153</v>
      </c>
      <c r="AN198" t="str">
        <f t="shared" si="56"/>
        <v/>
      </c>
      <c r="AO198" t="str">
        <f t="shared" si="57"/>
        <v>Pella</v>
      </c>
      <c r="AP198">
        <f t="shared" si="58"/>
        <v>54201</v>
      </c>
      <c r="AQ198">
        <f t="shared" ca="1" si="72"/>
        <v>0</v>
      </c>
      <c r="AR198" s="1">
        <f t="shared" si="59"/>
        <v>46135</v>
      </c>
      <c r="CB198" s="1"/>
    </row>
    <row r="199" spans="1:80" x14ac:dyDescent="0.25">
      <c r="A199" s="23"/>
      <c r="B199" s="23"/>
      <c r="C199" s="23"/>
      <c r="D199" s="24"/>
      <c r="E199" s="24"/>
      <c r="F199" s="25">
        <f t="shared" si="60"/>
        <v>0</v>
      </c>
      <c r="G199" s="24"/>
      <c r="H199" s="24"/>
      <c r="I199" s="25">
        <v>1</v>
      </c>
      <c r="J199" s="24"/>
      <c r="K199" s="24"/>
      <c r="L199" s="24"/>
      <c r="M199" s="26" t="str">
        <f t="shared" si="61"/>
        <v/>
      </c>
      <c r="N199" s="27">
        <f t="shared" si="62"/>
        <v>0</v>
      </c>
      <c r="T199">
        <f t="shared" si="49"/>
        <v>129</v>
      </c>
      <c r="U199">
        <f t="shared" si="63"/>
        <v>26053</v>
      </c>
      <c r="V199">
        <f t="shared" ca="1" si="64"/>
        <v>0</v>
      </c>
      <c r="W199">
        <v>46</v>
      </c>
      <c r="X199" t="str">
        <f t="shared" ca="1" si="65"/>
        <v/>
      </c>
      <c r="Y199" t="s">
        <v>9</v>
      </c>
      <c r="Z199">
        <f t="shared" ca="1" si="66"/>
        <v>0</v>
      </c>
      <c r="AA199" t="str">
        <f t="shared" ca="1" si="67"/>
        <v>SPPN</v>
      </c>
      <c r="AB199">
        <f t="shared" ca="1" si="68"/>
        <v>1</v>
      </c>
      <c r="AC199" t="str">
        <f t="shared" ca="1" si="69"/>
        <v/>
      </c>
      <c r="AD199" t="str">
        <f t="shared" si="50"/>
        <v>4093RN153</v>
      </c>
      <c r="AE199">
        <f t="shared" ca="1" si="70"/>
        <v>0</v>
      </c>
      <c r="AF199" t="str">
        <f t="shared" ca="1" si="71"/>
        <v/>
      </c>
      <c r="AG199">
        <v>46</v>
      </c>
      <c r="AH199" t="s">
        <v>136</v>
      </c>
      <c r="AI199" t="str">
        <f t="shared" si="51"/>
        <v>Lutheran Home 25</v>
      </c>
      <c r="AJ199" t="str">
        <f t="shared" si="52"/>
        <v>Green Bay</v>
      </c>
      <c r="AK199" t="str">
        <f t="shared" si="53"/>
        <v>WI</v>
      </c>
      <c r="AL199">
        <f t="shared" si="54"/>
        <v>4091142613</v>
      </c>
      <c r="AM199" t="str">
        <f t="shared" si="55"/>
        <v>4093RN153</v>
      </c>
      <c r="AN199" t="str">
        <f t="shared" si="56"/>
        <v/>
      </c>
      <c r="AO199" t="str">
        <f t="shared" si="57"/>
        <v>Pella</v>
      </c>
      <c r="AP199">
        <f t="shared" si="58"/>
        <v>54201</v>
      </c>
      <c r="AQ199">
        <f t="shared" ca="1" si="72"/>
        <v>0</v>
      </c>
      <c r="AR199" s="1">
        <f t="shared" si="59"/>
        <v>46135</v>
      </c>
      <c r="CB199" s="1"/>
    </row>
    <row r="200" spans="1:80" x14ac:dyDescent="0.25">
      <c r="A200" s="23"/>
      <c r="B200" s="23"/>
      <c r="C200" s="23"/>
      <c r="D200" s="24"/>
      <c r="E200" s="24"/>
      <c r="F200" s="25">
        <f t="shared" si="60"/>
        <v>0</v>
      </c>
      <c r="G200" s="24"/>
      <c r="H200" s="24"/>
      <c r="I200" s="25">
        <v>1</v>
      </c>
      <c r="J200" s="24"/>
      <c r="K200" s="24"/>
      <c r="L200" s="24"/>
      <c r="M200" s="26" t="str">
        <f t="shared" si="61"/>
        <v/>
      </c>
      <c r="N200" s="27">
        <f t="shared" si="62"/>
        <v>0</v>
      </c>
      <c r="T200">
        <f t="shared" si="49"/>
        <v>129</v>
      </c>
      <c r="U200">
        <f t="shared" si="63"/>
        <v>26053</v>
      </c>
      <c r="V200">
        <f t="shared" ca="1" si="64"/>
        <v>0</v>
      </c>
      <c r="W200">
        <v>46</v>
      </c>
      <c r="X200" t="str">
        <f t="shared" ca="1" si="65"/>
        <v/>
      </c>
      <c r="Y200" t="s">
        <v>33</v>
      </c>
      <c r="Z200">
        <f t="shared" ca="1" si="66"/>
        <v>0</v>
      </c>
      <c r="AA200" t="str">
        <f t="shared" ca="1" si="67"/>
        <v>SPPN</v>
      </c>
      <c r="AB200">
        <f t="shared" ca="1" si="68"/>
        <v>1</v>
      </c>
      <c r="AC200" t="str">
        <f t="shared" ca="1" si="69"/>
        <v/>
      </c>
      <c r="AD200" t="str">
        <f t="shared" si="50"/>
        <v>4093RN153</v>
      </c>
      <c r="AE200">
        <f t="shared" ca="1" si="70"/>
        <v>0</v>
      </c>
      <c r="AF200" t="str">
        <f t="shared" ca="1" si="71"/>
        <v/>
      </c>
      <c r="AG200">
        <v>46</v>
      </c>
      <c r="AH200" t="s">
        <v>136</v>
      </c>
      <c r="AI200" t="str">
        <f t="shared" si="51"/>
        <v>Lutheran Home 25</v>
      </c>
      <c r="AJ200" t="str">
        <f t="shared" si="52"/>
        <v>Green Bay</v>
      </c>
      <c r="AK200" t="str">
        <f t="shared" si="53"/>
        <v>WI</v>
      </c>
      <c r="AL200">
        <f t="shared" si="54"/>
        <v>4091142613</v>
      </c>
      <c r="AM200" t="str">
        <f t="shared" si="55"/>
        <v>4093RN153</v>
      </c>
      <c r="AN200" t="str">
        <f t="shared" si="56"/>
        <v/>
      </c>
      <c r="AO200" t="str">
        <f t="shared" si="57"/>
        <v>Pella</v>
      </c>
      <c r="AP200">
        <f t="shared" si="58"/>
        <v>54201</v>
      </c>
      <c r="AQ200">
        <f t="shared" ca="1" si="72"/>
        <v>0</v>
      </c>
      <c r="AR200" s="1">
        <f t="shared" si="59"/>
        <v>46135</v>
      </c>
      <c r="CB200" s="1"/>
    </row>
    <row r="201" spans="1:80" x14ac:dyDescent="0.25">
      <c r="A201" s="23"/>
      <c r="B201" s="23"/>
      <c r="C201" s="23"/>
      <c r="D201" s="24"/>
      <c r="E201" s="24"/>
      <c r="F201" s="25">
        <f t="shared" si="60"/>
        <v>0</v>
      </c>
      <c r="G201" s="24"/>
      <c r="H201" s="24"/>
      <c r="I201" s="25">
        <v>1</v>
      </c>
      <c r="J201" s="24"/>
      <c r="K201" s="24"/>
      <c r="L201" s="24"/>
      <c r="M201" s="26" t="str">
        <f t="shared" si="61"/>
        <v/>
      </c>
      <c r="N201" s="27">
        <f t="shared" si="62"/>
        <v>0</v>
      </c>
      <c r="T201">
        <f t="shared" si="49"/>
        <v>129</v>
      </c>
      <c r="U201">
        <f t="shared" si="63"/>
        <v>26053</v>
      </c>
      <c r="V201">
        <f t="shared" ca="1" si="64"/>
        <v>0</v>
      </c>
      <c r="W201">
        <v>46</v>
      </c>
      <c r="X201" t="str">
        <f t="shared" ca="1" si="65"/>
        <v/>
      </c>
      <c r="Y201" t="s">
        <v>28</v>
      </c>
      <c r="Z201">
        <f t="shared" ca="1" si="66"/>
        <v>0</v>
      </c>
      <c r="AA201" t="str">
        <f t="shared" ca="1" si="67"/>
        <v>SPPN</v>
      </c>
      <c r="AB201">
        <f t="shared" ca="1" si="68"/>
        <v>1</v>
      </c>
      <c r="AC201">
        <f t="shared" ca="1" si="69"/>
        <v>0</v>
      </c>
      <c r="AD201" t="str">
        <f t="shared" si="50"/>
        <v>4093RN153</v>
      </c>
      <c r="AE201">
        <f t="shared" ca="1" si="70"/>
        <v>0</v>
      </c>
      <c r="AF201" t="str">
        <f t="shared" ca="1" si="71"/>
        <v/>
      </c>
      <c r="AG201">
        <v>46</v>
      </c>
      <c r="AH201" t="s">
        <v>136</v>
      </c>
      <c r="AI201" t="str">
        <f t="shared" si="51"/>
        <v>Lutheran Home 25</v>
      </c>
      <c r="AJ201" t="str">
        <f t="shared" si="52"/>
        <v>Green Bay</v>
      </c>
      <c r="AK201" t="str">
        <f t="shared" si="53"/>
        <v>WI</v>
      </c>
      <c r="AL201">
        <f t="shared" si="54"/>
        <v>4091142613</v>
      </c>
      <c r="AM201" t="str">
        <f t="shared" si="55"/>
        <v>4093RN153</v>
      </c>
      <c r="AN201" t="str">
        <f t="shared" si="56"/>
        <v/>
      </c>
      <c r="AO201" t="str">
        <f t="shared" si="57"/>
        <v>Pella</v>
      </c>
      <c r="AP201">
        <f t="shared" si="58"/>
        <v>54201</v>
      </c>
      <c r="AQ201">
        <f t="shared" ca="1" si="72"/>
        <v>0</v>
      </c>
      <c r="AR201" s="1">
        <f t="shared" si="59"/>
        <v>46135</v>
      </c>
      <c r="CB201" s="1"/>
    </row>
    <row r="202" spans="1:80" x14ac:dyDescent="0.25">
      <c r="A202" s="23"/>
      <c r="B202" s="23"/>
      <c r="C202" s="23"/>
      <c r="D202" s="24"/>
      <c r="E202" s="24"/>
      <c r="F202" s="25">
        <f t="shared" si="60"/>
        <v>0</v>
      </c>
      <c r="G202" s="24"/>
      <c r="H202" s="24"/>
      <c r="I202" s="25">
        <v>1</v>
      </c>
      <c r="J202" s="24"/>
      <c r="K202" s="24"/>
      <c r="L202" s="24"/>
      <c r="M202" s="26" t="str">
        <f t="shared" si="61"/>
        <v/>
      </c>
      <c r="N202" s="27">
        <f t="shared" si="62"/>
        <v>0</v>
      </c>
      <c r="T202">
        <f t="shared" si="49"/>
        <v>129</v>
      </c>
      <c r="U202">
        <f t="shared" si="63"/>
        <v>26053</v>
      </c>
      <c r="V202">
        <f t="shared" ca="1" si="64"/>
        <v>0</v>
      </c>
      <c r="W202">
        <v>46</v>
      </c>
      <c r="X202" t="str">
        <f t="shared" ca="1" si="65"/>
        <v/>
      </c>
      <c r="Y202" t="s">
        <v>32</v>
      </c>
      <c r="Z202">
        <f t="shared" ca="1" si="66"/>
        <v>0</v>
      </c>
      <c r="AA202" t="str">
        <f t="shared" ca="1" si="67"/>
        <v>SPPN</v>
      </c>
      <c r="AB202">
        <f t="shared" ca="1" si="68"/>
        <v>1</v>
      </c>
      <c r="AC202">
        <f t="shared" ca="1" si="69"/>
        <v>0</v>
      </c>
      <c r="AD202" t="str">
        <f t="shared" si="50"/>
        <v>4093RN153</v>
      </c>
      <c r="AE202">
        <f t="shared" ca="1" si="70"/>
        <v>0</v>
      </c>
      <c r="AF202" t="str">
        <f t="shared" ca="1" si="71"/>
        <v/>
      </c>
      <c r="AG202">
        <v>46</v>
      </c>
      <c r="AH202" t="s">
        <v>136</v>
      </c>
      <c r="AI202" t="str">
        <f t="shared" si="51"/>
        <v>Lutheran Home 25</v>
      </c>
      <c r="AJ202" t="str">
        <f t="shared" si="52"/>
        <v>Green Bay</v>
      </c>
      <c r="AK202" t="str">
        <f t="shared" si="53"/>
        <v>WI</v>
      </c>
      <c r="AL202">
        <f t="shared" si="54"/>
        <v>4091142613</v>
      </c>
      <c r="AM202" t="str">
        <f t="shared" si="55"/>
        <v>4093RN153</v>
      </c>
      <c r="AN202" t="str">
        <f t="shared" si="56"/>
        <v/>
      </c>
      <c r="AO202" t="str">
        <f t="shared" si="57"/>
        <v>Pella</v>
      </c>
      <c r="AP202">
        <f t="shared" si="58"/>
        <v>54201</v>
      </c>
      <c r="AQ202">
        <f t="shared" ca="1" si="72"/>
        <v>0</v>
      </c>
      <c r="AR202" s="1">
        <f t="shared" si="59"/>
        <v>46135</v>
      </c>
      <c r="CB202" s="1"/>
    </row>
    <row r="203" spans="1:80" x14ac:dyDescent="0.25">
      <c r="A203" s="23"/>
      <c r="B203" s="23"/>
      <c r="C203" s="23"/>
      <c r="D203" s="24"/>
      <c r="E203" s="24"/>
      <c r="F203" s="25">
        <f t="shared" si="60"/>
        <v>0</v>
      </c>
      <c r="G203" s="24"/>
      <c r="H203" s="24"/>
      <c r="I203" s="25">
        <v>1</v>
      </c>
      <c r="J203" s="24"/>
      <c r="K203" s="24"/>
      <c r="L203" s="24"/>
      <c r="M203" s="26" t="str">
        <f t="shared" si="61"/>
        <v/>
      </c>
      <c r="N203" s="27">
        <f t="shared" si="62"/>
        <v>0</v>
      </c>
      <c r="T203">
        <f t="shared" si="49"/>
        <v>129</v>
      </c>
      <c r="U203">
        <f t="shared" si="63"/>
        <v>26053</v>
      </c>
      <c r="V203">
        <f t="shared" ca="1" si="64"/>
        <v>0</v>
      </c>
      <c r="W203">
        <v>47</v>
      </c>
      <c r="X203" t="str">
        <f t="shared" ca="1" si="65"/>
        <v/>
      </c>
      <c r="Y203" t="s">
        <v>9</v>
      </c>
      <c r="Z203">
        <f t="shared" ca="1" si="66"/>
        <v>0</v>
      </c>
      <c r="AA203" t="str">
        <f t="shared" ca="1" si="67"/>
        <v>SPPN</v>
      </c>
      <c r="AB203">
        <f t="shared" ca="1" si="68"/>
        <v>1</v>
      </c>
      <c r="AC203" t="str">
        <f t="shared" ca="1" si="69"/>
        <v/>
      </c>
      <c r="AD203" t="str">
        <f t="shared" si="50"/>
        <v>4093RN153</v>
      </c>
      <c r="AE203">
        <f t="shared" ca="1" si="70"/>
        <v>0</v>
      </c>
      <c r="AF203" t="str">
        <f t="shared" ca="1" si="71"/>
        <v/>
      </c>
      <c r="AG203">
        <v>47</v>
      </c>
      <c r="AH203" t="s">
        <v>136</v>
      </c>
      <c r="AI203" t="str">
        <f t="shared" si="51"/>
        <v>Lutheran Home 25</v>
      </c>
      <c r="AJ203" t="str">
        <f t="shared" si="52"/>
        <v>Green Bay</v>
      </c>
      <c r="AK203" t="str">
        <f t="shared" si="53"/>
        <v>WI</v>
      </c>
      <c r="AL203">
        <f t="shared" si="54"/>
        <v>4091142613</v>
      </c>
      <c r="AM203" t="str">
        <f t="shared" si="55"/>
        <v>4093RN153</v>
      </c>
      <c r="AN203" t="str">
        <f t="shared" si="56"/>
        <v/>
      </c>
      <c r="AO203" t="str">
        <f t="shared" si="57"/>
        <v>Pella</v>
      </c>
      <c r="AP203">
        <f t="shared" si="58"/>
        <v>54201</v>
      </c>
      <c r="AQ203">
        <f t="shared" ca="1" si="72"/>
        <v>0</v>
      </c>
      <c r="AR203" s="1">
        <f t="shared" si="59"/>
        <v>46135</v>
      </c>
      <c r="CB203" s="1"/>
    </row>
    <row r="204" spans="1:80" x14ac:dyDescent="0.25">
      <c r="A204" s="23"/>
      <c r="B204" s="23"/>
      <c r="C204" s="23"/>
      <c r="D204" s="24"/>
      <c r="E204" s="24"/>
      <c r="F204" s="25">
        <f t="shared" si="60"/>
        <v>0</v>
      </c>
      <c r="G204" s="24"/>
      <c r="H204" s="24"/>
      <c r="I204" s="25">
        <v>1</v>
      </c>
      <c r="J204" s="24"/>
      <c r="K204" s="24"/>
      <c r="L204" s="24"/>
      <c r="M204" s="26" t="str">
        <f t="shared" si="61"/>
        <v/>
      </c>
      <c r="N204" s="27">
        <f t="shared" si="62"/>
        <v>0</v>
      </c>
      <c r="T204">
        <f t="shared" si="49"/>
        <v>129</v>
      </c>
      <c r="U204">
        <f t="shared" si="63"/>
        <v>26053</v>
      </c>
      <c r="V204">
        <f t="shared" ca="1" si="64"/>
        <v>0</v>
      </c>
      <c r="W204">
        <v>47</v>
      </c>
      <c r="X204" t="str">
        <f t="shared" ca="1" si="65"/>
        <v/>
      </c>
      <c r="Y204" t="s">
        <v>33</v>
      </c>
      <c r="Z204">
        <f t="shared" ca="1" si="66"/>
        <v>0</v>
      </c>
      <c r="AA204" t="str">
        <f t="shared" ca="1" si="67"/>
        <v>SPPN</v>
      </c>
      <c r="AB204">
        <f t="shared" ca="1" si="68"/>
        <v>1</v>
      </c>
      <c r="AC204" t="str">
        <f t="shared" ca="1" si="69"/>
        <v/>
      </c>
      <c r="AD204" t="str">
        <f t="shared" si="50"/>
        <v>4093RN153</v>
      </c>
      <c r="AE204">
        <f t="shared" ca="1" si="70"/>
        <v>0</v>
      </c>
      <c r="AF204" t="str">
        <f t="shared" ca="1" si="71"/>
        <v/>
      </c>
      <c r="AG204">
        <v>47</v>
      </c>
      <c r="AH204" t="s">
        <v>136</v>
      </c>
      <c r="AI204" t="str">
        <f t="shared" si="51"/>
        <v>Lutheran Home 25</v>
      </c>
      <c r="AJ204" t="str">
        <f t="shared" si="52"/>
        <v>Green Bay</v>
      </c>
      <c r="AK204" t="str">
        <f t="shared" si="53"/>
        <v>WI</v>
      </c>
      <c r="AL204">
        <f t="shared" si="54"/>
        <v>4091142613</v>
      </c>
      <c r="AM204" t="str">
        <f t="shared" si="55"/>
        <v>4093RN153</v>
      </c>
      <c r="AN204" t="str">
        <f t="shared" si="56"/>
        <v/>
      </c>
      <c r="AO204" t="str">
        <f t="shared" si="57"/>
        <v>Pella</v>
      </c>
      <c r="AP204">
        <f t="shared" si="58"/>
        <v>54201</v>
      </c>
      <c r="AQ204">
        <f t="shared" ca="1" si="72"/>
        <v>0</v>
      </c>
      <c r="AR204" s="1">
        <f t="shared" si="59"/>
        <v>46135</v>
      </c>
      <c r="CB204" s="1"/>
    </row>
    <row r="205" spans="1:80" x14ac:dyDescent="0.25">
      <c r="A205" s="23"/>
      <c r="B205" s="23"/>
      <c r="C205" s="23"/>
      <c r="D205" s="24"/>
      <c r="E205" s="24"/>
      <c r="F205" s="25">
        <f t="shared" si="60"/>
        <v>0</v>
      </c>
      <c r="G205" s="24"/>
      <c r="H205" s="24"/>
      <c r="I205" s="25">
        <v>1</v>
      </c>
      <c r="J205" s="24"/>
      <c r="K205" s="24"/>
      <c r="L205" s="24"/>
      <c r="M205" s="26" t="str">
        <f t="shared" si="61"/>
        <v/>
      </c>
      <c r="N205" s="27">
        <f t="shared" si="62"/>
        <v>0</v>
      </c>
      <c r="T205">
        <f t="shared" si="49"/>
        <v>129</v>
      </c>
      <c r="U205">
        <f t="shared" si="63"/>
        <v>26053</v>
      </c>
      <c r="V205">
        <f t="shared" ca="1" si="64"/>
        <v>0</v>
      </c>
      <c r="W205">
        <v>47</v>
      </c>
      <c r="X205" t="str">
        <f t="shared" ca="1" si="65"/>
        <v/>
      </c>
      <c r="Y205" t="s">
        <v>28</v>
      </c>
      <c r="Z205">
        <f t="shared" ca="1" si="66"/>
        <v>0</v>
      </c>
      <c r="AA205" t="str">
        <f t="shared" ca="1" si="67"/>
        <v>SPPN</v>
      </c>
      <c r="AB205">
        <f t="shared" ca="1" si="68"/>
        <v>1</v>
      </c>
      <c r="AC205">
        <f t="shared" ca="1" si="69"/>
        <v>0</v>
      </c>
      <c r="AD205" t="str">
        <f t="shared" si="50"/>
        <v>4093RN153</v>
      </c>
      <c r="AE205">
        <f t="shared" ca="1" si="70"/>
        <v>0</v>
      </c>
      <c r="AF205" t="str">
        <f t="shared" ca="1" si="71"/>
        <v/>
      </c>
      <c r="AG205">
        <v>47</v>
      </c>
      <c r="AH205" t="s">
        <v>136</v>
      </c>
      <c r="AI205" t="str">
        <f t="shared" si="51"/>
        <v>Lutheran Home 25</v>
      </c>
      <c r="AJ205" t="str">
        <f t="shared" si="52"/>
        <v>Green Bay</v>
      </c>
      <c r="AK205" t="str">
        <f t="shared" si="53"/>
        <v>WI</v>
      </c>
      <c r="AL205">
        <f t="shared" si="54"/>
        <v>4091142613</v>
      </c>
      <c r="AM205" t="str">
        <f t="shared" si="55"/>
        <v>4093RN153</v>
      </c>
      <c r="AN205" t="str">
        <f t="shared" si="56"/>
        <v/>
      </c>
      <c r="AO205" t="str">
        <f t="shared" si="57"/>
        <v>Pella</v>
      </c>
      <c r="AP205">
        <f t="shared" si="58"/>
        <v>54201</v>
      </c>
      <c r="AQ205">
        <f t="shared" ca="1" si="72"/>
        <v>0</v>
      </c>
      <c r="AR205" s="1">
        <f t="shared" si="59"/>
        <v>46135</v>
      </c>
      <c r="CB205" s="1"/>
    </row>
    <row r="206" spans="1:80" x14ac:dyDescent="0.25">
      <c r="A206" s="23"/>
      <c r="B206" s="23"/>
      <c r="C206" s="23"/>
      <c r="D206" s="24"/>
      <c r="E206" s="24"/>
      <c r="F206" s="25">
        <f t="shared" si="60"/>
        <v>0</v>
      </c>
      <c r="G206" s="24"/>
      <c r="H206" s="24"/>
      <c r="I206" s="25">
        <v>1</v>
      </c>
      <c r="J206" s="24"/>
      <c r="K206" s="24"/>
      <c r="L206" s="24"/>
      <c r="M206" s="26" t="str">
        <f t="shared" si="61"/>
        <v/>
      </c>
      <c r="N206" s="27">
        <f t="shared" si="62"/>
        <v>0</v>
      </c>
      <c r="T206">
        <f t="shared" si="49"/>
        <v>129</v>
      </c>
      <c r="U206">
        <f t="shared" si="63"/>
        <v>26053</v>
      </c>
      <c r="V206">
        <f t="shared" ca="1" si="64"/>
        <v>0</v>
      </c>
      <c r="W206">
        <v>47</v>
      </c>
      <c r="X206" t="str">
        <f t="shared" ca="1" si="65"/>
        <v/>
      </c>
      <c r="Y206" t="s">
        <v>32</v>
      </c>
      <c r="Z206">
        <f t="shared" ca="1" si="66"/>
        <v>0</v>
      </c>
      <c r="AA206" t="str">
        <f t="shared" ca="1" si="67"/>
        <v>SPPN</v>
      </c>
      <c r="AB206">
        <f t="shared" ca="1" si="68"/>
        <v>1</v>
      </c>
      <c r="AC206">
        <f t="shared" ca="1" si="69"/>
        <v>0</v>
      </c>
      <c r="AD206" t="str">
        <f t="shared" si="50"/>
        <v>4093RN153</v>
      </c>
      <c r="AE206">
        <f t="shared" ca="1" si="70"/>
        <v>0</v>
      </c>
      <c r="AF206" t="str">
        <f t="shared" ca="1" si="71"/>
        <v/>
      </c>
      <c r="AG206">
        <v>47</v>
      </c>
      <c r="AH206" t="s">
        <v>136</v>
      </c>
      <c r="AI206" t="str">
        <f t="shared" si="51"/>
        <v>Lutheran Home 25</v>
      </c>
      <c r="AJ206" t="str">
        <f t="shared" si="52"/>
        <v>Green Bay</v>
      </c>
      <c r="AK206" t="str">
        <f t="shared" si="53"/>
        <v>WI</v>
      </c>
      <c r="AL206">
        <f t="shared" si="54"/>
        <v>4091142613</v>
      </c>
      <c r="AM206" t="str">
        <f t="shared" si="55"/>
        <v>4093RN153</v>
      </c>
      <c r="AN206" t="str">
        <f t="shared" si="56"/>
        <v/>
      </c>
      <c r="AO206" t="str">
        <f t="shared" si="57"/>
        <v>Pella</v>
      </c>
      <c r="AP206">
        <f t="shared" si="58"/>
        <v>54201</v>
      </c>
      <c r="AQ206">
        <f t="shared" ca="1" si="72"/>
        <v>0</v>
      </c>
      <c r="AR206" s="1">
        <f t="shared" si="59"/>
        <v>46135</v>
      </c>
      <c r="CB206" s="1"/>
    </row>
    <row r="207" spans="1:80" x14ac:dyDescent="0.25">
      <c r="A207" s="23"/>
      <c r="B207" s="23"/>
      <c r="C207" s="23"/>
      <c r="D207" s="24"/>
      <c r="E207" s="24"/>
      <c r="F207" s="25">
        <f t="shared" si="60"/>
        <v>0</v>
      </c>
      <c r="G207" s="24"/>
      <c r="H207" s="24"/>
      <c r="I207" s="25">
        <v>1</v>
      </c>
      <c r="J207" s="24"/>
      <c r="K207" s="24"/>
      <c r="L207" s="24"/>
      <c r="M207" s="26" t="str">
        <f t="shared" si="61"/>
        <v/>
      </c>
      <c r="N207" s="27">
        <f t="shared" si="62"/>
        <v>0</v>
      </c>
      <c r="T207">
        <f t="shared" si="49"/>
        <v>129</v>
      </c>
      <c r="U207">
        <f t="shared" si="63"/>
        <v>26053</v>
      </c>
      <c r="V207">
        <f t="shared" ca="1" si="64"/>
        <v>0</v>
      </c>
      <c r="W207">
        <v>48</v>
      </c>
      <c r="X207" t="str">
        <f t="shared" ca="1" si="65"/>
        <v/>
      </c>
      <c r="Y207" t="s">
        <v>9</v>
      </c>
      <c r="Z207">
        <f t="shared" ca="1" si="66"/>
        <v>0</v>
      </c>
      <c r="AA207" t="str">
        <f t="shared" ca="1" si="67"/>
        <v>SPPN</v>
      </c>
      <c r="AB207">
        <f t="shared" ca="1" si="68"/>
        <v>1</v>
      </c>
      <c r="AC207" t="str">
        <f t="shared" ca="1" si="69"/>
        <v/>
      </c>
      <c r="AD207" t="str">
        <f t="shared" si="50"/>
        <v>4093RN153</v>
      </c>
      <c r="AE207">
        <f t="shared" ca="1" si="70"/>
        <v>0</v>
      </c>
      <c r="AF207" t="str">
        <f t="shared" ca="1" si="71"/>
        <v/>
      </c>
      <c r="AG207">
        <v>48</v>
      </c>
      <c r="AH207" t="s">
        <v>136</v>
      </c>
      <c r="AI207" t="str">
        <f t="shared" si="51"/>
        <v>Lutheran Home 25</v>
      </c>
      <c r="AJ207" t="str">
        <f t="shared" si="52"/>
        <v>Green Bay</v>
      </c>
      <c r="AK207" t="str">
        <f t="shared" si="53"/>
        <v>WI</v>
      </c>
      <c r="AL207">
        <f t="shared" si="54"/>
        <v>4091142613</v>
      </c>
      <c r="AM207" t="str">
        <f t="shared" si="55"/>
        <v>4093RN153</v>
      </c>
      <c r="AN207" t="str">
        <f t="shared" si="56"/>
        <v/>
      </c>
      <c r="AO207" t="str">
        <f t="shared" si="57"/>
        <v>Pella</v>
      </c>
      <c r="AP207">
        <f t="shared" si="58"/>
        <v>54201</v>
      </c>
      <c r="AQ207">
        <f t="shared" ca="1" si="72"/>
        <v>0</v>
      </c>
      <c r="AR207" s="1">
        <f t="shared" si="59"/>
        <v>46135</v>
      </c>
      <c r="CB207" s="1"/>
    </row>
    <row r="208" spans="1:80" x14ac:dyDescent="0.25">
      <c r="A208" s="23"/>
      <c r="B208" s="23"/>
      <c r="C208" s="23"/>
      <c r="D208" s="24"/>
      <c r="E208" s="24"/>
      <c r="F208" s="25">
        <f t="shared" si="60"/>
        <v>0</v>
      </c>
      <c r="G208" s="24"/>
      <c r="H208" s="24"/>
      <c r="I208" s="25">
        <v>1</v>
      </c>
      <c r="J208" s="24"/>
      <c r="K208" s="24"/>
      <c r="L208" s="24"/>
      <c r="M208" s="26" t="str">
        <f t="shared" si="61"/>
        <v/>
      </c>
      <c r="N208" s="27">
        <f t="shared" si="62"/>
        <v>0</v>
      </c>
      <c r="T208">
        <f t="shared" si="49"/>
        <v>129</v>
      </c>
      <c r="U208">
        <f t="shared" si="63"/>
        <v>26053</v>
      </c>
      <c r="V208">
        <f t="shared" ca="1" si="64"/>
        <v>0</v>
      </c>
      <c r="W208">
        <v>48</v>
      </c>
      <c r="X208" t="str">
        <f t="shared" ca="1" si="65"/>
        <v/>
      </c>
      <c r="Y208" t="s">
        <v>33</v>
      </c>
      <c r="Z208">
        <f t="shared" ca="1" si="66"/>
        <v>0</v>
      </c>
      <c r="AA208" t="str">
        <f t="shared" ca="1" si="67"/>
        <v>SPPN</v>
      </c>
      <c r="AB208">
        <f t="shared" ca="1" si="68"/>
        <v>1</v>
      </c>
      <c r="AC208" t="str">
        <f t="shared" ca="1" si="69"/>
        <v/>
      </c>
      <c r="AD208" t="str">
        <f t="shared" si="50"/>
        <v>4093RN153</v>
      </c>
      <c r="AE208">
        <f t="shared" ca="1" si="70"/>
        <v>0</v>
      </c>
      <c r="AF208" t="str">
        <f t="shared" ca="1" si="71"/>
        <v/>
      </c>
      <c r="AG208">
        <v>48</v>
      </c>
      <c r="AH208" t="s">
        <v>136</v>
      </c>
      <c r="AI208" t="str">
        <f t="shared" si="51"/>
        <v>Lutheran Home 25</v>
      </c>
      <c r="AJ208" t="str">
        <f t="shared" si="52"/>
        <v>Green Bay</v>
      </c>
      <c r="AK208" t="str">
        <f t="shared" si="53"/>
        <v>WI</v>
      </c>
      <c r="AL208">
        <f t="shared" si="54"/>
        <v>4091142613</v>
      </c>
      <c r="AM208" t="str">
        <f t="shared" si="55"/>
        <v>4093RN153</v>
      </c>
      <c r="AN208" t="str">
        <f t="shared" si="56"/>
        <v/>
      </c>
      <c r="AO208" t="str">
        <f t="shared" si="57"/>
        <v>Pella</v>
      </c>
      <c r="AP208">
        <f t="shared" si="58"/>
        <v>54201</v>
      </c>
      <c r="AQ208">
        <f t="shared" ca="1" si="72"/>
        <v>0</v>
      </c>
      <c r="AR208" s="1">
        <f t="shared" si="59"/>
        <v>46135</v>
      </c>
      <c r="CB208" s="1"/>
    </row>
    <row r="209" spans="1:80" x14ac:dyDescent="0.25">
      <c r="A209" s="23"/>
      <c r="B209" s="23"/>
      <c r="C209" s="23"/>
      <c r="D209" s="24"/>
      <c r="E209" s="24"/>
      <c r="F209" s="25">
        <f t="shared" si="60"/>
        <v>0</v>
      </c>
      <c r="G209" s="24"/>
      <c r="H209" s="24"/>
      <c r="I209" s="25">
        <v>1</v>
      </c>
      <c r="J209" s="24"/>
      <c r="K209" s="24"/>
      <c r="L209" s="24"/>
      <c r="M209" s="26" t="str">
        <f t="shared" si="61"/>
        <v/>
      </c>
      <c r="N209" s="27">
        <f t="shared" si="62"/>
        <v>0</v>
      </c>
      <c r="T209">
        <f t="shared" si="49"/>
        <v>129</v>
      </c>
      <c r="U209">
        <f t="shared" si="63"/>
        <v>26053</v>
      </c>
      <c r="V209">
        <f t="shared" ca="1" si="64"/>
        <v>0</v>
      </c>
      <c r="W209">
        <v>48</v>
      </c>
      <c r="X209" t="str">
        <f t="shared" ca="1" si="65"/>
        <v/>
      </c>
      <c r="Y209" t="s">
        <v>28</v>
      </c>
      <c r="Z209">
        <f t="shared" ca="1" si="66"/>
        <v>0</v>
      </c>
      <c r="AA209" t="str">
        <f t="shared" ca="1" si="67"/>
        <v>SPPN</v>
      </c>
      <c r="AB209">
        <f t="shared" ca="1" si="68"/>
        <v>1</v>
      </c>
      <c r="AC209">
        <f t="shared" ca="1" si="69"/>
        <v>0</v>
      </c>
      <c r="AD209" t="str">
        <f t="shared" si="50"/>
        <v>4093RN153</v>
      </c>
      <c r="AE209">
        <f t="shared" ca="1" si="70"/>
        <v>0</v>
      </c>
      <c r="AF209" t="str">
        <f t="shared" ca="1" si="71"/>
        <v/>
      </c>
      <c r="AG209">
        <v>48</v>
      </c>
      <c r="AH209" t="s">
        <v>136</v>
      </c>
      <c r="AI209" t="str">
        <f t="shared" si="51"/>
        <v>Lutheran Home 25</v>
      </c>
      <c r="AJ209" t="str">
        <f t="shared" si="52"/>
        <v>Green Bay</v>
      </c>
      <c r="AK209" t="str">
        <f t="shared" si="53"/>
        <v>WI</v>
      </c>
      <c r="AL209">
        <f t="shared" si="54"/>
        <v>4091142613</v>
      </c>
      <c r="AM209" t="str">
        <f t="shared" si="55"/>
        <v>4093RN153</v>
      </c>
      <c r="AN209" t="str">
        <f t="shared" si="56"/>
        <v/>
      </c>
      <c r="AO209" t="str">
        <f t="shared" si="57"/>
        <v>Pella</v>
      </c>
      <c r="AP209">
        <f t="shared" si="58"/>
        <v>54201</v>
      </c>
      <c r="AQ209">
        <f t="shared" ca="1" si="72"/>
        <v>0</v>
      </c>
      <c r="AR209" s="1">
        <f t="shared" si="59"/>
        <v>46135</v>
      </c>
      <c r="CB209" s="1"/>
    </row>
    <row r="210" spans="1:80" x14ac:dyDescent="0.25">
      <c r="A210" s="23"/>
      <c r="B210" s="23"/>
      <c r="C210" s="23"/>
      <c r="D210" s="24"/>
      <c r="E210" s="24"/>
      <c r="F210" s="25">
        <f t="shared" si="60"/>
        <v>0</v>
      </c>
      <c r="G210" s="24"/>
      <c r="H210" s="24"/>
      <c r="I210" s="25">
        <v>1</v>
      </c>
      <c r="J210" s="24"/>
      <c r="K210" s="24"/>
      <c r="L210" s="24"/>
      <c r="M210" s="26" t="str">
        <f t="shared" si="61"/>
        <v/>
      </c>
      <c r="N210" s="27">
        <f t="shared" si="62"/>
        <v>0</v>
      </c>
      <c r="T210">
        <f t="shared" si="49"/>
        <v>129</v>
      </c>
      <c r="U210">
        <f t="shared" si="63"/>
        <v>26053</v>
      </c>
      <c r="V210">
        <f t="shared" ca="1" si="64"/>
        <v>0</v>
      </c>
      <c r="W210">
        <v>48</v>
      </c>
      <c r="X210" t="str">
        <f t="shared" ca="1" si="65"/>
        <v/>
      </c>
      <c r="Y210" t="s">
        <v>32</v>
      </c>
      <c r="Z210">
        <f t="shared" ca="1" si="66"/>
        <v>0</v>
      </c>
      <c r="AA210" t="str">
        <f t="shared" ca="1" si="67"/>
        <v>SPPN</v>
      </c>
      <c r="AB210">
        <f t="shared" ca="1" si="68"/>
        <v>1</v>
      </c>
      <c r="AC210">
        <f t="shared" ca="1" si="69"/>
        <v>0</v>
      </c>
      <c r="AD210" t="str">
        <f t="shared" si="50"/>
        <v>4093RN153</v>
      </c>
      <c r="AE210">
        <f t="shared" ca="1" si="70"/>
        <v>0</v>
      </c>
      <c r="AF210" t="str">
        <f t="shared" ca="1" si="71"/>
        <v/>
      </c>
      <c r="AG210">
        <v>48</v>
      </c>
      <c r="AH210" t="s">
        <v>136</v>
      </c>
      <c r="AI210" t="str">
        <f t="shared" si="51"/>
        <v>Lutheran Home 25</v>
      </c>
      <c r="AJ210" t="str">
        <f t="shared" si="52"/>
        <v>Green Bay</v>
      </c>
      <c r="AK210" t="str">
        <f t="shared" si="53"/>
        <v>WI</v>
      </c>
      <c r="AL210">
        <f t="shared" si="54"/>
        <v>4091142613</v>
      </c>
      <c r="AM210" t="str">
        <f t="shared" si="55"/>
        <v>4093RN153</v>
      </c>
      <c r="AN210" t="str">
        <f t="shared" si="56"/>
        <v/>
      </c>
      <c r="AO210" t="str">
        <f t="shared" si="57"/>
        <v>Pella</v>
      </c>
      <c r="AP210">
        <f t="shared" si="58"/>
        <v>54201</v>
      </c>
      <c r="AQ210">
        <f t="shared" ca="1" si="72"/>
        <v>0</v>
      </c>
      <c r="AR210" s="1">
        <f t="shared" si="59"/>
        <v>46135</v>
      </c>
      <c r="CB210" s="1"/>
    </row>
    <row r="211" spans="1:80" x14ac:dyDescent="0.25">
      <c r="A211" s="23"/>
      <c r="B211" s="23"/>
      <c r="C211" s="23"/>
      <c r="D211" s="24"/>
      <c r="E211" s="24"/>
      <c r="F211" s="25">
        <f t="shared" si="60"/>
        <v>0</v>
      </c>
      <c r="G211" s="24"/>
      <c r="H211" s="24"/>
      <c r="I211" s="25">
        <v>1</v>
      </c>
      <c r="J211" s="24"/>
      <c r="K211" s="24"/>
      <c r="L211" s="24"/>
      <c r="M211" s="26" t="str">
        <f t="shared" si="61"/>
        <v/>
      </c>
      <c r="N211" s="27">
        <f t="shared" si="62"/>
        <v>0</v>
      </c>
      <c r="T211">
        <f t="shared" ref="T211:T274" si="73">$H$14</f>
        <v>129</v>
      </c>
      <c r="U211">
        <f t="shared" si="63"/>
        <v>26053</v>
      </c>
      <c r="V211">
        <f t="shared" ca="1" si="64"/>
        <v>0</v>
      </c>
      <c r="W211">
        <v>49</v>
      </c>
      <c r="X211" t="str">
        <f t="shared" ca="1" si="65"/>
        <v/>
      </c>
      <c r="Y211" t="s">
        <v>9</v>
      </c>
      <c r="Z211">
        <f t="shared" ca="1" si="66"/>
        <v>0</v>
      </c>
      <c r="AA211" t="str">
        <f t="shared" ca="1" si="67"/>
        <v>SPPN</v>
      </c>
      <c r="AB211">
        <f t="shared" ca="1" si="68"/>
        <v>1</v>
      </c>
      <c r="AC211" t="str">
        <f t="shared" ca="1" si="69"/>
        <v/>
      </c>
      <c r="AD211" t="str">
        <f t="shared" ref="AD211:AD274" si="74">$H$5</f>
        <v>4093RN153</v>
      </c>
      <c r="AE211">
        <f t="shared" ca="1" si="70"/>
        <v>0</v>
      </c>
      <c r="AF211" t="str">
        <f t="shared" ca="1" si="71"/>
        <v/>
      </c>
      <c r="AG211">
        <v>49</v>
      </c>
      <c r="AH211" t="s">
        <v>136</v>
      </c>
      <c r="AI211" t="str">
        <f t="shared" ref="AI211:AI274" si="75">$H$6</f>
        <v>Lutheran Home 25</v>
      </c>
      <c r="AJ211" t="str">
        <f t="shared" ref="AJ211:AJ274" si="76">$H$7</f>
        <v>Green Bay</v>
      </c>
      <c r="AK211" t="str">
        <f t="shared" ref="AK211:AK274" si="77">$H$8</f>
        <v>WI</v>
      </c>
      <c r="AL211">
        <f t="shared" ref="AL211:AL258" si="78">$H$9</f>
        <v>4091142613</v>
      </c>
      <c r="AM211" t="str">
        <f t="shared" ref="AM211:AM258" si="79">$H$5</f>
        <v>4093RN153</v>
      </c>
      <c r="AN211" t="str">
        <f t="shared" ref="AN211:AN258" si="80">IF($H$10=0,"",$H$10)</f>
        <v/>
      </c>
      <c r="AO211" t="str">
        <f t="shared" ref="AO211:AO258" si="81">IF($H$11=0,"",$H$11)</f>
        <v>Pella</v>
      </c>
      <c r="AP211">
        <f t="shared" ref="AP211:AP258" si="82">IF($H$12=0,"",$H$12)</f>
        <v>54201</v>
      </c>
      <c r="AQ211">
        <f t="shared" ca="1" si="72"/>
        <v>0</v>
      </c>
      <c r="AR211" s="1">
        <f t="shared" ref="AR211:AR258" si="83">IF($H$13=0,"",$H$13)</f>
        <v>46135</v>
      </c>
      <c r="CB211" s="1"/>
    </row>
    <row r="212" spans="1:80" x14ac:dyDescent="0.25">
      <c r="A212" s="23"/>
      <c r="B212" s="23"/>
      <c r="C212" s="23"/>
      <c r="D212" s="24"/>
      <c r="E212" s="24"/>
      <c r="F212" s="25">
        <f t="shared" ref="F212:F258" si="84">D212-E212</f>
        <v>0</v>
      </c>
      <c r="G212" s="24"/>
      <c r="H212" s="24"/>
      <c r="I212" s="25">
        <v>1</v>
      </c>
      <c r="J212" s="24"/>
      <c r="K212" s="24"/>
      <c r="L212" s="24"/>
      <c r="M212" s="26" t="str">
        <f t="shared" ref="M212:M258" si="85">IF(A212="4 Sided Window",H212-($H$3*2),IF(A212="3 Sided Patio Door",H212-0.875,""))</f>
        <v/>
      </c>
      <c r="N212" s="27">
        <f t="shared" ref="N212:N258" si="86">IF(A212="3 Sided Patio Door",(G212+((H212+2)*2))/12,((G212*2)+(H212*2))/12)</f>
        <v>0</v>
      </c>
      <c r="T212">
        <f t="shared" si="73"/>
        <v>129</v>
      </c>
      <c r="U212">
        <f t="shared" ref="U212:U275" si="87">$H$2</f>
        <v>26053</v>
      </c>
      <c r="V212">
        <f t="shared" ref="V212:V275" ca="1" si="88">(OFFSET($B$19,INT((ROW(A194)-1)/4),0))</f>
        <v>0</v>
      </c>
      <c r="W212">
        <v>49</v>
      </c>
      <c r="X212" t="str">
        <f t="shared" ref="X212:X275" ca="1" si="89">IF((OFFSET($J$19,INT((ROW(A194)-1)/4),0))="JE","JE",IF((OFFSET($J$19,INT((ROW(A194)-1)/4),0))="Drilled","JC",""))</f>
        <v/>
      </c>
      <c r="Y212" t="s">
        <v>33</v>
      </c>
      <c r="Z212">
        <f t="shared" ref="Z212:Z275" ca="1" si="90">(OFFSET($F$19,INT((ROW(A194)-1)/4),0))</f>
        <v>0</v>
      </c>
      <c r="AA212" t="str">
        <f t="shared" ref="AA212:AA275" ca="1" si="91">IF((OFFSET($K$19,INT((ROW(A194)-1)/4),0))="Poplar","PAINT",IF((OFFSET($K$19,INT((ROW(A194)-1)/4),0))="Red Oak","SGO",IF((OFFSET($K$19,INT((ROW(A194)-1)/4),0))="Maple","SM","SPPN")))</f>
        <v>SPPN</v>
      </c>
      <c r="AB212">
        <f t="shared" ref="AB212:AB275" ca="1" si="92">(OFFSET($I$19,INT((ROW(A194)-1)/4),0))</f>
        <v>1</v>
      </c>
      <c r="AC212" t="str">
        <f t="shared" ref="AC212:AC275" ca="1" si="93">IF(OR(Y212="L",Y212="R"),(OFFSET($M$19,INT((ROW(A194)-1)/4),0)),IF(Y212="B",IF((OFFSET($A$19,INT((ROW(A194)-1)/4),0))="3 Sided Patio Door",0,(OFFSET($G$19,INT((ROW(A194)-1)/4),0))),(OFFSET($G$19,INT((ROW(A194)-1)/4),0))))</f>
        <v/>
      </c>
      <c r="AD212" t="str">
        <f t="shared" si="74"/>
        <v>4093RN153</v>
      </c>
      <c r="AE212">
        <f t="shared" ref="AE212:AE275" ca="1" si="94">(OFFSET($L$19,INT((ROW(A194)-1)/4),0))</f>
        <v>0</v>
      </c>
      <c r="AF212" t="str">
        <f t="shared" ref="AF212:AF275" ca="1" si="95">IF((OFFSET($A$19,INT((ROW(A194)-1)/4),0))="3 sided Patio door", "Unassemble","")</f>
        <v/>
      </c>
      <c r="AG212">
        <v>49</v>
      </c>
      <c r="AH212" t="s">
        <v>136</v>
      </c>
      <c r="AI212" t="str">
        <f t="shared" si="75"/>
        <v>Lutheran Home 25</v>
      </c>
      <c r="AJ212" t="str">
        <f t="shared" si="76"/>
        <v>Green Bay</v>
      </c>
      <c r="AK212" t="str">
        <f t="shared" si="77"/>
        <v>WI</v>
      </c>
      <c r="AL212">
        <f t="shared" si="78"/>
        <v>4091142613</v>
      </c>
      <c r="AM212" t="str">
        <f t="shared" si="79"/>
        <v>4093RN153</v>
      </c>
      <c r="AN212" t="str">
        <f t="shared" si="80"/>
        <v/>
      </c>
      <c r="AO212" t="str">
        <f t="shared" si="81"/>
        <v>Pella</v>
      </c>
      <c r="AP212">
        <f t="shared" si="82"/>
        <v>54201</v>
      </c>
      <c r="AQ212">
        <f t="shared" ref="AQ212:AQ258" ca="1" si="96">(OFFSET($BF$39,INT((ROW(A194)-1)/4),0))</f>
        <v>0</v>
      </c>
      <c r="AR212" s="1">
        <f t="shared" si="83"/>
        <v>46135</v>
      </c>
      <c r="CB212" s="1"/>
    </row>
    <row r="213" spans="1:80" x14ac:dyDescent="0.25">
      <c r="A213" s="23"/>
      <c r="B213" s="23"/>
      <c r="C213" s="23"/>
      <c r="D213" s="24"/>
      <c r="E213" s="24"/>
      <c r="F213" s="25">
        <f t="shared" si="84"/>
        <v>0</v>
      </c>
      <c r="G213" s="24"/>
      <c r="H213" s="24"/>
      <c r="I213" s="25">
        <v>1</v>
      </c>
      <c r="J213" s="24"/>
      <c r="K213" s="24"/>
      <c r="L213" s="24"/>
      <c r="M213" s="26" t="str">
        <f t="shared" si="85"/>
        <v/>
      </c>
      <c r="N213" s="27">
        <f t="shared" si="86"/>
        <v>0</v>
      </c>
      <c r="T213">
        <f t="shared" si="73"/>
        <v>129</v>
      </c>
      <c r="U213">
        <f t="shared" si="87"/>
        <v>26053</v>
      </c>
      <c r="V213">
        <f t="shared" ca="1" si="88"/>
        <v>0</v>
      </c>
      <c r="W213">
        <v>49</v>
      </c>
      <c r="X213" t="str">
        <f t="shared" ca="1" si="89"/>
        <v/>
      </c>
      <c r="Y213" t="s">
        <v>28</v>
      </c>
      <c r="Z213">
        <f t="shared" ca="1" si="90"/>
        <v>0</v>
      </c>
      <c r="AA213" t="str">
        <f t="shared" ca="1" si="91"/>
        <v>SPPN</v>
      </c>
      <c r="AB213">
        <f t="shared" ca="1" si="92"/>
        <v>1</v>
      </c>
      <c r="AC213">
        <f t="shared" ca="1" si="93"/>
        <v>0</v>
      </c>
      <c r="AD213" t="str">
        <f t="shared" si="74"/>
        <v>4093RN153</v>
      </c>
      <c r="AE213">
        <f t="shared" ca="1" si="94"/>
        <v>0</v>
      </c>
      <c r="AF213" t="str">
        <f t="shared" ca="1" si="95"/>
        <v/>
      </c>
      <c r="AG213">
        <v>49</v>
      </c>
      <c r="AH213" t="s">
        <v>136</v>
      </c>
      <c r="AI213" t="str">
        <f t="shared" si="75"/>
        <v>Lutheran Home 25</v>
      </c>
      <c r="AJ213" t="str">
        <f t="shared" si="76"/>
        <v>Green Bay</v>
      </c>
      <c r="AK213" t="str">
        <f t="shared" si="77"/>
        <v>WI</v>
      </c>
      <c r="AL213">
        <f t="shared" si="78"/>
        <v>4091142613</v>
      </c>
      <c r="AM213" t="str">
        <f t="shared" si="79"/>
        <v>4093RN153</v>
      </c>
      <c r="AN213" t="str">
        <f t="shared" si="80"/>
        <v/>
      </c>
      <c r="AO213" t="str">
        <f t="shared" si="81"/>
        <v>Pella</v>
      </c>
      <c r="AP213">
        <f t="shared" si="82"/>
        <v>54201</v>
      </c>
      <c r="AQ213">
        <f t="shared" ca="1" si="96"/>
        <v>0</v>
      </c>
      <c r="AR213" s="1">
        <f t="shared" si="83"/>
        <v>46135</v>
      </c>
      <c r="CB213" s="1"/>
    </row>
    <row r="214" spans="1:80" x14ac:dyDescent="0.25">
      <c r="A214" s="23"/>
      <c r="B214" s="23"/>
      <c r="C214" s="23"/>
      <c r="D214" s="24"/>
      <c r="E214" s="24"/>
      <c r="F214" s="25">
        <f t="shared" si="84"/>
        <v>0</v>
      </c>
      <c r="G214" s="24"/>
      <c r="H214" s="24"/>
      <c r="I214" s="25">
        <v>1</v>
      </c>
      <c r="J214" s="24"/>
      <c r="K214" s="24"/>
      <c r="L214" s="24"/>
      <c r="M214" s="26" t="str">
        <f t="shared" si="85"/>
        <v/>
      </c>
      <c r="N214" s="27">
        <f t="shared" si="86"/>
        <v>0</v>
      </c>
      <c r="T214">
        <f t="shared" si="73"/>
        <v>129</v>
      </c>
      <c r="U214">
        <f t="shared" si="87"/>
        <v>26053</v>
      </c>
      <c r="V214">
        <f t="shared" ca="1" si="88"/>
        <v>0</v>
      </c>
      <c r="W214">
        <v>49</v>
      </c>
      <c r="X214" t="str">
        <f t="shared" ca="1" si="89"/>
        <v/>
      </c>
      <c r="Y214" t="s">
        <v>32</v>
      </c>
      <c r="Z214">
        <f t="shared" ca="1" si="90"/>
        <v>0</v>
      </c>
      <c r="AA214" t="str">
        <f t="shared" ca="1" si="91"/>
        <v>SPPN</v>
      </c>
      <c r="AB214">
        <f t="shared" ca="1" si="92"/>
        <v>1</v>
      </c>
      <c r="AC214">
        <f t="shared" ca="1" si="93"/>
        <v>0</v>
      </c>
      <c r="AD214" t="str">
        <f t="shared" si="74"/>
        <v>4093RN153</v>
      </c>
      <c r="AE214">
        <f t="shared" ca="1" si="94"/>
        <v>0</v>
      </c>
      <c r="AF214" t="str">
        <f t="shared" ca="1" si="95"/>
        <v/>
      </c>
      <c r="AG214">
        <v>49</v>
      </c>
      <c r="AH214" t="s">
        <v>136</v>
      </c>
      <c r="AI214" t="str">
        <f t="shared" si="75"/>
        <v>Lutheran Home 25</v>
      </c>
      <c r="AJ214" t="str">
        <f t="shared" si="76"/>
        <v>Green Bay</v>
      </c>
      <c r="AK214" t="str">
        <f t="shared" si="77"/>
        <v>WI</v>
      </c>
      <c r="AL214">
        <f t="shared" si="78"/>
        <v>4091142613</v>
      </c>
      <c r="AM214" t="str">
        <f t="shared" si="79"/>
        <v>4093RN153</v>
      </c>
      <c r="AN214" t="str">
        <f t="shared" si="80"/>
        <v/>
      </c>
      <c r="AO214" t="str">
        <f t="shared" si="81"/>
        <v>Pella</v>
      </c>
      <c r="AP214">
        <f t="shared" si="82"/>
        <v>54201</v>
      </c>
      <c r="AQ214">
        <f t="shared" ca="1" si="96"/>
        <v>0</v>
      </c>
      <c r="AR214" s="1">
        <f t="shared" si="83"/>
        <v>46135</v>
      </c>
      <c r="CB214" s="1"/>
    </row>
    <row r="215" spans="1:80" x14ac:dyDescent="0.25">
      <c r="A215" s="23"/>
      <c r="B215" s="23"/>
      <c r="C215" s="23"/>
      <c r="D215" s="24"/>
      <c r="E215" s="24"/>
      <c r="F215" s="25">
        <f t="shared" si="84"/>
        <v>0</v>
      </c>
      <c r="G215" s="24"/>
      <c r="H215" s="24"/>
      <c r="I215" s="25">
        <v>1</v>
      </c>
      <c r="J215" s="24"/>
      <c r="K215" s="24"/>
      <c r="L215" s="24"/>
      <c r="M215" s="26" t="str">
        <f t="shared" si="85"/>
        <v/>
      </c>
      <c r="N215" s="27">
        <f t="shared" si="86"/>
        <v>0</v>
      </c>
      <c r="T215">
        <f t="shared" si="73"/>
        <v>129</v>
      </c>
      <c r="U215">
        <f t="shared" si="87"/>
        <v>26053</v>
      </c>
      <c r="V215">
        <f t="shared" ca="1" si="88"/>
        <v>0</v>
      </c>
      <c r="W215">
        <v>50</v>
      </c>
      <c r="X215" t="str">
        <f t="shared" ca="1" si="89"/>
        <v/>
      </c>
      <c r="Y215" t="s">
        <v>9</v>
      </c>
      <c r="Z215">
        <f t="shared" ca="1" si="90"/>
        <v>0</v>
      </c>
      <c r="AA215" t="str">
        <f t="shared" ca="1" si="91"/>
        <v>SPPN</v>
      </c>
      <c r="AB215">
        <f t="shared" ca="1" si="92"/>
        <v>1</v>
      </c>
      <c r="AC215" t="str">
        <f t="shared" ca="1" si="93"/>
        <v/>
      </c>
      <c r="AD215" t="str">
        <f t="shared" si="74"/>
        <v>4093RN153</v>
      </c>
      <c r="AE215">
        <f t="shared" ca="1" si="94"/>
        <v>0</v>
      </c>
      <c r="AF215" t="str">
        <f t="shared" ca="1" si="95"/>
        <v/>
      </c>
      <c r="AG215">
        <v>50</v>
      </c>
      <c r="AH215" t="s">
        <v>136</v>
      </c>
      <c r="AI215" t="str">
        <f t="shared" si="75"/>
        <v>Lutheran Home 25</v>
      </c>
      <c r="AJ215" t="str">
        <f t="shared" si="76"/>
        <v>Green Bay</v>
      </c>
      <c r="AK215" t="str">
        <f t="shared" si="77"/>
        <v>WI</v>
      </c>
      <c r="AL215">
        <f t="shared" si="78"/>
        <v>4091142613</v>
      </c>
      <c r="AM215" t="str">
        <f t="shared" si="79"/>
        <v>4093RN153</v>
      </c>
      <c r="AN215" t="str">
        <f t="shared" si="80"/>
        <v/>
      </c>
      <c r="AO215" t="str">
        <f t="shared" si="81"/>
        <v>Pella</v>
      </c>
      <c r="AP215">
        <f t="shared" si="82"/>
        <v>54201</v>
      </c>
      <c r="AQ215">
        <f t="shared" ca="1" si="96"/>
        <v>0</v>
      </c>
      <c r="AR215" s="1">
        <f t="shared" si="83"/>
        <v>46135</v>
      </c>
      <c r="CB215" s="1"/>
    </row>
    <row r="216" spans="1:80" x14ac:dyDescent="0.25">
      <c r="A216" s="23"/>
      <c r="B216" s="23"/>
      <c r="C216" s="23"/>
      <c r="D216" s="24"/>
      <c r="E216" s="24"/>
      <c r="F216" s="25">
        <f t="shared" si="84"/>
        <v>0</v>
      </c>
      <c r="G216" s="24"/>
      <c r="H216" s="24"/>
      <c r="I216" s="25">
        <v>1</v>
      </c>
      <c r="J216" s="24"/>
      <c r="K216" s="24"/>
      <c r="L216" s="24"/>
      <c r="M216" s="26" t="str">
        <f t="shared" si="85"/>
        <v/>
      </c>
      <c r="N216" s="27">
        <f t="shared" si="86"/>
        <v>0</v>
      </c>
      <c r="T216">
        <f t="shared" si="73"/>
        <v>129</v>
      </c>
      <c r="U216">
        <f t="shared" si="87"/>
        <v>26053</v>
      </c>
      <c r="V216">
        <f t="shared" ca="1" si="88"/>
        <v>0</v>
      </c>
      <c r="W216">
        <v>50</v>
      </c>
      <c r="X216" t="str">
        <f t="shared" ca="1" si="89"/>
        <v/>
      </c>
      <c r="Y216" t="s">
        <v>33</v>
      </c>
      <c r="Z216">
        <f t="shared" ca="1" si="90"/>
        <v>0</v>
      </c>
      <c r="AA216" t="str">
        <f t="shared" ca="1" si="91"/>
        <v>SPPN</v>
      </c>
      <c r="AB216">
        <f t="shared" ca="1" si="92"/>
        <v>1</v>
      </c>
      <c r="AC216" t="str">
        <f t="shared" ca="1" si="93"/>
        <v/>
      </c>
      <c r="AD216" t="str">
        <f t="shared" si="74"/>
        <v>4093RN153</v>
      </c>
      <c r="AE216">
        <f t="shared" ca="1" si="94"/>
        <v>0</v>
      </c>
      <c r="AF216" t="str">
        <f t="shared" ca="1" si="95"/>
        <v/>
      </c>
      <c r="AG216">
        <v>50</v>
      </c>
      <c r="AH216" t="s">
        <v>136</v>
      </c>
      <c r="AI216" t="str">
        <f t="shared" si="75"/>
        <v>Lutheran Home 25</v>
      </c>
      <c r="AJ216" t="str">
        <f t="shared" si="76"/>
        <v>Green Bay</v>
      </c>
      <c r="AK216" t="str">
        <f t="shared" si="77"/>
        <v>WI</v>
      </c>
      <c r="AL216">
        <f t="shared" si="78"/>
        <v>4091142613</v>
      </c>
      <c r="AM216" t="str">
        <f t="shared" si="79"/>
        <v>4093RN153</v>
      </c>
      <c r="AN216" t="str">
        <f t="shared" si="80"/>
        <v/>
      </c>
      <c r="AO216" t="str">
        <f t="shared" si="81"/>
        <v>Pella</v>
      </c>
      <c r="AP216">
        <f t="shared" si="82"/>
        <v>54201</v>
      </c>
      <c r="AQ216">
        <f t="shared" ca="1" si="96"/>
        <v>0</v>
      </c>
      <c r="AR216" s="1">
        <f t="shared" si="83"/>
        <v>46135</v>
      </c>
      <c r="CB216" s="1"/>
    </row>
    <row r="217" spans="1:80" x14ac:dyDescent="0.25">
      <c r="A217" s="23"/>
      <c r="B217" s="23"/>
      <c r="C217" s="23"/>
      <c r="D217" s="24"/>
      <c r="E217" s="24"/>
      <c r="F217" s="25">
        <f t="shared" si="84"/>
        <v>0</v>
      </c>
      <c r="G217" s="24"/>
      <c r="H217" s="24"/>
      <c r="I217" s="25">
        <v>1</v>
      </c>
      <c r="J217" s="24"/>
      <c r="K217" s="24"/>
      <c r="L217" s="24"/>
      <c r="M217" s="26" t="str">
        <f t="shared" si="85"/>
        <v/>
      </c>
      <c r="N217" s="27">
        <f t="shared" si="86"/>
        <v>0</v>
      </c>
      <c r="T217">
        <f t="shared" si="73"/>
        <v>129</v>
      </c>
      <c r="U217">
        <f t="shared" si="87"/>
        <v>26053</v>
      </c>
      <c r="V217">
        <f t="shared" ca="1" si="88"/>
        <v>0</v>
      </c>
      <c r="W217">
        <v>50</v>
      </c>
      <c r="X217" t="str">
        <f t="shared" ca="1" si="89"/>
        <v/>
      </c>
      <c r="Y217" t="s">
        <v>28</v>
      </c>
      <c r="Z217">
        <f t="shared" ca="1" si="90"/>
        <v>0</v>
      </c>
      <c r="AA217" t="str">
        <f t="shared" ca="1" si="91"/>
        <v>SPPN</v>
      </c>
      <c r="AB217">
        <f t="shared" ca="1" si="92"/>
        <v>1</v>
      </c>
      <c r="AC217">
        <f t="shared" ca="1" si="93"/>
        <v>0</v>
      </c>
      <c r="AD217" t="str">
        <f t="shared" si="74"/>
        <v>4093RN153</v>
      </c>
      <c r="AE217">
        <f t="shared" ca="1" si="94"/>
        <v>0</v>
      </c>
      <c r="AF217" t="str">
        <f t="shared" ca="1" si="95"/>
        <v/>
      </c>
      <c r="AG217">
        <v>50</v>
      </c>
      <c r="AH217" t="s">
        <v>136</v>
      </c>
      <c r="AI217" t="str">
        <f t="shared" si="75"/>
        <v>Lutheran Home 25</v>
      </c>
      <c r="AJ217" t="str">
        <f t="shared" si="76"/>
        <v>Green Bay</v>
      </c>
      <c r="AK217" t="str">
        <f t="shared" si="77"/>
        <v>WI</v>
      </c>
      <c r="AL217">
        <f t="shared" si="78"/>
        <v>4091142613</v>
      </c>
      <c r="AM217" t="str">
        <f t="shared" si="79"/>
        <v>4093RN153</v>
      </c>
      <c r="AN217" t="str">
        <f t="shared" si="80"/>
        <v/>
      </c>
      <c r="AO217" t="str">
        <f t="shared" si="81"/>
        <v>Pella</v>
      </c>
      <c r="AP217">
        <f t="shared" si="82"/>
        <v>54201</v>
      </c>
      <c r="AQ217">
        <f t="shared" ca="1" si="96"/>
        <v>0</v>
      </c>
      <c r="AR217" s="1">
        <f t="shared" si="83"/>
        <v>46135</v>
      </c>
      <c r="CB217" s="1"/>
    </row>
    <row r="218" spans="1:80" x14ac:dyDescent="0.25">
      <c r="A218" s="23"/>
      <c r="B218" s="23"/>
      <c r="C218" s="23"/>
      <c r="D218" s="24"/>
      <c r="E218" s="24"/>
      <c r="F218" s="25">
        <f t="shared" si="84"/>
        <v>0</v>
      </c>
      <c r="G218" s="24"/>
      <c r="H218" s="24"/>
      <c r="I218" s="25">
        <v>1</v>
      </c>
      <c r="J218" s="24"/>
      <c r="K218" s="24"/>
      <c r="L218" s="24"/>
      <c r="M218" s="26" t="str">
        <f t="shared" si="85"/>
        <v/>
      </c>
      <c r="N218" s="27">
        <f t="shared" si="86"/>
        <v>0</v>
      </c>
      <c r="T218">
        <f t="shared" si="73"/>
        <v>129</v>
      </c>
      <c r="U218">
        <f t="shared" si="87"/>
        <v>26053</v>
      </c>
      <c r="V218">
        <f t="shared" ca="1" si="88"/>
        <v>0</v>
      </c>
      <c r="W218">
        <v>50</v>
      </c>
      <c r="X218" t="str">
        <f t="shared" ca="1" si="89"/>
        <v/>
      </c>
      <c r="Y218" t="s">
        <v>32</v>
      </c>
      <c r="Z218">
        <f t="shared" ca="1" si="90"/>
        <v>0</v>
      </c>
      <c r="AA218" t="str">
        <f t="shared" ca="1" si="91"/>
        <v>SPPN</v>
      </c>
      <c r="AB218">
        <f t="shared" ca="1" si="92"/>
        <v>1</v>
      </c>
      <c r="AC218">
        <f t="shared" ca="1" si="93"/>
        <v>0</v>
      </c>
      <c r="AD218" t="str">
        <f t="shared" si="74"/>
        <v>4093RN153</v>
      </c>
      <c r="AE218">
        <f t="shared" ca="1" si="94"/>
        <v>0</v>
      </c>
      <c r="AF218" t="str">
        <f t="shared" ca="1" si="95"/>
        <v/>
      </c>
      <c r="AG218">
        <v>50</v>
      </c>
      <c r="AH218" t="s">
        <v>136</v>
      </c>
      <c r="AI218" t="str">
        <f t="shared" si="75"/>
        <v>Lutheran Home 25</v>
      </c>
      <c r="AJ218" t="str">
        <f t="shared" si="76"/>
        <v>Green Bay</v>
      </c>
      <c r="AK218" t="str">
        <f t="shared" si="77"/>
        <v>WI</v>
      </c>
      <c r="AL218">
        <f t="shared" si="78"/>
        <v>4091142613</v>
      </c>
      <c r="AM218" t="str">
        <f t="shared" si="79"/>
        <v>4093RN153</v>
      </c>
      <c r="AN218" t="str">
        <f t="shared" si="80"/>
        <v/>
      </c>
      <c r="AO218" t="str">
        <f t="shared" si="81"/>
        <v>Pella</v>
      </c>
      <c r="AP218">
        <f t="shared" si="82"/>
        <v>54201</v>
      </c>
      <c r="AQ218">
        <f t="shared" ca="1" si="96"/>
        <v>0</v>
      </c>
      <c r="AR218" s="1">
        <f t="shared" si="83"/>
        <v>46135</v>
      </c>
      <c r="CB218" s="1"/>
    </row>
    <row r="219" spans="1:80" x14ac:dyDescent="0.25">
      <c r="A219" s="23"/>
      <c r="B219" s="23"/>
      <c r="C219" s="23"/>
      <c r="D219" s="24"/>
      <c r="E219" s="24"/>
      <c r="F219" s="25">
        <f t="shared" si="84"/>
        <v>0</v>
      </c>
      <c r="G219" s="24"/>
      <c r="H219" s="24"/>
      <c r="I219" s="25">
        <v>1</v>
      </c>
      <c r="J219" s="24"/>
      <c r="K219" s="24"/>
      <c r="L219" s="24"/>
      <c r="M219" s="26" t="str">
        <f t="shared" si="85"/>
        <v/>
      </c>
      <c r="N219" s="27">
        <f t="shared" si="86"/>
        <v>0</v>
      </c>
      <c r="T219">
        <f t="shared" si="73"/>
        <v>129</v>
      </c>
      <c r="U219">
        <f t="shared" si="87"/>
        <v>26053</v>
      </c>
      <c r="V219">
        <f t="shared" ca="1" si="88"/>
        <v>0</v>
      </c>
      <c r="W219">
        <v>51</v>
      </c>
      <c r="X219" t="str">
        <f t="shared" ca="1" si="89"/>
        <v/>
      </c>
      <c r="Y219" t="s">
        <v>9</v>
      </c>
      <c r="Z219">
        <f t="shared" ca="1" si="90"/>
        <v>0</v>
      </c>
      <c r="AA219" t="str">
        <f t="shared" ca="1" si="91"/>
        <v>SPPN</v>
      </c>
      <c r="AB219">
        <f t="shared" ca="1" si="92"/>
        <v>1</v>
      </c>
      <c r="AC219" t="str">
        <f t="shared" ca="1" si="93"/>
        <v/>
      </c>
      <c r="AD219" t="str">
        <f t="shared" si="74"/>
        <v>4093RN153</v>
      </c>
      <c r="AE219">
        <f t="shared" ca="1" si="94"/>
        <v>0</v>
      </c>
      <c r="AF219" t="str">
        <f t="shared" ca="1" si="95"/>
        <v/>
      </c>
      <c r="AG219">
        <v>51</v>
      </c>
      <c r="AH219" t="s">
        <v>136</v>
      </c>
      <c r="AI219" t="str">
        <f t="shared" si="75"/>
        <v>Lutheran Home 25</v>
      </c>
      <c r="AJ219" t="str">
        <f t="shared" si="76"/>
        <v>Green Bay</v>
      </c>
      <c r="AK219" t="str">
        <f t="shared" si="77"/>
        <v>WI</v>
      </c>
      <c r="AL219">
        <f t="shared" si="78"/>
        <v>4091142613</v>
      </c>
      <c r="AM219" t="str">
        <f t="shared" si="79"/>
        <v>4093RN153</v>
      </c>
      <c r="AN219" t="str">
        <f t="shared" si="80"/>
        <v/>
      </c>
      <c r="AO219" t="str">
        <f t="shared" si="81"/>
        <v>Pella</v>
      </c>
      <c r="AP219">
        <f t="shared" si="82"/>
        <v>54201</v>
      </c>
      <c r="AQ219">
        <f t="shared" ca="1" si="96"/>
        <v>0</v>
      </c>
      <c r="AR219" s="1">
        <f t="shared" si="83"/>
        <v>46135</v>
      </c>
      <c r="CB219" s="1"/>
    </row>
    <row r="220" spans="1:80" x14ac:dyDescent="0.25">
      <c r="A220" s="23"/>
      <c r="B220" s="23"/>
      <c r="C220" s="23"/>
      <c r="D220" s="24"/>
      <c r="E220" s="24"/>
      <c r="F220" s="25">
        <f t="shared" si="84"/>
        <v>0</v>
      </c>
      <c r="G220" s="24"/>
      <c r="H220" s="24"/>
      <c r="I220" s="25">
        <v>1</v>
      </c>
      <c r="J220" s="24"/>
      <c r="K220" s="24"/>
      <c r="L220" s="24"/>
      <c r="M220" s="26" t="str">
        <f t="shared" si="85"/>
        <v/>
      </c>
      <c r="N220" s="27">
        <f t="shared" si="86"/>
        <v>0</v>
      </c>
      <c r="T220">
        <f t="shared" si="73"/>
        <v>129</v>
      </c>
      <c r="U220">
        <f t="shared" si="87"/>
        <v>26053</v>
      </c>
      <c r="V220">
        <f t="shared" ca="1" si="88"/>
        <v>0</v>
      </c>
      <c r="W220">
        <v>51</v>
      </c>
      <c r="X220" t="str">
        <f t="shared" ca="1" si="89"/>
        <v/>
      </c>
      <c r="Y220" t="s">
        <v>33</v>
      </c>
      <c r="Z220">
        <f t="shared" ca="1" si="90"/>
        <v>0</v>
      </c>
      <c r="AA220" t="str">
        <f t="shared" ca="1" si="91"/>
        <v>SPPN</v>
      </c>
      <c r="AB220">
        <f t="shared" ca="1" si="92"/>
        <v>1</v>
      </c>
      <c r="AC220" t="str">
        <f t="shared" ca="1" si="93"/>
        <v/>
      </c>
      <c r="AD220" t="str">
        <f t="shared" si="74"/>
        <v>4093RN153</v>
      </c>
      <c r="AE220">
        <f t="shared" ca="1" si="94"/>
        <v>0</v>
      </c>
      <c r="AF220" t="str">
        <f t="shared" ca="1" si="95"/>
        <v/>
      </c>
      <c r="AG220">
        <v>51</v>
      </c>
      <c r="AH220" t="s">
        <v>136</v>
      </c>
      <c r="AI220" t="str">
        <f t="shared" si="75"/>
        <v>Lutheran Home 25</v>
      </c>
      <c r="AJ220" t="str">
        <f t="shared" si="76"/>
        <v>Green Bay</v>
      </c>
      <c r="AK220" t="str">
        <f t="shared" si="77"/>
        <v>WI</v>
      </c>
      <c r="AL220">
        <f t="shared" si="78"/>
        <v>4091142613</v>
      </c>
      <c r="AM220" t="str">
        <f t="shared" si="79"/>
        <v>4093RN153</v>
      </c>
      <c r="AN220" t="str">
        <f t="shared" si="80"/>
        <v/>
      </c>
      <c r="AO220" t="str">
        <f t="shared" si="81"/>
        <v>Pella</v>
      </c>
      <c r="AP220">
        <f t="shared" si="82"/>
        <v>54201</v>
      </c>
      <c r="AQ220">
        <f t="shared" ca="1" si="96"/>
        <v>0</v>
      </c>
      <c r="AR220" s="1">
        <f t="shared" si="83"/>
        <v>46135</v>
      </c>
      <c r="CB220" s="1"/>
    </row>
    <row r="221" spans="1:80" x14ac:dyDescent="0.25">
      <c r="A221" s="23"/>
      <c r="B221" s="23"/>
      <c r="C221" s="23"/>
      <c r="D221" s="24"/>
      <c r="E221" s="24"/>
      <c r="F221" s="25">
        <f t="shared" si="84"/>
        <v>0</v>
      </c>
      <c r="G221" s="24"/>
      <c r="H221" s="24"/>
      <c r="I221" s="25">
        <v>1</v>
      </c>
      <c r="J221" s="24"/>
      <c r="K221" s="24"/>
      <c r="L221" s="24"/>
      <c r="M221" s="26" t="str">
        <f t="shared" si="85"/>
        <v/>
      </c>
      <c r="N221" s="27">
        <f t="shared" si="86"/>
        <v>0</v>
      </c>
      <c r="T221">
        <f t="shared" si="73"/>
        <v>129</v>
      </c>
      <c r="U221">
        <f t="shared" si="87"/>
        <v>26053</v>
      </c>
      <c r="V221">
        <f t="shared" ca="1" si="88"/>
        <v>0</v>
      </c>
      <c r="W221">
        <v>51</v>
      </c>
      <c r="X221" t="str">
        <f t="shared" ca="1" si="89"/>
        <v/>
      </c>
      <c r="Y221" t="s">
        <v>28</v>
      </c>
      <c r="Z221">
        <f t="shared" ca="1" si="90"/>
        <v>0</v>
      </c>
      <c r="AA221" t="str">
        <f t="shared" ca="1" si="91"/>
        <v>SPPN</v>
      </c>
      <c r="AB221">
        <f t="shared" ca="1" si="92"/>
        <v>1</v>
      </c>
      <c r="AC221">
        <f t="shared" ca="1" si="93"/>
        <v>0</v>
      </c>
      <c r="AD221" t="str">
        <f t="shared" si="74"/>
        <v>4093RN153</v>
      </c>
      <c r="AE221">
        <f t="shared" ca="1" si="94"/>
        <v>0</v>
      </c>
      <c r="AF221" t="str">
        <f t="shared" ca="1" si="95"/>
        <v/>
      </c>
      <c r="AG221">
        <v>51</v>
      </c>
      <c r="AH221" t="s">
        <v>136</v>
      </c>
      <c r="AI221" t="str">
        <f t="shared" si="75"/>
        <v>Lutheran Home 25</v>
      </c>
      <c r="AJ221" t="str">
        <f t="shared" si="76"/>
        <v>Green Bay</v>
      </c>
      <c r="AK221" t="str">
        <f t="shared" si="77"/>
        <v>WI</v>
      </c>
      <c r="AL221">
        <f t="shared" si="78"/>
        <v>4091142613</v>
      </c>
      <c r="AM221" t="str">
        <f t="shared" si="79"/>
        <v>4093RN153</v>
      </c>
      <c r="AN221" t="str">
        <f t="shared" si="80"/>
        <v/>
      </c>
      <c r="AO221" t="str">
        <f t="shared" si="81"/>
        <v>Pella</v>
      </c>
      <c r="AP221">
        <f t="shared" si="82"/>
        <v>54201</v>
      </c>
      <c r="AQ221">
        <f t="shared" ca="1" si="96"/>
        <v>0</v>
      </c>
      <c r="AR221" s="1">
        <f t="shared" si="83"/>
        <v>46135</v>
      </c>
      <c r="CB221" s="1"/>
    </row>
    <row r="222" spans="1:80" x14ac:dyDescent="0.25">
      <c r="A222" s="23"/>
      <c r="B222" s="23"/>
      <c r="C222" s="23"/>
      <c r="D222" s="24"/>
      <c r="E222" s="24"/>
      <c r="F222" s="25">
        <f t="shared" si="84"/>
        <v>0</v>
      </c>
      <c r="G222" s="24"/>
      <c r="H222" s="24"/>
      <c r="I222" s="25">
        <v>1</v>
      </c>
      <c r="J222" s="24"/>
      <c r="K222" s="24"/>
      <c r="L222" s="24"/>
      <c r="M222" s="26" t="str">
        <f t="shared" si="85"/>
        <v/>
      </c>
      <c r="N222" s="27">
        <f t="shared" si="86"/>
        <v>0</v>
      </c>
      <c r="T222">
        <f t="shared" si="73"/>
        <v>129</v>
      </c>
      <c r="U222">
        <f t="shared" si="87"/>
        <v>26053</v>
      </c>
      <c r="V222">
        <f t="shared" ca="1" si="88"/>
        <v>0</v>
      </c>
      <c r="W222">
        <v>51</v>
      </c>
      <c r="X222" t="str">
        <f t="shared" ca="1" si="89"/>
        <v/>
      </c>
      <c r="Y222" t="s">
        <v>32</v>
      </c>
      <c r="Z222">
        <f t="shared" ca="1" si="90"/>
        <v>0</v>
      </c>
      <c r="AA222" t="str">
        <f t="shared" ca="1" si="91"/>
        <v>SPPN</v>
      </c>
      <c r="AB222">
        <f t="shared" ca="1" si="92"/>
        <v>1</v>
      </c>
      <c r="AC222">
        <f t="shared" ca="1" si="93"/>
        <v>0</v>
      </c>
      <c r="AD222" t="str">
        <f t="shared" si="74"/>
        <v>4093RN153</v>
      </c>
      <c r="AE222">
        <f t="shared" ca="1" si="94"/>
        <v>0</v>
      </c>
      <c r="AF222" t="str">
        <f t="shared" ca="1" si="95"/>
        <v/>
      </c>
      <c r="AG222">
        <v>51</v>
      </c>
      <c r="AH222" t="s">
        <v>136</v>
      </c>
      <c r="AI222" t="str">
        <f t="shared" si="75"/>
        <v>Lutheran Home 25</v>
      </c>
      <c r="AJ222" t="str">
        <f t="shared" si="76"/>
        <v>Green Bay</v>
      </c>
      <c r="AK222" t="str">
        <f t="shared" si="77"/>
        <v>WI</v>
      </c>
      <c r="AL222">
        <f t="shared" si="78"/>
        <v>4091142613</v>
      </c>
      <c r="AM222" t="str">
        <f t="shared" si="79"/>
        <v>4093RN153</v>
      </c>
      <c r="AN222" t="str">
        <f t="shared" si="80"/>
        <v/>
      </c>
      <c r="AO222" t="str">
        <f t="shared" si="81"/>
        <v>Pella</v>
      </c>
      <c r="AP222">
        <f t="shared" si="82"/>
        <v>54201</v>
      </c>
      <c r="AQ222">
        <f t="shared" ca="1" si="96"/>
        <v>0</v>
      </c>
      <c r="AR222" s="1">
        <f t="shared" si="83"/>
        <v>46135</v>
      </c>
      <c r="CB222" s="1"/>
    </row>
    <row r="223" spans="1:80" x14ac:dyDescent="0.25">
      <c r="A223" s="23"/>
      <c r="B223" s="23"/>
      <c r="C223" s="23"/>
      <c r="D223" s="24"/>
      <c r="E223" s="24"/>
      <c r="F223" s="25">
        <f t="shared" si="84"/>
        <v>0</v>
      </c>
      <c r="G223" s="24"/>
      <c r="H223" s="24"/>
      <c r="I223" s="25">
        <v>1</v>
      </c>
      <c r="J223" s="24"/>
      <c r="K223" s="24"/>
      <c r="L223" s="24"/>
      <c r="M223" s="26" t="str">
        <f t="shared" si="85"/>
        <v/>
      </c>
      <c r="N223" s="27">
        <f t="shared" si="86"/>
        <v>0</v>
      </c>
      <c r="T223">
        <f t="shared" si="73"/>
        <v>129</v>
      </c>
      <c r="U223">
        <f t="shared" si="87"/>
        <v>26053</v>
      </c>
      <c r="V223">
        <f t="shared" ca="1" si="88"/>
        <v>0</v>
      </c>
      <c r="W223">
        <v>52</v>
      </c>
      <c r="X223" t="str">
        <f t="shared" ca="1" si="89"/>
        <v/>
      </c>
      <c r="Y223" t="s">
        <v>9</v>
      </c>
      <c r="Z223">
        <f t="shared" ca="1" si="90"/>
        <v>0</v>
      </c>
      <c r="AA223" t="str">
        <f t="shared" ca="1" si="91"/>
        <v>SPPN</v>
      </c>
      <c r="AB223">
        <f t="shared" ca="1" si="92"/>
        <v>1</v>
      </c>
      <c r="AC223" t="str">
        <f t="shared" ca="1" si="93"/>
        <v/>
      </c>
      <c r="AD223" t="str">
        <f t="shared" si="74"/>
        <v>4093RN153</v>
      </c>
      <c r="AE223">
        <f t="shared" ca="1" si="94"/>
        <v>0</v>
      </c>
      <c r="AF223" t="str">
        <f t="shared" ca="1" si="95"/>
        <v/>
      </c>
      <c r="AG223">
        <v>52</v>
      </c>
      <c r="AH223" t="s">
        <v>136</v>
      </c>
      <c r="AI223" t="str">
        <f t="shared" si="75"/>
        <v>Lutheran Home 25</v>
      </c>
      <c r="AJ223" t="str">
        <f t="shared" si="76"/>
        <v>Green Bay</v>
      </c>
      <c r="AK223" t="str">
        <f t="shared" si="77"/>
        <v>WI</v>
      </c>
      <c r="AL223">
        <f t="shared" si="78"/>
        <v>4091142613</v>
      </c>
      <c r="AM223" t="str">
        <f t="shared" si="79"/>
        <v>4093RN153</v>
      </c>
      <c r="AN223" t="str">
        <f t="shared" si="80"/>
        <v/>
      </c>
      <c r="AO223" t="str">
        <f t="shared" si="81"/>
        <v>Pella</v>
      </c>
      <c r="AP223">
        <f t="shared" si="82"/>
        <v>54201</v>
      </c>
      <c r="AQ223">
        <f t="shared" ca="1" si="96"/>
        <v>0</v>
      </c>
      <c r="AR223" s="1">
        <f t="shared" si="83"/>
        <v>46135</v>
      </c>
      <c r="CB223" s="1"/>
    </row>
    <row r="224" spans="1:80" x14ac:dyDescent="0.25">
      <c r="A224" s="23"/>
      <c r="B224" s="23"/>
      <c r="C224" s="23"/>
      <c r="D224" s="24"/>
      <c r="E224" s="24"/>
      <c r="F224" s="25">
        <f t="shared" si="84"/>
        <v>0</v>
      </c>
      <c r="G224" s="24"/>
      <c r="H224" s="24"/>
      <c r="I224" s="25">
        <v>1</v>
      </c>
      <c r="J224" s="24"/>
      <c r="K224" s="24"/>
      <c r="L224" s="24"/>
      <c r="M224" s="26" t="str">
        <f t="shared" si="85"/>
        <v/>
      </c>
      <c r="N224" s="27">
        <f t="shared" si="86"/>
        <v>0</v>
      </c>
      <c r="T224">
        <f t="shared" si="73"/>
        <v>129</v>
      </c>
      <c r="U224">
        <f t="shared" si="87"/>
        <v>26053</v>
      </c>
      <c r="V224">
        <f t="shared" ca="1" si="88"/>
        <v>0</v>
      </c>
      <c r="W224">
        <v>52</v>
      </c>
      <c r="X224" t="str">
        <f t="shared" ca="1" si="89"/>
        <v/>
      </c>
      <c r="Y224" t="s">
        <v>33</v>
      </c>
      <c r="Z224">
        <f t="shared" ca="1" si="90"/>
        <v>0</v>
      </c>
      <c r="AA224" t="str">
        <f t="shared" ca="1" si="91"/>
        <v>SPPN</v>
      </c>
      <c r="AB224">
        <f t="shared" ca="1" si="92"/>
        <v>1</v>
      </c>
      <c r="AC224" t="str">
        <f t="shared" ca="1" si="93"/>
        <v/>
      </c>
      <c r="AD224" t="str">
        <f t="shared" si="74"/>
        <v>4093RN153</v>
      </c>
      <c r="AE224">
        <f t="shared" ca="1" si="94"/>
        <v>0</v>
      </c>
      <c r="AF224" t="str">
        <f t="shared" ca="1" si="95"/>
        <v/>
      </c>
      <c r="AG224">
        <v>52</v>
      </c>
      <c r="AH224" t="s">
        <v>136</v>
      </c>
      <c r="AI224" t="str">
        <f t="shared" si="75"/>
        <v>Lutheran Home 25</v>
      </c>
      <c r="AJ224" t="str">
        <f t="shared" si="76"/>
        <v>Green Bay</v>
      </c>
      <c r="AK224" t="str">
        <f t="shared" si="77"/>
        <v>WI</v>
      </c>
      <c r="AL224">
        <f t="shared" si="78"/>
        <v>4091142613</v>
      </c>
      <c r="AM224" t="str">
        <f t="shared" si="79"/>
        <v>4093RN153</v>
      </c>
      <c r="AN224" t="str">
        <f t="shared" si="80"/>
        <v/>
      </c>
      <c r="AO224" t="str">
        <f t="shared" si="81"/>
        <v>Pella</v>
      </c>
      <c r="AP224">
        <f t="shared" si="82"/>
        <v>54201</v>
      </c>
      <c r="AQ224">
        <f t="shared" ca="1" si="96"/>
        <v>0</v>
      </c>
      <c r="AR224" s="1">
        <f t="shared" si="83"/>
        <v>46135</v>
      </c>
      <c r="CB224" s="1"/>
    </row>
    <row r="225" spans="1:80" x14ac:dyDescent="0.25">
      <c r="A225" s="23"/>
      <c r="B225" s="23"/>
      <c r="C225" s="23"/>
      <c r="D225" s="24"/>
      <c r="E225" s="24"/>
      <c r="F225" s="25">
        <f t="shared" si="84"/>
        <v>0</v>
      </c>
      <c r="G225" s="24"/>
      <c r="H225" s="24"/>
      <c r="I225" s="25">
        <v>1</v>
      </c>
      <c r="J225" s="24"/>
      <c r="K225" s="24"/>
      <c r="L225" s="24"/>
      <c r="M225" s="26" t="str">
        <f t="shared" si="85"/>
        <v/>
      </c>
      <c r="N225" s="27">
        <f t="shared" si="86"/>
        <v>0</v>
      </c>
      <c r="T225">
        <f t="shared" si="73"/>
        <v>129</v>
      </c>
      <c r="U225">
        <f t="shared" si="87"/>
        <v>26053</v>
      </c>
      <c r="V225">
        <f t="shared" ca="1" si="88"/>
        <v>0</v>
      </c>
      <c r="W225">
        <v>52</v>
      </c>
      <c r="X225" t="str">
        <f t="shared" ca="1" si="89"/>
        <v/>
      </c>
      <c r="Y225" t="s">
        <v>28</v>
      </c>
      <c r="Z225">
        <f t="shared" ca="1" si="90"/>
        <v>0</v>
      </c>
      <c r="AA225" t="str">
        <f t="shared" ca="1" si="91"/>
        <v>SPPN</v>
      </c>
      <c r="AB225">
        <f t="shared" ca="1" si="92"/>
        <v>1</v>
      </c>
      <c r="AC225">
        <f t="shared" ca="1" si="93"/>
        <v>0</v>
      </c>
      <c r="AD225" t="str">
        <f t="shared" si="74"/>
        <v>4093RN153</v>
      </c>
      <c r="AE225">
        <f t="shared" ca="1" si="94"/>
        <v>0</v>
      </c>
      <c r="AF225" t="str">
        <f t="shared" ca="1" si="95"/>
        <v/>
      </c>
      <c r="AG225">
        <v>52</v>
      </c>
      <c r="AH225" t="s">
        <v>136</v>
      </c>
      <c r="AI225" t="str">
        <f t="shared" si="75"/>
        <v>Lutheran Home 25</v>
      </c>
      <c r="AJ225" t="str">
        <f t="shared" si="76"/>
        <v>Green Bay</v>
      </c>
      <c r="AK225" t="str">
        <f t="shared" si="77"/>
        <v>WI</v>
      </c>
      <c r="AL225">
        <f t="shared" si="78"/>
        <v>4091142613</v>
      </c>
      <c r="AM225" t="str">
        <f t="shared" si="79"/>
        <v>4093RN153</v>
      </c>
      <c r="AN225" t="str">
        <f t="shared" si="80"/>
        <v/>
      </c>
      <c r="AO225" t="str">
        <f t="shared" si="81"/>
        <v>Pella</v>
      </c>
      <c r="AP225">
        <f t="shared" si="82"/>
        <v>54201</v>
      </c>
      <c r="AQ225">
        <f t="shared" ca="1" si="96"/>
        <v>0</v>
      </c>
      <c r="AR225" s="1">
        <f t="shared" si="83"/>
        <v>46135</v>
      </c>
      <c r="CB225" s="1"/>
    </row>
    <row r="226" spans="1:80" x14ac:dyDescent="0.25">
      <c r="A226" s="23"/>
      <c r="B226" s="23"/>
      <c r="C226" s="23"/>
      <c r="D226" s="24"/>
      <c r="E226" s="24"/>
      <c r="F226" s="25">
        <f t="shared" si="84"/>
        <v>0</v>
      </c>
      <c r="G226" s="24"/>
      <c r="H226" s="24"/>
      <c r="I226" s="25">
        <v>1</v>
      </c>
      <c r="J226" s="24"/>
      <c r="K226" s="24"/>
      <c r="L226" s="24"/>
      <c r="M226" s="26" t="str">
        <f t="shared" si="85"/>
        <v/>
      </c>
      <c r="N226" s="27">
        <f t="shared" si="86"/>
        <v>0</v>
      </c>
      <c r="T226">
        <f t="shared" si="73"/>
        <v>129</v>
      </c>
      <c r="U226">
        <f t="shared" si="87"/>
        <v>26053</v>
      </c>
      <c r="V226">
        <f t="shared" ca="1" si="88"/>
        <v>0</v>
      </c>
      <c r="W226">
        <v>52</v>
      </c>
      <c r="X226" t="str">
        <f t="shared" ca="1" si="89"/>
        <v/>
      </c>
      <c r="Y226" t="s">
        <v>32</v>
      </c>
      <c r="Z226">
        <f t="shared" ca="1" si="90"/>
        <v>0</v>
      </c>
      <c r="AA226" t="str">
        <f t="shared" ca="1" si="91"/>
        <v>SPPN</v>
      </c>
      <c r="AB226">
        <f t="shared" ca="1" si="92"/>
        <v>1</v>
      </c>
      <c r="AC226">
        <f t="shared" ca="1" si="93"/>
        <v>0</v>
      </c>
      <c r="AD226" t="str">
        <f t="shared" si="74"/>
        <v>4093RN153</v>
      </c>
      <c r="AE226">
        <f t="shared" ca="1" si="94"/>
        <v>0</v>
      </c>
      <c r="AF226" t="str">
        <f t="shared" ca="1" si="95"/>
        <v/>
      </c>
      <c r="AG226">
        <v>52</v>
      </c>
      <c r="AH226" t="s">
        <v>136</v>
      </c>
      <c r="AI226" t="str">
        <f t="shared" si="75"/>
        <v>Lutheran Home 25</v>
      </c>
      <c r="AJ226" t="str">
        <f t="shared" si="76"/>
        <v>Green Bay</v>
      </c>
      <c r="AK226" t="str">
        <f t="shared" si="77"/>
        <v>WI</v>
      </c>
      <c r="AL226">
        <f t="shared" si="78"/>
        <v>4091142613</v>
      </c>
      <c r="AM226" t="str">
        <f t="shared" si="79"/>
        <v>4093RN153</v>
      </c>
      <c r="AN226" t="str">
        <f t="shared" si="80"/>
        <v/>
      </c>
      <c r="AO226" t="str">
        <f t="shared" si="81"/>
        <v>Pella</v>
      </c>
      <c r="AP226">
        <f t="shared" si="82"/>
        <v>54201</v>
      </c>
      <c r="AQ226">
        <f t="shared" ca="1" si="96"/>
        <v>0</v>
      </c>
      <c r="AR226" s="1">
        <f t="shared" si="83"/>
        <v>46135</v>
      </c>
      <c r="CB226" s="1"/>
    </row>
    <row r="227" spans="1:80" x14ac:dyDescent="0.25">
      <c r="A227" s="23"/>
      <c r="B227" s="23"/>
      <c r="C227" s="23"/>
      <c r="D227" s="24"/>
      <c r="E227" s="24"/>
      <c r="F227" s="25">
        <f t="shared" si="84"/>
        <v>0</v>
      </c>
      <c r="G227" s="24"/>
      <c r="H227" s="24"/>
      <c r="I227" s="25">
        <v>1</v>
      </c>
      <c r="J227" s="24"/>
      <c r="K227" s="24"/>
      <c r="L227" s="24"/>
      <c r="M227" s="26" t="str">
        <f t="shared" si="85"/>
        <v/>
      </c>
      <c r="N227" s="27">
        <f t="shared" si="86"/>
        <v>0</v>
      </c>
      <c r="T227">
        <f t="shared" si="73"/>
        <v>129</v>
      </c>
      <c r="U227">
        <f t="shared" si="87"/>
        <v>26053</v>
      </c>
      <c r="V227">
        <f t="shared" ca="1" si="88"/>
        <v>0</v>
      </c>
      <c r="W227">
        <v>53</v>
      </c>
      <c r="X227" t="str">
        <f t="shared" ca="1" si="89"/>
        <v/>
      </c>
      <c r="Y227" t="s">
        <v>9</v>
      </c>
      <c r="Z227">
        <f t="shared" ca="1" si="90"/>
        <v>0</v>
      </c>
      <c r="AA227" t="str">
        <f t="shared" ca="1" si="91"/>
        <v>SPPN</v>
      </c>
      <c r="AB227">
        <f t="shared" ca="1" si="92"/>
        <v>1</v>
      </c>
      <c r="AC227" t="str">
        <f t="shared" ca="1" si="93"/>
        <v/>
      </c>
      <c r="AD227" t="str">
        <f t="shared" si="74"/>
        <v>4093RN153</v>
      </c>
      <c r="AE227">
        <f t="shared" ca="1" si="94"/>
        <v>0</v>
      </c>
      <c r="AF227" t="str">
        <f t="shared" ca="1" si="95"/>
        <v/>
      </c>
      <c r="AG227">
        <v>53</v>
      </c>
      <c r="AH227" t="s">
        <v>136</v>
      </c>
      <c r="AI227" t="str">
        <f t="shared" si="75"/>
        <v>Lutheran Home 25</v>
      </c>
      <c r="AJ227" t="str">
        <f t="shared" si="76"/>
        <v>Green Bay</v>
      </c>
      <c r="AK227" t="str">
        <f t="shared" si="77"/>
        <v>WI</v>
      </c>
      <c r="AL227">
        <f t="shared" si="78"/>
        <v>4091142613</v>
      </c>
      <c r="AM227" t="str">
        <f t="shared" si="79"/>
        <v>4093RN153</v>
      </c>
      <c r="AN227" t="str">
        <f t="shared" si="80"/>
        <v/>
      </c>
      <c r="AO227" t="str">
        <f t="shared" si="81"/>
        <v>Pella</v>
      </c>
      <c r="AP227">
        <f t="shared" si="82"/>
        <v>54201</v>
      </c>
      <c r="AQ227">
        <f t="shared" ca="1" si="96"/>
        <v>0</v>
      </c>
      <c r="AR227" s="1">
        <f t="shared" si="83"/>
        <v>46135</v>
      </c>
      <c r="CB227" s="1"/>
    </row>
    <row r="228" spans="1:80" x14ac:dyDescent="0.25">
      <c r="A228" s="23"/>
      <c r="B228" s="23"/>
      <c r="C228" s="23"/>
      <c r="D228" s="24"/>
      <c r="E228" s="24"/>
      <c r="F228" s="25">
        <f t="shared" si="84"/>
        <v>0</v>
      </c>
      <c r="G228" s="24"/>
      <c r="H228" s="24"/>
      <c r="I228" s="25">
        <v>1</v>
      </c>
      <c r="J228" s="24"/>
      <c r="K228" s="24"/>
      <c r="L228" s="24"/>
      <c r="M228" s="26" t="str">
        <f t="shared" si="85"/>
        <v/>
      </c>
      <c r="N228" s="27">
        <f t="shared" si="86"/>
        <v>0</v>
      </c>
      <c r="T228">
        <f t="shared" si="73"/>
        <v>129</v>
      </c>
      <c r="U228">
        <f t="shared" si="87"/>
        <v>26053</v>
      </c>
      <c r="V228">
        <f t="shared" ca="1" si="88"/>
        <v>0</v>
      </c>
      <c r="W228">
        <v>53</v>
      </c>
      <c r="X228" t="str">
        <f t="shared" ca="1" si="89"/>
        <v/>
      </c>
      <c r="Y228" t="s">
        <v>33</v>
      </c>
      <c r="Z228">
        <f t="shared" ca="1" si="90"/>
        <v>0</v>
      </c>
      <c r="AA228" t="str">
        <f t="shared" ca="1" si="91"/>
        <v>SPPN</v>
      </c>
      <c r="AB228">
        <f t="shared" ca="1" si="92"/>
        <v>1</v>
      </c>
      <c r="AC228" t="str">
        <f t="shared" ca="1" si="93"/>
        <v/>
      </c>
      <c r="AD228" t="str">
        <f t="shared" si="74"/>
        <v>4093RN153</v>
      </c>
      <c r="AE228">
        <f t="shared" ca="1" si="94"/>
        <v>0</v>
      </c>
      <c r="AF228" t="str">
        <f t="shared" ca="1" si="95"/>
        <v/>
      </c>
      <c r="AG228">
        <v>53</v>
      </c>
      <c r="AH228" t="s">
        <v>136</v>
      </c>
      <c r="AI228" t="str">
        <f t="shared" si="75"/>
        <v>Lutheran Home 25</v>
      </c>
      <c r="AJ228" t="str">
        <f t="shared" si="76"/>
        <v>Green Bay</v>
      </c>
      <c r="AK228" t="str">
        <f t="shared" si="77"/>
        <v>WI</v>
      </c>
      <c r="AL228">
        <f t="shared" si="78"/>
        <v>4091142613</v>
      </c>
      <c r="AM228" t="str">
        <f t="shared" si="79"/>
        <v>4093RN153</v>
      </c>
      <c r="AN228" t="str">
        <f t="shared" si="80"/>
        <v/>
      </c>
      <c r="AO228" t="str">
        <f t="shared" si="81"/>
        <v>Pella</v>
      </c>
      <c r="AP228">
        <f t="shared" si="82"/>
        <v>54201</v>
      </c>
      <c r="AQ228">
        <f t="shared" ca="1" si="96"/>
        <v>0</v>
      </c>
      <c r="AR228" s="1">
        <f t="shared" si="83"/>
        <v>46135</v>
      </c>
      <c r="CB228" s="1"/>
    </row>
    <row r="229" spans="1:80" x14ac:dyDescent="0.25">
      <c r="A229" s="23"/>
      <c r="B229" s="23"/>
      <c r="C229" s="23"/>
      <c r="D229" s="24"/>
      <c r="E229" s="24"/>
      <c r="F229" s="25">
        <f t="shared" si="84"/>
        <v>0</v>
      </c>
      <c r="G229" s="24"/>
      <c r="H229" s="24"/>
      <c r="I229" s="25">
        <v>1</v>
      </c>
      <c r="J229" s="24"/>
      <c r="K229" s="24"/>
      <c r="L229" s="24"/>
      <c r="M229" s="26" t="str">
        <f t="shared" si="85"/>
        <v/>
      </c>
      <c r="N229" s="27">
        <f t="shared" si="86"/>
        <v>0</v>
      </c>
      <c r="T229">
        <f t="shared" si="73"/>
        <v>129</v>
      </c>
      <c r="U229">
        <f t="shared" si="87"/>
        <v>26053</v>
      </c>
      <c r="V229">
        <f t="shared" ca="1" si="88"/>
        <v>0</v>
      </c>
      <c r="W229">
        <v>53</v>
      </c>
      <c r="X229" t="str">
        <f t="shared" ca="1" si="89"/>
        <v/>
      </c>
      <c r="Y229" t="s">
        <v>28</v>
      </c>
      <c r="Z229">
        <f t="shared" ca="1" si="90"/>
        <v>0</v>
      </c>
      <c r="AA229" t="str">
        <f t="shared" ca="1" si="91"/>
        <v>SPPN</v>
      </c>
      <c r="AB229">
        <f t="shared" ca="1" si="92"/>
        <v>1</v>
      </c>
      <c r="AC229">
        <f t="shared" ca="1" si="93"/>
        <v>0</v>
      </c>
      <c r="AD229" t="str">
        <f t="shared" si="74"/>
        <v>4093RN153</v>
      </c>
      <c r="AE229">
        <f t="shared" ca="1" si="94"/>
        <v>0</v>
      </c>
      <c r="AF229" t="str">
        <f t="shared" ca="1" si="95"/>
        <v/>
      </c>
      <c r="AG229">
        <v>53</v>
      </c>
      <c r="AH229" t="s">
        <v>136</v>
      </c>
      <c r="AI229" t="str">
        <f t="shared" si="75"/>
        <v>Lutheran Home 25</v>
      </c>
      <c r="AJ229" t="str">
        <f t="shared" si="76"/>
        <v>Green Bay</v>
      </c>
      <c r="AK229" t="str">
        <f t="shared" si="77"/>
        <v>WI</v>
      </c>
      <c r="AL229">
        <f t="shared" si="78"/>
        <v>4091142613</v>
      </c>
      <c r="AM229" t="str">
        <f t="shared" si="79"/>
        <v>4093RN153</v>
      </c>
      <c r="AN229" t="str">
        <f t="shared" si="80"/>
        <v/>
      </c>
      <c r="AO229" t="str">
        <f t="shared" si="81"/>
        <v>Pella</v>
      </c>
      <c r="AP229">
        <f t="shared" si="82"/>
        <v>54201</v>
      </c>
      <c r="AQ229">
        <f t="shared" ca="1" si="96"/>
        <v>0</v>
      </c>
      <c r="AR229" s="1">
        <f t="shared" si="83"/>
        <v>46135</v>
      </c>
      <c r="CB229" s="1"/>
    </row>
    <row r="230" spans="1:80" x14ac:dyDescent="0.25">
      <c r="A230" s="23"/>
      <c r="B230" s="23"/>
      <c r="C230" s="23"/>
      <c r="D230" s="24"/>
      <c r="E230" s="24"/>
      <c r="F230" s="25">
        <f t="shared" si="84"/>
        <v>0</v>
      </c>
      <c r="G230" s="24"/>
      <c r="H230" s="24"/>
      <c r="I230" s="25">
        <v>1</v>
      </c>
      <c r="J230" s="24"/>
      <c r="K230" s="24"/>
      <c r="L230" s="24"/>
      <c r="M230" s="26" t="str">
        <f t="shared" si="85"/>
        <v/>
      </c>
      <c r="N230" s="27">
        <f t="shared" si="86"/>
        <v>0</v>
      </c>
      <c r="T230">
        <f t="shared" si="73"/>
        <v>129</v>
      </c>
      <c r="U230">
        <f t="shared" si="87"/>
        <v>26053</v>
      </c>
      <c r="V230">
        <f t="shared" ca="1" si="88"/>
        <v>0</v>
      </c>
      <c r="W230">
        <v>53</v>
      </c>
      <c r="X230" t="str">
        <f t="shared" ca="1" si="89"/>
        <v/>
      </c>
      <c r="Y230" t="s">
        <v>32</v>
      </c>
      <c r="Z230">
        <f t="shared" ca="1" si="90"/>
        <v>0</v>
      </c>
      <c r="AA230" t="str">
        <f t="shared" ca="1" si="91"/>
        <v>SPPN</v>
      </c>
      <c r="AB230">
        <f t="shared" ca="1" si="92"/>
        <v>1</v>
      </c>
      <c r="AC230">
        <f t="shared" ca="1" si="93"/>
        <v>0</v>
      </c>
      <c r="AD230" t="str">
        <f t="shared" si="74"/>
        <v>4093RN153</v>
      </c>
      <c r="AE230">
        <f t="shared" ca="1" si="94"/>
        <v>0</v>
      </c>
      <c r="AF230" t="str">
        <f t="shared" ca="1" si="95"/>
        <v/>
      </c>
      <c r="AG230">
        <v>53</v>
      </c>
      <c r="AH230" t="s">
        <v>136</v>
      </c>
      <c r="AI230" t="str">
        <f t="shared" si="75"/>
        <v>Lutheran Home 25</v>
      </c>
      <c r="AJ230" t="str">
        <f t="shared" si="76"/>
        <v>Green Bay</v>
      </c>
      <c r="AK230" t="str">
        <f t="shared" si="77"/>
        <v>WI</v>
      </c>
      <c r="AL230">
        <f t="shared" si="78"/>
        <v>4091142613</v>
      </c>
      <c r="AM230" t="str">
        <f t="shared" si="79"/>
        <v>4093RN153</v>
      </c>
      <c r="AN230" t="str">
        <f t="shared" si="80"/>
        <v/>
      </c>
      <c r="AO230" t="str">
        <f t="shared" si="81"/>
        <v>Pella</v>
      </c>
      <c r="AP230">
        <f t="shared" si="82"/>
        <v>54201</v>
      </c>
      <c r="AQ230">
        <f t="shared" ca="1" si="96"/>
        <v>0</v>
      </c>
      <c r="AR230" s="1">
        <f t="shared" si="83"/>
        <v>46135</v>
      </c>
      <c r="CB230" s="1"/>
    </row>
    <row r="231" spans="1:80" x14ac:dyDescent="0.25">
      <c r="A231" s="23"/>
      <c r="B231" s="23"/>
      <c r="C231" s="23"/>
      <c r="D231" s="24"/>
      <c r="E231" s="24"/>
      <c r="F231" s="25">
        <f t="shared" si="84"/>
        <v>0</v>
      </c>
      <c r="G231" s="24"/>
      <c r="H231" s="24"/>
      <c r="I231" s="25">
        <v>1</v>
      </c>
      <c r="J231" s="24"/>
      <c r="K231" s="24"/>
      <c r="L231" s="24"/>
      <c r="M231" s="26" t="str">
        <f t="shared" si="85"/>
        <v/>
      </c>
      <c r="N231" s="27">
        <f t="shared" si="86"/>
        <v>0</v>
      </c>
      <c r="T231">
        <f t="shared" si="73"/>
        <v>129</v>
      </c>
      <c r="U231">
        <f t="shared" si="87"/>
        <v>26053</v>
      </c>
      <c r="V231">
        <f t="shared" ca="1" si="88"/>
        <v>0</v>
      </c>
      <c r="W231">
        <v>54</v>
      </c>
      <c r="X231" t="str">
        <f t="shared" ca="1" si="89"/>
        <v/>
      </c>
      <c r="Y231" t="s">
        <v>9</v>
      </c>
      <c r="Z231">
        <f t="shared" ca="1" si="90"/>
        <v>0</v>
      </c>
      <c r="AA231" t="str">
        <f t="shared" ca="1" si="91"/>
        <v>SPPN</v>
      </c>
      <c r="AB231">
        <f t="shared" ca="1" si="92"/>
        <v>1</v>
      </c>
      <c r="AC231" t="str">
        <f t="shared" ca="1" si="93"/>
        <v/>
      </c>
      <c r="AD231" t="str">
        <f t="shared" si="74"/>
        <v>4093RN153</v>
      </c>
      <c r="AE231">
        <f t="shared" ca="1" si="94"/>
        <v>0</v>
      </c>
      <c r="AF231" t="str">
        <f t="shared" ca="1" si="95"/>
        <v/>
      </c>
      <c r="AG231">
        <v>54</v>
      </c>
      <c r="AH231" t="s">
        <v>136</v>
      </c>
      <c r="AI231" t="str">
        <f t="shared" si="75"/>
        <v>Lutheran Home 25</v>
      </c>
      <c r="AJ231" t="str">
        <f t="shared" si="76"/>
        <v>Green Bay</v>
      </c>
      <c r="AK231" t="str">
        <f t="shared" si="77"/>
        <v>WI</v>
      </c>
      <c r="AL231">
        <f t="shared" si="78"/>
        <v>4091142613</v>
      </c>
      <c r="AM231" t="str">
        <f t="shared" si="79"/>
        <v>4093RN153</v>
      </c>
      <c r="AN231" t="str">
        <f t="shared" si="80"/>
        <v/>
      </c>
      <c r="AO231" t="str">
        <f t="shared" si="81"/>
        <v>Pella</v>
      </c>
      <c r="AP231">
        <f t="shared" si="82"/>
        <v>54201</v>
      </c>
      <c r="AQ231">
        <f t="shared" ca="1" si="96"/>
        <v>0</v>
      </c>
      <c r="AR231" s="1">
        <f t="shared" si="83"/>
        <v>46135</v>
      </c>
      <c r="CB231" s="1"/>
    </row>
    <row r="232" spans="1:80" x14ac:dyDescent="0.25">
      <c r="A232" s="23"/>
      <c r="B232" s="23"/>
      <c r="C232" s="23"/>
      <c r="D232" s="24"/>
      <c r="E232" s="24"/>
      <c r="F232" s="25">
        <f t="shared" si="84"/>
        <v>0</v>
      </c>
      <c r="G232" s="24"/>
      <c r="H232" s="24"/>
      <c r="I232" s="25">
        <v>1</v>
      </c>
      <c r="J232" s="24"/>
      <c r="K232" s="24"/>
      <c r="L232" s="24"/>
      <c r="M232" s="26" t="str">
        <f t="shared" si="85"/>
        <v/>
      </c>
      <c r="N232" s="27">
        <f t="shared" si="86"/>
        <v>0</v>
      </c>
      <c r="T232">
        <f t="shared" si="73"/>
        <v>129</v>
      </c>
      <c r="U232">
        <f t="shared" si="87"/>
        <v>26053</v>
      </c>
      <c r="V232">
        <f t="shared" ca="1" si="88"/>
        <v>0</v>
      </c>
      <c r="W232">
        <v>54</v>
      </c>
      <c r="X232" t="str">
        <f t="shared" ca="1" si="89"/>
        <v/>
      </c>
      <c r="Y232" t="s">
        <v>33</v>
      </c>
      <c r="Z232">
        <f t="shared" ca="1" si="90"/>
        <v>0</v>
      </c>
      <c r="AA232" t="str">
        <f t="shared" ca="1" si="91"/>
        <v>SPPN</v>
      </c>
      <c r="AB232">
        <f t="shared" ca="1" si="92"/>
        <v>1</v>
      </c>
      <c r="AC232" t="str">
        <f t="shared" ca="1" si="93"/>
        <v/>
      </c>
      <c r="AD232" t="str">
        <f t="shared" si="74"/>
        <v>4093RN153</v>
      </c>
      <c r="AE232">
        <f t="shared" ca="1" si="94"/>
        <v>0</v>
      </c>
      <c r="AF232" t="str">
        <f t="shared" ca="1" si="95"/>
        <v/>
      </c>
      <c r="AG232">
        <v>54</v>
      </c>
      <c r="AH232" t="s">
        <v>136</v>
      </c>
      <c r="AI232" t="str">
        <f t="shared" si="75"/>
        <v>Lutheran Home 25</v>
      </c>
      <c r="AJ232" t="str">
        <f t="shared" si="76"/>
        <v>Green Bay</v>
      </c>
      <c r="AK232" t="str">
        <f t="shared" si="77"/>
        <v>WI</v>
      </c>
      <c r="AL232">
        <f t="shared" si="78"/>
        <v>4091142613</v>
      </c>
      <c r="AM232" t="str">
        <f t="shared" si="79"/>
        <v>4093RN153</v>
      </c>
      <c r="AN232" t="str">
        <f t="shared" si="80"/>
        <v/>
      </c>
      <c r="AO232" t="str">
        <f t="shared" si="81"/>
        <v>Pella</v>
      </c>
      <c r="AP232">
        <f t="shared" si="82"/>
        <v>54201</v>
      </c>
      <c r="AQ232">
        <f t="shared" ca="1" si="96"/>
        <v>0</v>
      </c>
      <c r="AR232" s="1">
        <f t="shared" si="83"/>
        <v>46135</v>
      </c>
      <c r="CB232" s="1"/>
    </row>
    <row r="233" spans="1:80" x14ac:dyDescent="0.25">
      <c r="A233" s="23"/>
      <c r="B233" s="23"/>
      <c r="C233" s="23"/>
      <c r="D233" s="24"/>
      <c r="E233" s="24"/>
      <c r="F233" s="25">
        <f t="shared" si="84"/>
        <v>0</v>
      </c>
      <c r="G233" s="24"/>
      <c r="H233" s="24"/>
      <c r="I233" s="25">
        <v>1</v>
      </c>
      <c r="J233" s="24"/>
      <c r="K233" s="24"/>
      <c r="L233" s="24"/>
      <c r="M233" s="26" t="str">
        <f t="shared" si="85"/>
        <v/>
      </c>
      <c r="N233" s="27">
        <f t="shared" si="86"/>
        <v>0</v>
      </c>
      <c r="T233">
        <f t="shared" si="73"/>
        <v>129</v>
      </c>
      <c r="U233">
        <f t="shared" si="87"/>
        <v>26053</v>
      </c>
      <c r="V233">
        <f t="shared" ca="1" si="88"/>
        <v>0</v>
      </c>
      <c r="W233">
        <v>54</v>
      </c>
      <c r="X233" t="str">
        <f t="shared" ca="1" si="89"/>
        <v/>
      </c>
      <c r="Y233" t="s">
        <v>28</v>
      </c>
      <c r="Z233">
        <f t="shared" ca="1" si="90"/>
        <v>0</v>
      </c>
      <c r="AA233" t="str">
        <f t="shared" ca="1" si="91"/>
        <v>SPPN</v>
      </c>
      <c r="AB233">
        <f t="shared" ca="1" si="92"/>
        <v>1</v>
      </c>
      <c r="AC233">
        <f t="shared" ca="1" si="93"/>
        <v>0</v>
      </c>
      <c r="AD233" t="str">
        <f t="shared" si="74"/>
        <v>4093RN153</v>
      </c>
      <c r="AE233">
        <f t="shared" ca="1" si="94"/>
        <v>0</v>
      </c>
      <c r="AF233" t="str">
        <f t="shared" ca="1" si="95"/>
        <v/>
      </c>
      <c r="AG233">
        <v>54</v>
      </c>
      <c r="AH233" t="s">
        <v>136</v>
      </c>
      <c r="AI233" t="str">
        <f t="shared" si="75"/>
        <v>Lutheran Home 25</v>
      </c>
      <c r="AJ233" t="str">
        <f t="shared" si="76"/>
        <v>Green Bay</v>
      </c>
      <c r="AK233" t="str">
        <f t="shared" si="77"/>
        <v>WI</v>
      </c>
      <c r="AL233">
        <f t="shared" si="78"/>
        <v>4091142613</v>
      </c>
      <c r="AM233" t="str">
        <f t="shared" si="79"/>
        <v>4093RN153</v>
      </c>
      <c r="AN233" t="str">
        <f t="shared" si="80"/>
        <v/>
      </c>
      <c r="AO233" t="str">
        <f t="shared" si="81"/>
        <v>Pella</v>
      </c>
      <c r="AP233">
        <f t="shared" si="82"/>
        <v>54201</v>
      </c>
      <c r="AQ233">
        <f t="shared" ca="1" si="96"/>
        <v>0</v>
      </c>
      <c r="AR233" s="1">
        <f t="shared" si="83"/>
        <v>46135</v>
      </c>
      <c r="CB233" s="1"/>
    </row>
    <row r="234" spans="1:80" x14ac:dyDescent="0.25">
      <c r="A234" s="23"/>
      <c r="B234" s="23"/>
      <c r="C234" s="23"/>
      <c r="D234" s="24"/>
      <c r="E234" s="24"/>
      <c r="F234" s="25">
        <f t="shared" si="84"/>
        <v>0</v>
      </c>
      <c r="G234" s="24"/>
      <c r="H234" s="24"/>
      <c r="I234" s="25">
        <v>1</v>
      </c>
      <c r="J234" s="24"/>
      <c r="K234" s="24"/>
      <c r="L234" s="24"/>
      <c r="M234" s="26" t="str">
        <f t="shared" si="85"/>
        <v/>
      </c>
      <c r="N234" s="27">
        <f t="shared" si="86"/>
        <v>0</v>
      </c>
      <c r="T234">
        <f t="shared" si="73"/>
        <v>129</v>
      </c>
      <c r="U234">
        <f t="shared" si="87"/>
        <v>26053</v>
      </c>
      <c r="V234">
        <f t="shared" ca="1" si="88"/>
        <v>0</v>
      </c>
      <c r="W234">
        <v>54</v>
      </c>
      <c r="X234" t="str">
        <f t="shared" ca="1" si="89"/>
        <v/>
      </c>
      <c r="Y234" t="s">
        <v>32</v>
      </c>
      <c r="Z234">
        <f t="shared" ca="1" si="90"/>
        <v>0</v>
      </c>
      <c r="AA234" t="str">
        <f t="shared" ca="1" si="91"/>
        <v>SPPN</v>
      </c>
      <c r="AB234">
        <f t="shared" ca="1" si="92"/>
        <v>1</v>
      </c>
      <c r="AC234">
        <f t="shared" ca="1" si="93"/>
        <v>0</v>
      </c>
      <c r="AD234" t="str">
        <f t="shared" si="74"/>
        <v>4093RN153</v>
      </c>
      <c r="AE234">
        <f t="shared" ca="1" si="94"/>
        <v>0</v>
      </c>
      <c r="AF234" t="str">
        <f t="shared" ca="1" si="95"/>
        <v/>
      </c>
      <c r="AG234">
        <v>54</v>
      </c>
      <c r="AH234" t="s">
        <v>136</v>
      </c>
      <c r="AI234" t="str">
        <f t="shared" si="75"/>
        <v>Lutheran Home 25</v>
      </c>
      <c r="AJ234" t="str">
        <f t="shared" si="76"/>
        <v>Green Bay</v>
      </c>
      <c r="AK234" t="str">
        <f t="shared" si="77"/>
        <v>WI</v>
      </c>
      <c r="AL234">
        <f t="shared" si="78"/>
        <v>4091142613</v>
      </c>
      <c r="AM234" t="str">
        <f t="shared" si="79"/>
        <v>4093RN153</v>
      </c>
      <c r="AN234" t="str">
        <f t="shared" si="80"/>
        <v/>
      </c>
      <c r="AO234" t="str">
        <f t="shared" si="81"/>
        <v>Pella</v>
      </c>
      <c r="AP234">
        <f t="shared" si="82"/>
        <v>54201</v>
      </c>
      <c r="AQ234">
        <f t="shared" ca="1" si="96"/>
        <v>0</v>
      </c>
      <c r="AR234" s="1">
        <f t="shared" si="83"/>
        <v>46135</v>
      </c>
      <c r="CB234" s="1"/>
    </row>
    <row r="235" spans="1:80" x14ac:dyDescent="0.25">
      <c r="A235" s="23"/>
      <c r="B235" s="23"/>
      <c r="C235" s="23"/>
      <c r="D235" s="24"/>
      <c r="E235" s="24"/>
      <c r="F235" s="25">
        <f t="shared" si="84"/>
        <v>0</v>
      </c>
      <c r="G235" s="24"/>
      <c r="H235" s="24"/>
      <c r="I235" s="25">
        <v>1</v>
      </c>
      <c r="J235" s="24"/>
      <c r="K235" s="24"/>
      <c r="L235" s="24"/>
      <c r="M235" s="26" t="str">
        <f t="shared" si="85"/>
        <v/>
      </c>
      <c r="N235" s="27">
        <f t="shared" si="86"/>
        <v>0</v>
      </c>
      <c r="T235">
        <f t="shared" si="73"/>
        <v>129</v>
      </c>
      <c r="U235">
        <f t="shared" si="87"/>
        <v>26053</v>
      </c>
      <c r="V235">
        <f t="shared" ca="1" si="88"/>
        <v>0</v>
      </c>
      <c r="W235">
        <v>55</v>
      </c>
      <c r="X235" t="str">
        <f t="shared" ca="1" si="89"/>
        <v/>
      </c>
      <c r="Y235" t="s">
        <v>9</v>
      </c>
      <c r="Z235">
        <f t="shared" ca="1" si="90"/>
        <v>0</v>
      </c>
      <c r="AA235" t="str">
        <f t="shared" ca="1" si="91"/>
        <v>SPPN</v>
      </c>
      <c r="AB235">
        <f t="shared" ca="1" si="92"/>
        <v>1</v>
      </c>
      <c r="AC235" t="str">
        <f t="shared" ca="1" si="93"/>
        <v/>
      </c>
      <c r="AD235" t="str">
        <f t="shared" si="74"/>
        <v>4093RN153</v>
      </c>
      <c r="AE235">
        <f t="shared" ca="1" si="94"/>
        <v>0</v>
      </c>
      <c r="AF235" t="str">
        <f t="shared" ca="1" si="95"/>
        <v/>
      </c>
      <c r="AG235">
        <v>55</v>
      </c>
      <c r="AH235" t="s">
        <v>136</v>
      </c>
      <c r="AI235" t="str">
        <f t="shared" si="75"/>
        <v>Lutheran Home 25</v>
      </c>
      <c r="AJ235" t="str">
        <f t="shared" si="76"/>
        <v>Green Bay</v>
      </c>
      <c r="AK235" t="str">
        <f t="shared" si="77"/>
        <v>WI</v>
      </c>
      <c r="AL235">
        <f t="shared" si="78"/>
        <v>4091142613</v>
      </c>
      <c r="AM235" t="str">
        <f t="shared" si="79"/>
        <v>4093RN153</v>
      </c>
      <c r="AN235" t="str">
        <f t="shared" si="80"/>
        <v/>
      </c>
      <c r="AO235" t="str">
        <f t="shared" si="81"/>
        <v>Pella</v>
      </c>
      <c r="AP235">
        <f t="shared" si="82"/>
        <v>54201</v>
      </c>
      <c r="AQ235">
        <f t="shared" ca="1" si="96"/>
        <v>0</v>
      </c>
      <c r="AR235" s="1">
        <f t="shared" si="83"/>
        <v>46135</v>
      </c>
      <c r="CB235" s="1"/>
    </row>
    <row r="236" spans="1:80" x14ac:dyDescent="0.25">
      <c r="A236" s="23"/>
      <c r="B236" s="23"/>
      <c r="C236" s="23"/>
      <c r="D236" s="24"/>
      <c r="E236" s="24"/>
      <c r="F236" s="25">
        <f t="shared" si="84"/>
        <v>0</v>
      </c>
      <c r="G236" s="24"/>
      <c r="H236" s="24"/>
      <c r="I236" s="25">
        <v>1</v>
      </c>
      <c r="J236" s="24"/>
      <c r="K236" s="24"/>
      <c r="L236" s="24"/>
      <c r="M236" s="26" t="str">
        <f t="shared" si="85"/>
        <v/>
      </c>
      <c r="N236" s="27">
        <f t="shared" si="86"/>
        <v>0</v>
      </c>
      <c r="T236">
        <f t="shared" si="73"/>
        <v>129</v>
      </c>
      <c r="U236">
        <f t="shared" si="87"/>
        <v>26053</v>
      </c>
      <c r="V236">
        <f t="shared" ca="1" si="88"/>
        <v>0</v>
      </c>
      <c r="W236">
        <v>55</v>
      </c>
      <c r="X236" t="str">
        <f t="shared" ca="1" si="89"/>
        <v/>
      </c>
      <c r="Y236" t="s">
        <v>33</v>
      </c>
      <c r="Z236">
        <f t="shared" ca="1" si="90"/>
        <v>0</v>
      </c>
      <c r="AA236" t="str">
        <f t="shared" ca="1" si="91"/>
        <v>SPPN</v>
      </c>
      <c r="AB236">
        <f t="shared" ca="1" si="92"/>
        <v>1</v>
      </c>
      <c r="AC236" t="str">
        <f t="shared" ca="1" si="93"/>
        <v/>
      </c>
      <c r="AD236" t="str">
        <f t="shared" si="74"/>
        <v>4093RN153</v>
      </c>
      <c r="AE236">
        <f t="shared" ca="1" si="94"/>
        <v>0</v>
      </c>
      <c r="AF236" t="str">
        <f t="shared" ca="1" si="95"/>
        <v/>
      </c>
      <c r="AG236">
        <v>55</v>
      </c>
      <c r="AH236" t="s">
        <v>136</v>
      </c>
      <c r="AI236" t="str">
        <f t="shared" si="75"/>
        <v>Lutheran Home 25</v>
      </c>
      <c r="AJ236" t="str">
        <f t="shared" si="76"/>
        <v>Green Bay</v>
      </c>
      <c r="AK236" t="str">
        <f t="shared" si="77"/>
        <v>WI</v>
      </c>
      <c r="AL236">
        <f t="shared" si="78"/>
        <v>4091142613</v>
      </c>
      <c r="AM236" t="str">
        <f t="shared" si="79"/>
        <v>4093RN153</v>
      </c>
      <c r="AN236" t="str">
        <f t="shared" si="80"/>
        <v/>
      </c>
      <c r="AO236" t="str">
        <f t="shared" si="81"/>
        <v>Pella</v>
      </c>
      <c r="AP236">
        <f t="shared" si="82"/>
        <v>54201</v>
      </c>
      <c r="AQ236">
        <f t="shared" ca="1" si="96"/>
        <v>0</v>
      </c>
      <c r="AR236" s="1">
        <f t="shared" si="83"/>
        <v>46135</v>
      </c>
      <c r="CB236" s="1"/>
    </row>
    <row r="237" spans="1:80" x14ac:dyDescent="0.25">
      <c r="A237" s="23"/>
      <c r="B237" s="23"/>
      <c r="C237" s="23"/>
      <c r="D237" s="24"/>
      <c r="E237" s="24"/>
      <c r="F237" s="25">
        <f t="shared" si="84"/>
        <v>0</v>
      </c>
      <c r="G237" s="24"/>
      <c r="H237" s="24"/>
      <c r="I237" s="25">
        <v>1</v>
      </c>
      <c r="J237" s="24"/>
      <c r="K237" s="24"/>
      <c r="L237" s="24"/>
      <c r="M237" s="26" t="str">
        <f t="shared" si="85"/>
        <v/>
      </c>
      <c r="N237" s="27">
        <f t="shared" si="86"/>
        <v>0</v>
      </c>
      <c r="T237">
        <f t="shared" si="73"/>
        <v>129</v>
      </c>
      <c r="U237">
        <f t="shared" si="87"/>
        <v>26053</v>
      </c>
      <c r="V237">
        <f t="shared" ca="1" si="88"/>
        <v>0</v>
      </c>
      <c r="W237">
        <v>55</v>
      </c>
      <c r="X237" t="str">
        <f t="shared" ca="1" si="89"/>
        <v/>
      </c>
      <c r="Y237" t="s">
        <v>28</v>
      </c>
      <c r="Z237">
        <f t="shared" ca="1" si="90"/>
        <v>0</v>
      </c>
      <c r="AA237" t="str">
        <f t="shared" ca="1" si="91"/>
        <v>SPPN</v>
      </c>
      <c r="AB237">
        <f t="shared" ca="1" si="92"/>
        <v>1</v>
      </c>
      <c r="AC237">
        <f t="shared" ca="1" si="93"/>
        <v>0</v>
      </c>
      <c r="AD237" t="str">
        <f t="shared" si="74"/>
        <v>4093RN153</v>
      </c>
      <c r="AE237">
        <f t="shared" ca="1" si="94"/>
        <v>0</v>
      </c>
      <c r="AF237" t="str">
        <f t="shared" ca="1" si="95"/>
        <v/>
      </c>
      <c r="AG237">
        <v>55</v>
      </c>
      <c r="AH237" t="s">
        <v>136</v>
      </c>
      <c r="AI237" t="str">
        <f t="shared" si="75"/>
        <v>Lutheran Home 25</v>
      </c>
      <c r="AJ237" t="str">
        <f t="shared" si="76"/>
        <v>Green Bay</v>
      </c>
      <c r="AK237" t="str">
        <f t="shared" si="77"/>
        <v>WI</v>
      </c>
      <c r="AL237">
        <f t="shared" si="78"/>
        <v>4091142613</v>
      </c>
      <c r="AM237" t="str">
        <f t="shared" si="79"/>
        <v>4093RN153</v>
      </c>
      <c r="AN237" t="str">
        <f t="shared" si="80"/>
        <v/>
      </c>
      <c r="AO237" t="str">
        <f t="shared" si="81"/>
        <v>Pella</v>
      </c>
      <c r="AP237">
        <f t="shared" si="82"/>
        <v>54201</v>
      </c>
      <c r="AQ237">
        <f t="shared" ca="1" si="96"/>
        <v>0</v>
      </c>
      <c r="AR237" s="1">
        <f t="shared" si="83"/>
        <v>46135</v>
      </c>
      <c r="CB237" s="1"/>
    </row>
    <row r="238" spans="1:80" x14ac:dyDescent="0.25">
      <c r="A238" s="23"/>
      <c r="B238" s="23"/>
      <c r="C238" s="23"/>
      <c r="D238" s="24"/>
      <c r="E238" s="24"/>
      <c r="F238" s="25">
        <f t="shared" si="84"/>
        <v>0</v>
      </c>
      <c r="G238" s="24"/>
      <c r="H238" s="24"/>
      <c r="I238" s="25">
        <v>1</v>
      </c>
      <c r="J238" s="24"/>
      <c r="K238" s="24"/>
      <c r="L238" s="24"/>
      <c r="M238" s="26" t="str">
        <f t="shared" si="85"/>
        <v/>
      </c>
      <c r="N238" s="27">
        <f t="shared" si="86"/>
        <v>0</v>
      </c>
      <c r="T238">
        <f t="shared" si="73"/>
        <v>129</v>
      </c>
      <c r="U238">
        <f t="shared" si="87"/>
        <v>26053</v>
      </c>
      <c r="V238">
        <f t="shared" ca="1" si="88"/>
        <v>0</v>
      </c>
      <c r="W238">
        <v>55</v>
      </c>
      <c r="X238" t="str">
        <f t="shared" ca="1" si="89"/>
        <v/>
      </c>
      <c r="Y238" t="s">
        <v>32</v>
      </c>
      <c r="Z238">
        <f t="shared" ca="1" si="90"/>
        <v>0</v>
      </c>
      <c r="AA238" t="str">
        <f t="shared" ca="1" si="91"/>
        <v>SPPN</v>
      </c>
      <c r="AB238">
        <f t="shared" ca="1" si="92"/>
        <v>1</v>
      </c>
      <c r="AC238">
        <f t="shared" ca="1" si="93"/>
        <v>0</v>
      </c>
      <c r="AD238" t="str">
        <f t="shared" si="74"/>
        <v>4093RN153</v>
      </c>
      <c r="AE238">
        <f t="shared" ca="1" si="94"/>
        <v>0</v>
      </c>
      <c r="AF238" t="str">
        <f t="shared" ca="1" si="95"/>
        <v/>
      </c>
      <c r="AG238">
        <v>55</v>
      </c>
      <c r="AH238" t="s">
        <v>136</v>
      </c>
      <c r="AI238" t="str">
        <f t="shared" si="75"/>
        <v>Lutheran Home 25</v>
      </c>
      <c r="AJ238" t="str">
        <f t="shared" si="76"/>
        <v>Green Bay</v>
      </c>
      <c r="AK238" t="str">
        <f t="shared" si="77"/>
        <v>WI</v>
      </c>
      <c r="AL238">
        <f t="shared" si="78"/>
        <v>4091142613</v>
      </c>
      <c r="AM238" t="str">
        <f t="shared" si="79"/>
        <v>4093RN153</v>
      </c>
      <c r="AN238" t="str">
        <f t="shared" si="80"/>
        <v/>
      </c>
      <c r="AO238" t="str">
        <f t="shared" si="81"/>
        <v>Pella</v>
      </c>
      <c r="AP238">
        <f t="shared" si="82"/>
        <v>54201</v>
      </c>
      <c r="AQ238">
        <f t="shared" ca="1" si="96"/>
        <v>0</v>
      </c>
      <c r="AR238" s="1">
        <f t="shared" si="83"/>
        <v>46135</v>
      </c>
      <c r="CB238" s="1"/>
    </row>
    <row r="239" spans="1:80" x14ac:dyDescent="0.25">
      <c r="A239" s="23"/>
      <c r="B239" s="23"/>
      <c r="C239" s="23"/>
      <c r="D239" s="24"/>
      <c r="E239" s="24"/>
      <c r="F239" s="25">
        <f t="shared" si="84"/>
        <v>0</v>
      </c>
      <c r="G239" s="24"/>
      <c r="H239" s="24"/>
      <c r="I239" s="25">
        <v>1</v>
      </c>
      <c r="J239" s="24"/>
      <c r="K239" s="24"/>
      <c r="L239" s="24"/>
      <c r="M239" s="26" t="str">
        <f t="shared" si="85"/>
        <v/>
      </c>
      <c r="N239" s="27">
        <f t="shared" si="86"/>
        <v>0</v>
      </c>
      <c r="T239">
        <f t="shared" si="73"/>
        <v>129</v>
      </c>
      <c r="U239">
        <f t="shared" si="87"/>
        <v>26053</v>
      </c>
      <c r="V239">
        <f t="shared" ca="1" si="88"/>
        <v>0</v>
      </c>
      <c r="W239">
        <v>56</v>
      </c>
      <c r="X239" t="str">
        <f t="shared" ca="1" si="89"/>
        <v/>
      </c>
      <c r="Y239" t="s">
        <v>9</v>
      </c>
      <c r="Z239">
        <f t="shared" ca="1" si="90"/>
        <v>0</v>
      </c>
      <c r="AA239" t="str">
        <f t="shared" ca="1" si="91"/>
        <v>SPPN</v>
      </c>
      <c r="AB239">
        <f t="shared" ca="1" si="92"/>
        <v>1</v>
      </c>
      <c r="AC239" t="str">
        <f t="shared" ca="1" si="93"/>
        <v/>
      </c>
      <c r="AD239" t="str">
        <f t="shared" si="74"/>
        <v>4093RN153</v>
      </c>
      <c r="AE239">
        <f t="shared" ca="1" si="94"/>
        <v>0</v>
      </c>
      <c r="AF239" t="str">
        <f t="shared" ca="1" si="95"/>
        <v/>
      </c>
      <c r="AG239">
        <v>56</v>
      </c>
      <c r="AH239" t="s">
        <v>136</v>
      </c>
      <c r="AI239" t="str">
        <f t="shared" si="75"/>
        <v>Lutheran Home 25</v>
      </c>
      <c r="AJ239" t="str">
        <f t="shared" si="76"/>
        <v>Green Bay</v>
      </c>
      <c r="AK239" t="str">
        <f t="shared" si="77"/>
        <v>WI</v>
      </c>
      <c r="AL239">
        <f t="shared" si="78"/>
        <v>4091142613</v>
      </c>
      <c r="AM239" t="str">
        <f t="shared" si="79"/>
        <v>4093RN153</v>
      </c>
      <c r="AN239" t="str">
        <f t="shared" si="80"/>
        <v/>
      </c>
      <c r="AO239" t="str">
        <f t="shared" si="81"/>
        <v>Pella</v>
      </c>
      <c r="AP239">
        <f t="shared" si="82"/>
        <v>54201</v>
      </c>
      <c r="AQ239">
        <f t="shared" ca="1" si="96"/>
        <v>0</v>
      </c>
      <c r="AR239" s="1">
        <f t="shared" si="83"/>
        <v>46135</v>
      </c>
      <c r="CB239" s="1"/>
    </row>
    <row r="240" spans="1:80" x14ac:dyDescent="0.25">
      <c r="A240" s="23"/>
      <c r="B240" s="23"/>
      <c r="C240" s="23"/>
      <c r="D240" s="24"/>
      <c r="E240" s="24"/>
      <c r="F240" s="25">
        <f t="shared" si="84"/>
        <v>0</v>
      </c>
      <c r="G240" s="24"/>
      <c r="H240" s="24"/>
      <c r="I240" s="25">
        <v>1</v>
      </c>
      <c r="J240" s="24"/>
      <c r="K240" s="24"/>
      <c r="L240" s="24"/>
      <c r="M240" s="26" t="str">
        <f t="shared" si="85"/>
        <v/>
      </c>
      <c r="N240" s="27">
        <f t="shared" si="86"/>
        <v>0</v>
      </c>
      <c r="T240">
        <f t="shared" si="73"/>
        <v>129</v>
      </c>
      <c r="U240">
        <f t="shared" si="87"/>
        <v>26053</v>
      </c>
      <c r="V240">
        <f t="shared" ca="1" si="88"/>
        <v>0</v>
      </c>
      <c r="W240">
        <v>56</v>
      </c>
      <c r="X240" t="str">
        <f t="shared" ca="1" si="89"/>
        <v/>
      </c>
      <c r="Y240" t="s">
        <v>33</v>
      </c>
      <c r="Z240">
        <f t="shared" ca="1" si="90"/>
        <v>0</v>
      </c>
      <c r="AA240" t="str">
        <f t="shared" ca="1" si="91"/>
        <v>SPPN</v>
      </c>
      <c r="AB240">
        <f t="shared" ca="1" si="92"/>
        <v>1</v>
      </c>
      <c r="AC240" t="str">
        <f t="shared" ca="1" si="93"/>
        <v/>
      </c>
      <c r="AD240" t="str">
        <f t="shared" si="74"/>
        <v>4093RN153</v>
      </c>
      <c r="AE240">
        <f t="shared" ca="1" si="94"/>
        <v>0</v>
      </c>
      <c r="AF240" t="str">
        <f t="shared" ca="1" si="95"/>
        <v/>
      </c>
      <c r="AG240">
        <v>56</v>
      </c>
      <c r="AH240" t="s">
        <v>136</v>
      </c>
      <c r="AI240" t="str">
        <f t="shared" si="75"/>
        <v>Lutheran Home 25</v>
      </c>
      <c r="AJ240" t="str">
        <f t="shared" si="76"/>
        <v>Green Bay</v>
      </c>
      <c r="AK240" t="str">
        <f t="shared" si="77"/>
        <v>WI</v>
      </c>
      <c r="AL240">
        <f t="shared" si="78"/>
        <v>4091142613</v>
      </c>
      <c r="AM240" t="str">
        <f t="shared" si="79"/>
        <v>4093RN153</v>
      </c>
      <c r="AN240" t="str">
        <f t="shared" si="80"/>
        <v/>
      </c>
      <c r="AO240" t="str">
        <f t="shared" si="81"/>
        <v>Pella</v>
      </c>
      <c r="AP240">
        <f t="shared" si="82"/>
        <v>54201</v>
      </c>
      <c r="AQ240">
        <f t="shared" ca="1" si="96"/>
        <v>0</v>
      </c>
      <c r="AR240" s="1">
        <f t="shared" si="83"/>
        <v>46135</v>
      </c>
      <c r="CB240" s="1"/>
    </row>
    <row r="241" spans="1:80" x14ac:dyDescent="0.25">
      <c r="A241" s="23"/>
      <c r="B241" s="23"/>
      <c r="C241" s="23"/>
      <c r="D241" s="24"/>
      <c r="E241" s="24"/>
      <c r="F241" s="25">
        <f t="shared" si="84"/>
        <v>0</v>
      </c>
      <c r="G241" s="24"/>
      <c r="H241" s="24"/>
      <c r="I241" s="25">
        <v>1</v>
      </c>
      <c r="J241" s="24"/>
      <c r="K241" s="24"/>
      <c r="L241" s="24"/>
      <c r="M241" s="26" t="str">
        <f t="shared" si="85"/>
        <v/>
      </c>
      <c r="N241" s="27">
        <f t="shared" si="86"/>
        <v>0</v>
      </c>
      <c r="T241">
        <f t="shared" si="73"/>
        <v>129</v>
      </c>
      <c r="U241">
        <f t="shared" si="87"/>
        <v>26053</v>
      </c>
      <c r="V241">
        <f t="shared" ca="1" si="88"/>
        <v>0</v>
      </c>
      <c r="W241">
        <v>56</v>
      </c>
      <c r="X241" t="str">
        <f t="shared" ca="1" si="89"/>
        <v/>
      </c>
      <c r="Y241" t="s">
        <v>28</v>
      </c>
      <c r="Z241">
        <f t="shared" ca="1" si="90"/>
        <v>0</v>
      </c>
      <c r="AA241" t="str">
        <f t="shared" ca="1" si="91"/>
        <v>SPPN</v>
      </c>
      <c r="AB241">
        <f t="shared" ca="1" si="92"/>
        <v>1</v>
      </c>
      <c r="AC241">
        <f t="shared" ca="1" si="93"/>
        <v>0</v>
      </c>
      <c r="AD241" t="str">
        <f t="shared" si="74"/>
        <v>4093RN153</v>
      </c>
      <c r="AE241">
        <f t="shared" ca="1" si="94"/>
        <v>0</v>
      </c>
      <c r="AF241" t="str">
        <f t="shared" ca="1" si="95"/>
        <v/>
      </c>
      <c r="AG241">
        <v>56</v>
      </c>
      <c r="AH241" t="s">
        <v>136</v>
      </c>
      <c r="AI241" t="str">
        <f t="shared" si="75"/>
        <v>Lutheran Home 25</v>
      </c>
      <c r="AJ241" t="str">
        <f t="shared" si="76"/>
        <v>Green Bay</v>
      </c>
      <c r="AK241" t="str">
        <f t="shared" si="77"/>
        <v>WI</v>
      </c>
      <c r="AL241">
        <f t="shared" si="78"/>
        <v>4091142613</v>
      </c>
      <c r="AM241" t="str">
        <f t="shared" si="79"/>
        <v>4093RN153</v>
      </c>
      <c r="AN241" t="str">
        <f t="shared" si="80"/>
        <v/>
      </c>
      <c r="AO241" t="str">
        <f t="shared" si="81"/>
        <v>Pella</v>
      </c>
      <c r="AP241">
        <f t="shared" si="82"/>
        <v>54201</v>
      </c>
      <c r="AQ241">
        <f t="shared" ca="1" si="96"/>
        <v>0</v>
      </c>
      <c r="AR241" s="1">
        <f t="shared" si="83"/>
        <v>46135</v>
      </c>
      <c r="CB241" s="1"/>
    </row>
    <row r="242" spans="1:80" x14ac:dyDescent="0.25">
      <c r="A242" s="23"/>
      <c r="B242" s="23"/>
      <c r="C242" s="23"/>
      <c r="D242" s="24"/>
      <c r="E242" s="24"/>
      <c r="F242" s="25">
        <f t="shared" si="84"/>
        <v>0</v>
      </c>
      <c r="G242" s="24"/>
      <c r="H242" s="24"/>
      <c r="I242" s="25">
        <v>1</v>
      </c>
      <c r="J242" s="24"/>
      <c r="K242" s="24"/>
      <c r="L242" s="24"/>
      <c r="M242" s="26" t="str">
        <f t="shared" si="85"/>
        <v/>
      </c>
      <c r="N242" s="27">
        <f t="shared" si="86"/>
        <v>0</v>
      </c>
      <c r="T242">
        <f t="shared" si="73"/>
        <v>129</v>
      </c>
      <c r="U242">
        <f t="shared" si="87"/>
        <v>26053</v>
      </c>
      <c r="V242">
        <f t="shared" ca="1" si="88"/>
        <v>0</v>
      </c>
      <c r="W242">
        <v>56</v>
      </c>
      <c r="X242" t="str">
        <f t="shared" ca="1" si="89"/>
        <v/>
      </c>
      <c r="Y242" t="s">
        <v>32</v>
      </c>
      <c r="Z242">
        <f t="shared" ca="1" si="90"/>
        <v>0</v>
      </c>
      <c r="AA242" t="str">
        <f t="shared" ca="1" si="91"/>
        <v>SPPN</v>
      </c>
      <c r="AB242">
        <f t="shared" ca="1" si="92"/>
        <v>1</v>
      </c>
      <c r="AC242">
        <f t="shared" ca="1" si="93"/>
        <v>0</v>
      </c>
      <c r="AD242" t="str">
        <f t="shared" si="74"/>
        <v>4093RN153</v>
      </c>
      <c r="AE242">
        <f t="shared" ca="1" si="94"/>
        <v>0</v>
      </c>
      <c r="AF242" t="str">
        <f t="shared" ca="1" si="95"/>
        <v/>
      </c>
      <c r="AG242">
        <v>56</v>
      </c>
      <c r="AH242" t="s">
        <v>136</v>
      </c>
      <c r="AI242" t="str">
        <f t="shared" si="75"/>
        <v>Lutheran Home 25</v>
      </c>
      <c r="AJ242" t="str">
        <f t="shared" si="76"/>
        <v>Green Bay</v>
      </c>
      <c r="AK242" t="str">
        <f t="shared" si="77"/>
        <v>WI</v>
      </c>
      <c r="AL242">
        <f t="shared" si="78"/>
        <v>4091142613</v>
      </c>
      <c r="AM242" t="str">
        <f t="shared" si="79"/>
        <v>4093RN153</v>
      </c>
      <c r="AN242" t="str">
        <f t="shared" si="80"/>
        <v/>
      </c>
      <c r="AO242" t="str">
        <f t="shared" si="81"/>
        <v>Pella</v>
      </c>
      <c r="AP242">
        <f t="shared" si="82"/>
        <v>54201</v>
      </c>
      <c r="AQ242">
        <f t="shared" ca="1" si="96"/>
        <v>0</v>
      </c>
      <c r="AR242" s="1">
        <f t="shared" si="83"/>
        <v>46135</v>
      </c>
      <c r="CB242" s="1"/>
    </row>
    <row r="243" spans="1:80" x14ac:dyDescent="0.25">
      <c r="A243" s="23"/>
      <c r="B243" s="23"/>
      <c r="C243" s="23"/>
      <c r="D243" s="24"/>
      <c r="E243" s="24"/>
      <c r="F243" s="25">
        <f t="shared" si="84"/>
        <v>0</v>
      </c>
      <c r="G243" s="24"/>
      <c r="H243" s="24"/>
      <c r="I243" s="25">
        <v>1</v>
      </c>
      <c r="J243" s="24"/>
      <c r="K243" s="24"/>
      <c r="L243" s="24"/>
      <c r="M243" s="26" t="str">
        <f t="shared" si="85"/>
        <v/>
      </c>
      <c r="N243" s="27">
        <f t="shared" si="86"/>
        <v>0</v>
      </c>
      <c r="T243">
        <f t="shared" si="73"/>
        <v>129</v>
      </c>
      <c r="U243">
        <f t="shared" si="87"/>
        <v>26053</v>
      </c>
      <c r="V243">
        <f t="shared" ca="1" si="88"/>
        <v>0</v>
      </c>
      <c r="W243">
        <v>57</v>
      </c>
      <c r="X243" t="str">
        <f t="shared" ca="1" si="89"/>
        <v/>
      </c>
      <c r="Y243" t="s">
        <v>9</v>
      </c>
      <c r="Z243">
        <f t="shared" ca="1" si="90"/>
        <v>0</v>
      </c>
      <c r="AA243" t="str">
        <f t="shared" ca="1" si="91"/>
        <v>SPPN</v>
      </c>
      <c r="AB243">
        <f t="shared" ca="1" si="92"/>
        <v>1</v>
      </c>
      <c r="AC243" t="str">
        <f t="shared" ca="1" si="93"/>
        <v/>
      </c>
      <c r="AD243" t="str">
        <f t="shared" si="74"/>
        <v>4093RN153</v>
      </c>
      <c r="AE243">
        <f t="shared" ca="1" si="94"/>
        <v>0</v>
      </c>
      <c r="AF243" t="str">
        <f t="shared" ca="1" si="95"/>
        <v/>
      </c>
      <c r="AG243">
        <v>57</v>
      </c>
      <c r="AH243" t="s">
        <v>136</v>
      </c>
      <c r="AI243" t="str">
        <f t="shared" si="75"/>
        <v>Lutheran Home 25</v>
      </c>
      <c r="AJ243" t="str">
        <f t="shared" si="76"/>
        <v>Green Bay</v>
      </c>
      <c r="AK243" t="str">
        <f t="shared" si="77"/>
        <v>WI</v>
      </c>
      <c r="AL243">
        <f t="shared" si="78"/>
        <v>4091142613</v>
      </c>
      <c r="AM243" t="str">
        <f t="shared" si="79"/>
        <v>4093RN153</v>
      </c>
      <c r="AN243" t="str">
        <f t="shared" si="80"/>
        <v/>
      </c>
      <c r="AO243" t="str">
        <f t="shared" si="81"/>
        <v>Pella</v>
      </c>
      <c r="AP243">
        <f t="shared" si="82"/>
        <v>54201</v>
      </c>
      <c r="AQ243">
        <f t="shared" ca="1" si="96"/>
        <v>0</v>
      </c>
      <c r="AR243" s="1">
        <f t="shared" si="83"/>
        <v>46135</v>
      </c>
      <c r="CB243" s="1"/>
    </row>
    <row r="244" spans="1:80" x14ac:dyDescent="0.25">
      <c r="A244" s="23"/>
      <c r="B244" s="23"/>
      <c r="C244" s="23"/>
      <c r="D244" s="24"/>
      <c r="E244" s="24"/>
      <c r="F244" s="25">
        <f t="shared" si="84"/>
        <v>0</v>
      </c>
      <c r="G244" s="24"/>
      <c r="H244" s="24"/>
      <c r="I244" s="25">
        <v>1</v>
      </c>
      <c r="J244" s="24"/>
      <c r="K244" s="24"/>
      <c r="L244" s="24"/>
      <c r="M244" s="26" t="str">
        <f t="shared" si="85"/>
        <v/>
      </c>
      <c r="N244" s="27">
        <f t="shared" si="86"/>
        <v>0</v>
      </c>
      <c r="T244">
        <f t="shared" si="73"/>
        <v>129</v>
      </c>
      <c r="U244">
        <f t="shared" si="87"/>
        <v>26053</v>
      </c>
      <c r="V244">
        <f t="shared" ca="1" si="88"/>
        <v>0</v>
      </c>
      <c r="W244">
        <v>57</v>
      </c>
      <c r="X244" t="str">
        <f t="shared" ca="1" si="89"/>
        <v/>
      </c>
      <c r="Y244" t="s">
        <v>33</v>
      </c>
      <c r="Z244">
        <f t="shared" ca="1" si="90"/>
        <v>0</v>
      </c>
      <c r="AA244" t="str">
        <f t="shared" ca="1" si="91"/>
        <v>SPPN</v>
      </c>
      <c r="AB244">
        <f t="shared" ca="1" si="92"/>
        <v>1</v>
      </c>
      <c r="AC244" t="str">
        <f t="shared" ca="1" si="93"/>
        <v/>
      </c>
      <c r="AD244" t="str">
        <f t="shared" si="74"/>
        <v>4093RN153</v>
      </c>
      <c r="AE244">
        <f t="shared" ca="1" si="94"/>
        <v>0</v>
      </c>
      <c r="AF244" t="str">
        <f t="shared" ca="1" si="95"/>
        <v/>
      </c>
      <c r="AG244">
        <v>57</v>
      </c>
      <c r="AH244" t="s">
        <v>136</v>
      </c>
      <c r="AI244" t="str">
        <f t="shared" si="75"/>
        <v>Lutheran Home 25</v>
      </c>
      <c r="AJ244" t="str">
        <f t="shared" si="76"/>
        <v>Green Bay</v>
      </c>
      <c r="AK244" t="str">
        <f t="shared" si="77"/>
        <v>WI</v>
      </c>
      <c r="AL244">
        <f t="shared" si="78"/>
        <v>4091142613</v>
      </c>
      <c r="AM244" t="str">
        <f t="shared" si="79"/>
        <v>4093RN153</v>
      </c>
      <c r="AN244" t="str">
        <f t="shared" si="80"/>
        <v/>
      </c>
      <c r="AO244" t="str">
        <f t="shared" si="81"/>
        <v>Pella</v>
      </c>
      <c r="AP244">
        <f t="shared" si="82"/>
        <v>54201</v>
      </c>
      <c r="AQ244">
        <f t="shared" ca="1" si="96"/>
        <v>0</v>
      </c>
      <c r="AR244" s="1">
        <f t="shared" si="83"/>
        <v>46135</v>
      </c>
      <c r="CB244" s="1"/>
    </row>
    <row r="245" spans="1:80" x14ac:dyDescent="0.25">
      <c r="A245" s="23"/>
      <c r="B245" s="23"/>
      <c r="C245" s="23"/>
      <c r="D245" s="24"/>
      <c r="E245" s="24"/>
      <c r="F245" s="25">
        <f t="shared" si="84"/>
        <v>0</v>
      </c>
      <c r="G245" s="24"/>
      <c r="H245" s="24"/>
      <c r="I245" s="25">
        <v>1</v>
      </c>
      <c r="J245" s="24"/>
      <c r="K245" s="24"/>
      <c r="L245" s="24"/>
      <c r="M245" s="26" t="str">
        <f t="shared" si="85"/>
        <v/>
      </c>
      <c r="N245" s="27">
        <f t="shared" si="86"/>
        <v>0</v>
      </c>
      <c r="T245">
        <f t="shared" si="73"/>
        <v>129</v>
      </c>
      <c r="U245">
        <f t="shared" si="87"/>
        <v>26053</v>
      </c>
      <c r="V245">
        <f t="shared" ca="1" si="88"/>
        <v>0</v>
      </c>
      <c r="W245">
        <v>57</v>
      </c>
      <c r="X245" t="str">
        <f t="shared" ca="1" si="89"/>
        <v/>
      </c>
      <c r="Y245" t="s">
        <v>28</v>
      </c>
      <c r="Z245">
        <f t="shared" ca="1" si="90"/>
        <v>0</v>
      </c>
      <c r="AA245" t="str">
        <f t="shared" ca="1" si="91"/>
        <v>SPPN</v>
      </c>
      <c r="AB245">
        <f t="shared" ca="1" si="92"/>
        <v>1</v>
      </c>
      <c r="AC245">
        <f t="shared" ca="1" si="93"/>
        <v>0</v>
      </c>
      <c r="AD245" t="str">
        <f t="shared" si="74"/>
        <v>4093RN153</v>
      </c>
      <c r="AE245">
        <f t="shared" ca="1" si="94"/>
        <v>0</v>
      </c>
      <c r="AF245" t="str">
        <f t="shared" ca="1" si="95"/>
        <v/>
      </c>
      <c r="AG245">
        <v>57</v>
      </c>
      <c r="AH245" t="s">
        <v>136</v>
      </c>
      <c r="AI245" t="str">
        <f t="shared" si="75"/>
        <v>Lutheran Home 25</v>
      </c>
      <c r="AJ245" t="str">
        <f t="shared" si="76"/>
        <v>Green Bay</v>
      </c>
      <c r="AK245" t="str">
        <f t="shared" si="77"/>
        <v>WI</v>
      </c>
      <c r="AL245">
        <f t="shared" si="78"/>
        <v>4091142613</v>
      </c>
      <c r="AM245" t="str">
        <f t="shared" si="79"/>
        <v>4093RN153</v>
      </c>
      <c r="AN245" t="str">
        <f t="shared" si="80"/>
        <v/>
      </c>
      <c r="AO245" t="str">
        <f t="shared" si="81"/>
        <v>Pella</v>
      </c>
      <c r="AP245">
        <f t="shared" si="82"/>
        <v>54201</v>
      </c>
      <c r="AQ245">
        <f t="shared" ca="1" si="96"/>
        <v>0</v>
      </c>
      <c r="AR245" s="1">
        <f t="shared" si="83"/>
        <v>46135</v>
      </c>
      <c r="CB245" s="1"/>
    </row>
    <row r="246" spans="1:80" x14ac:dyDescent="0.25">
      <c r="A246" s="23"/>
      <c r="B246" s="23"/>
      <c r="C246" s="23"/>
      <c r="D246" s="24"/>
      <c r="E246" s="24"/>
      <c r="F246" s="25">
        <f t="shared" si="84"/>
        <v>0</v>
      </c>
      <c r="G246" s="24"/>
      <c r="H246" s="24"/>
      <c r="I246" s="25">
        <v>1</v>
      </c>
      <c r="J246" s="24"/>
      <c r="K246" s="24"/>
      <c r="L246" s="24"/>
      <c r="M246" s="26" t="str">
        <f t="shared" si="85"/>
        <v/>
      </c>
      <c r="N246" s="27">
        <f t="shared" si="86"/>
        <v>0</v>
      </c>
      <c r="T246">
        <f t="shared" si="73"/>
        <v>129</v>
      </c>
      <c r="U246">
        <f t="shared" si="87"/>
        <v>26053</v>
      </c>
      <c r="V246">
        <f t="shared" ca="1" si="88"/>
        <v>0</v>
      </c>
      <c r="W246">
        <v>57</v>
      </c>
      <c r="X246" t="str">
        <f t="shared" ca="1" si="89"/>
        <v/>
      </c>
      <c r="Y246" t="s">
        <v>32</v>
      </c>
      <c r="Z246">
        <f t="shared" ca="1" si="90"/>
        <v>0</v>
      </c>
      <c r="AA246" t="str">
        <f t="shared" ca="1" si="91"/>
        <v>SPPN</v>
      </c>
      <c r="AB246">
        <f t="shared" ca="1" si="92"/>
        <v>1</v>
      </c>
      <c r="AC246">
        <f t="shared" ca="1" si="93"/>
        <v>0</v>
      </c>
      <c r="AD246" t="str">
        <f t="shared" si="74"/>
        <v>4093RN153</v>
      </c>
      <c r="AE246">
        <f t="shared" ca="1" si="94"/>
        <v>0</v>
      </c>
      <c r="AF246" t="str">
        <f t="shared" ca="1" si="95"/>
        <v/>
      </c>
      <c r="AG246">
        <v>57</v>
      </c>
      <c r="AH246" t="s">
        <v>136</v>
      </c>
      <c r="AI246" t="str">
        <f t="shared" si="75"/>
        <v>Lutheran Home 25</v>
      </c>
      <c r="AJ246" t="str">
        <f t="shared" si="76"/>
        <v>Green Bay</v>
      </c>
      <c r="AK246" t="str">
        <f t="shared" si="77"/>
        <v>WI</v>
      </c>
      <c r="AL246">
        <f t="shared" si="78"/>
        <v>4091142613</v>
      </c>
      <c r="AM246" t="str">
        <f t="shared" si="79"/>
        <v>4093RN153</v>
      </c>
      <c r="AN246" t="str">
        <f t="shared" si="80"/>
        <v/>
      </c>
      <c r="AO246" t="str">
        <f t="shared" si="81"/>
        <v>Pella</v>
      </c>
      <c r="AP246">
        <f t="shared" si="82"/>
        <v>54201</v>
      </c>
      <c r="AQ246">
        <f t="shared" ca="1" si="96"/>
        <v>0</v>
      </c>
      <c r="AR246" s="1">
        <f t="shared" si="83"/>
        <v>46135</v>
      </c>
      <c r="CB246" s="1"/>
    </row>
    <row r="247" spans="1:80" x14ac:dyDescent="0.25">
      <c r="A247" s="23"/>
      <c r="B247" s="23"/>
      <c r="C247" s="23"/>
      <c r="D247" s="24"/>
      <c r="E247" s="24"/>
      <c r="F247" s="25">
        <f t="shared" si="84"/>
        <v>0</v>
      </c>
      <c r="G247" s="24"/>
      <c r="H247" s="24"/>
      <c r="I247" s="25">
        <v>1</v>
      </c>
      <c r="J247" s="24"/>
      <c r="K247" s="24"/>
      <c r="L247" s="24"/>
      <c r="M247" s="26" t="str">
        <f t="shared" si="85"/>
        <v/>
      </c>
      <c r="N247" s="27">
        <f t="shared" si="86"/>
        <v>0</v>
      </c>
      <c r="T247">
        <f t="shared" si="73"/>
        <v>129</v>
      </c>
      <c r="U247">
        <f t="shared" si="87"/>
        <v>26053</v>
      </c>
      <c r="V247">
        <f t="shared" ca="1" si="88"/>
        <v>0</v>
      </c>
      <c r="W247">
        <v>58</v>
      </c>
      <c r="X247" t="str">
        <f t="shared" ca="1" si="89"/>
        <v/>
      </c>
      <c r="Y247" t="s">
        <v>9</v>
      </c>
      <c r="Z247">
        <f t="shared" ca="1" si="90"/>
        <v>0</v>
      </c>
      <c r="AA247" t="str">
        <f t="shared" ca="1" si="91"/>
        <v>SPPN</v>
      </c>
      <c r="AB247">
        <f t="shared" ca="1" si="92"/>
        <v>1</v>
      </c>
      <c r="AC247" t="str">
        <f t="shared" ca="1" si="93"/>
        <v/>
      </c>
      <c r="AD247" t="str">
        <f t="shared" si="74"/>
        <v>4093RN153</v>
      </c>
      <c r="AE247">
        <f t="shared" ca="1" si="94"/>
        <v>0</v>
      </c>
      <c r="AF247" t="str">
        <f t="shared" ca="1" si="95"/>
        <v/>
      </c>
      <c r="AG247">
        <v>58</v>
      </c>
      <c r="AH247" t="s">
        <v>136</v>
      </c>
      <c r="AI247" t="str">
        <f t="shared" si="75"/>
        <v>Lutheran Home 25</v>
      </c>
      <c r="AJ247" t="str">
        <f t="shared" si="76"/>
        <v>Green Bay</v>
      </c>
      <c r="AK247" t="str">
        <f t="shared" si="77"/>
        <v>WI</v>
      </c>
      <c r="AL247">
        <f t="shared" si="78"/>
        <v>4091142613</v>
      </c>
      <c r="AM247" t="str">
        <f t="shared" si="79"/>
        <v>4093RN153</v>
      </c>
      <c r="AN247" t="str">
        <f t="shared" si="80"/>
        <v/>
      </c>
      <c r="AO247" t="str">
        <f t="shared" si="81"/>
        <v>Pella</v>
      </c>
      <c r="AP247">
        <f t="shared" si="82"/>
        <v>54201</v>
      </c>
      <c r="AQ247">
        <f t="shared" ca="1" si="96"/>
        <v>0</v>
      </c>
      <c r="AR247" s="1">
        <f t="shared" si="83"/>
        <v>46135</v>
      </c>
      <c r="CB247" s="1"/>
    </row>
    <row r="248" spans="1:80" x14ac:dyDescent="0.25">
      <c r="A248" s="23"/>
      <c r="B248" s="23"/>
      <c r="C248" s="23"/>
      <c r="D248" s="24"/>
      <c r="E248" s="24"/>
      <c r="F248" s="25">
        <f t="shared" si="84"/>
        <v>0</v>
      </c>
      <c r="G248" s="24"/>
      <c r="H248" s="24"/>
      <c r="I248" s="25">
        <v>1</v>
      </c>
      <c r="J248" s="24"/>
      <c r="K248" s="24"/>
      <c r="L248" s="24"/>
      <c r="M248" s="26" t="str">
        <f t="shared" si="85"/>
        <v/>
      </c>
      <c r="N248" s="27">
        <f t="shared" si="86"/>
        <v>0</v>
      </c>
      <c r="T248">
        <f t="shared" si="73"/>
        <v>129</v>
      </c>
      <c r="U248">
        <f t="shared" si="87"/>
        <v>26053</v>
      </c>
      <c r="V248">
        <f t="shared" ca="1" si="88"/>
        <v>0</v>
      </c>
      <c r="W248">
        <v>58</v>
      </c>
      <c r="X248" t="str">
        <f t="shared" ca="1" si="89"/>
        <v/>
      </c>
      <c r="Y248" t="s">
        <v>33</v>
      </c>
      <c r="Z248">
        <f t="shared" ca="1" si="90"/>
        <v>0</v>
      </c>
      <c r="AA248" t="str">
        <f t="shared" ca="1" si="91"/>
        <v>SPPN</v>
      </c>
      <c r="AB248">
        <f t="shared" ca="1" si="92"/>
        <v>1</v>
      </c>
      <c r="AC248" t="str">
        <f t="shared" ca="1" si="93"/>
        <v/>
      </c>
      <c r="AD248" t="str">
        <f t="shared" si="74"/>
        <v>4093RN153</v>
      </c>
      <c r="AE248">
        <f t="shared" ca="1" si="94"/>
        <v>0</v>
      </c>
      <c r="AF248" t="str">
        <f t="shared" ca="1" si="95"/>
        <v/>
      </c>
      <c r="AG248">
        <v>58</v>
      </c>
      <c r="AH248" t="s">
        <v>136</v>
      </c>
      <c r="AI248" t="str">
        <f t="shared" si="75"/>
        <v>Lutheran Home 25</v>
      </c>
      <c r="AJ248" t="str">
        <f t="shared" si="76"/>
        <v>Green Bay</v>
      </c>
      <c r="AK248" t="str">
        <f t="shared" si="77"/>
        <v>WI</v>
      </c>
      <c r="AL248">
        <f t="shared" si="78"/>
        <v>4091142613</v>
      </c>
      <c r="AM248" t="str">
        <f t="shared" si="79"/>
        <v>4093RN153</v>
      </c>
      <c r="AN248" t="str">
        <f t="shared" si="80"/>
        <v/>
      </c>
      <c r="AO248" t="str">
        <f t="shared" si="81"/>
        <v>Pella</v>
      </c>
      <c r="AP248">
        <f t="shared" si="82"/>
        <v>54201</v>
      </c>
      <c r="AQ248">
        <f t="shared" ca="1" si="96"/>
        <v>0</v>
      </c>
      <c r="AR248" s="1">
        <f t="shared" si="83"/>
        <v>46135</v>
      </c>
      <c r="CB248" s="1"/>
    </row>
    <row r="249" spans="1:80" x14ac:dyDescent="0.25">
      <c r="A249" s="23"/>
      <c r="B249" s="23"/>
      <c r="C249" s="23"/>
      <c r="D249" s="24"/>
      <c r="E249" s="24"/>
      <c r="F249" s="25">
        <f t="shared" si="84"/>
        <v>0</v>
      </c>
      <c r="G249" s="24"/>
      <c r="H249" s="24"/>
      <c r="I249" s="25">
        <v>1</v>
      </c>
      <c r="J249" s="24"/>
      <c r="K249" s="24"/>
      <c r="L249" s="24"/>
      <c r="M249" s="26" t="str">
        <f t="shared" si="85"/>
        <v/>
      </c>
      <c r="N249" s="27">
        <f t="shared" si="86"/>
        <v>0</v>
      </c>
      <c r="T249">
        <f t="shared" si="73"/>
        <v>129</v>
      </c>
      <c r="U249">
        <f t="shared" si="87"/>
        <v>26053</v>
      </c>
      <c r="V249">
        <f t="shared" ca="1" si="88"/>
        <v>0</v>
      </c>
      <c r="W249">
        <v>58</v>
      </c>
      <c r="X249" t="str">
        <f t="shared" ca="1" si="89"/>
        <v/>
      </c>
      <c r="Y249" t="s">
        <v>28</v>
      </c>
      <c r="Z249">
        <f t="shared" ca="1" si="90"/>
        <v>0</v>
      </c>
      <c r="AA249" t="str">
        <f t="shared" ca="1" si="91"/>
        <v>SPPN</v>
      </c>
      <c r="AB249">
        <f t="shared" ca="1" si="92"/>
        <v>1</v>
      </c>
      <c r="AC249">
        <f t="shared" ca="1" si="93"/>
        <v>0</v>
      </c>
      <c r="AD249" t="str">
        <f t="shared" si="74"/>
        <v>4093RN153</v>
      </c>
      <c r="AE249">
        <f t="shared" ca="1" si="94"/>
        <v>0</v>
      </c>
      <c r="AF249" t="str">
        <f t="shared" ca="1" si="95"/>
        <v/>
      </c>
      <c r="AG249">
        <v>58</v>
      </c>
      <c r="AH249" t="s">
        <v>136</v>
      </c>
      <c r="AI249" t="str">
        <f t="shared" si="75"/>
        <v>Lutheran Home 25</v>
      </c>
      <c r="AJ249" t="str">
        <f t="shared" si="76"/>
        <v>Green Bay</v>
      </c>
      <c r="AK249" t="str">
        <f t="shared" si="77"/>
        <v>WI</v>
      </c>
      <c r="AL249">
        <f t="shared" si="78"/>
        <v>4091142613</v>
      </c>
      <c r="AM249" t="str">
        <f t="shared" si="79"/>
        <v>4093RN153</v>
      </c>
      <c r="AN249" t="str">
        <f t="shared" si="80"/>
        <v/>
      </c>
      <c r="AO249" t="str">
        <f t="shared" si="81"/>
        <v>Pella</v>
      </c>
      <c r="AP249">
        <f t="shared" si="82"/>
        <v>54201</v>
      </c>
      <c r="AQ249">
        <f t="shared" ca="1" si="96"/>
        <v>0</v>
      </c>
      <c r="AR249" s="1">
        <f t="shared" si="83"/>
        <v>46135</v>
      </c>
      <c r="CB249" s="1"/>
    </row>
    <row r="250" spans="1:80" x14ac:dyDescent="0.25">
      <c r="A250" s="23"/>
      <c r="B250" s="23"/>
      <c r="C250" s="23"/>
      <c r="D250" s="24"/>
      <c r="E250" s="24"/>
      <c r="F250" s="25">
        <f t="shared" si="84"/>
        <v>0</v>
      </c>
      <c r="G250" s="24"/>
      <c r="H250" s="24"/>
      <c r="I250" s="25">
        <v>1</v>
      </c>
      <c r="J250" s="24"/>
      <c r="K250" s="24"/>
      <c r="L250" s="24"/>
      <c r="M250" s="26" t="str">
        <f t="shared" si="85"/>
        <v/>
      </c>
      <c r="N250" s="27">
        <f t="shared" si="86"/>
        <v>0</v>
      </c>
      <c r="T250">
        <f t="shared" si="73"/>
        <v>129</v>
      </c>
      <c r="U250">
        <f t="shared" si="87"/>
        <v>26053</v>
      </c>
      <c r="V250">
        <f t="shared" ca="1" si="88"/>
        <v>0</v>
      </c>
      <c r="W250">
        <v>58</v>
      </c>
      <c r="X250" t="str">
        <f t="shared" ca="1" si="89"/>
        <v/>
      </c>
      <c r="Y250" t="s">
        <v>32</v>
      </c>
      <c r="Z250">
        <f t="shared" ca="1" si="90"/>
        <v>0</v>
      </c>
      <c r="AA250" t="str">
        <f t="shared" ca="1" si="91"/>
        <v>SPPN</v>
      </c>
      <c r="AB250">
        <f t="shared" ca="1" si="92"/>
        <v>1</v>
      </c>
      <c r="AC250">
        <f t="shared" ca="1" si="93"/>
        <v>0</v>
      </c>
      <c r="AD250" t="str">
        <f t="shared" si="74"/>
        <v>4093RN153</v>
      </c>
      <c r="AE250">
        <f t="shared" ca="1" si="94"/>
        <v>0</v>
      </c>
      <c r="AF250" t="str">
        <f t="shared" ca="1" si="95"/>
        <v/>
      </c>
      <c r="AG250">
        <v>58</v>
      </c>
      <c r="AH250" t="s">
        <v>136</v>
      </c>
      <c r="AI250" t="str">
        <f t="shared" si="75"/>
        <v>Lutheran Home 25</v>
      </c>
      <c r="AJ250" t="str">
        <f t="shared" si="76"/>
        <v>Green Bay</v>
      </c>
      <c r="AK250" t="str">
        <f t="shared" si="77"/>
        <v>WI</v>
      </c>
      <c r="AL250">
        <f t="shared" si="78"/>
        <v>4091142613</v>
      </c>
      <c r="AM250" t="str">
        <f t="shared" si="79"/>
        <v>4093RN153</v>
      </c>
      <c r="AN250" t="str">
        <f t="shared" si="80"/>
        <v/>
      </c>
      <c r="AO250" t="str">
        <f t="shared" si="81"/>
        <v>Pella</v>
      </c>
      <c r="AP250">
        <f t="shared" si="82"/>
        <v>54201</v>
      </c>
      <c r="AQ250">
        <f t="shared" ca="1" si="96"/>
        <v>0</v>
      </c>
      <c r="AR250" s="1">
        <f t="shared" si="83"/>
        <v>46135</v>
      </c>
      <c r="CB250" s="1"/>
    </row>
    <row r="251" spans="1:80" x14ac:dyDescent="0.25">
      <c r="A251" s="23"/>
      <c r="B251" s="23"/>
      <c r="C251" s="23"/>
      <c r="D251" s="24"/>
      <c r="E251" s="24"/>
      <c r="F251" s="25">
        <f t="shared" si="84"/>
        <v>0</v>
      </c>
      <c r="G251" s="24"/>
      <c r="H251" s="24"/>
      <c r="I251" s="25">
        <v>1</v>
      </c>
      <c r="J251" s="24"/>
      <c r="K251" s="24"/>
      <c r="L251" s="24"/>
      <c r="M251" s="26" t="str">
        <f t="shared" si="85"/>
        <v/>
      </c>
      <c r="N251" s="27">
        <f t="shared" si="86"/>
        <v>0</v>
      </c>
      <c r="T251">
        <f t="shared" si="73"/>
        <v>129</v>
      </c>
      <c r="U251">
        <f t="shared" si="87"/>
        <v>26053</v>
      </c>
      <c r="V251">
        <f t="shared" ca="1" si="88"/>
        <v>0</v>
      </c>
      <c r="W251">
        <v>59</v>
      </c>
      <c r="X251" t="str">
        <f t="shared" ca="1" si="89"/>
        <v/>
      </c>
      <c r="Y251" t="s">
        <v>9</v>
      </c>
      <c r="Z251">
        <f t="shared" ca="1" si="90"/>
        <v>0</v>
      </c>
      <c r="AA251" t="str">
        <f t="shared" ca="1" si="91"/>
        <v>SPPN</v>
      </c>
      <c r="AB251">
        <f t="shared" ca="1" si="92"/>
        <v>1</v>
      </c>
      <c r="AC251" t="str">
        <f t="shared" ca="1" si="93"/>
        <v/>
      </c>
      <c r="AD251" t="str">
        <f t="shared" si="74"/>
        <v>4093RN153</v>
      </c>
      <c r="AE251">
        <f t="shared" ca="1" si="94"/>
        <v>0</v>
      </c>
      <c r="AF251" t="str">
        <f t="shared" ca="1" si="95"/>
        <v/>
      </c>
      <c r="AG251">
        <v>59</v>
      </c>
      <c r="AH251" t="s">
        <v>136</v>
      </c>
      <c r="AI251" t="str">
        <f t="shared" si="75"/>
        <v>Lutheran Home 25</v>
      </c>
      <c r="AJ251" t="str">
        <f t="shared" si="76"/>
        <v>Green Bay</v>
      </c>
      <c r="AK251" t="str">
        <f t="shared" si="77"/>
        <v>WI</v>
      </c>
      <c r="AL251">
        <f t="shared" si="78"/>
        <v>4091142613</v>
      </c>
      <c r="AM251" t="str">
        <f t="shared" si="79"/>
        <v>4093RN153</v>
      </c>
      <c r="AN251" t="str">
        <f t="shared" si="80"/>
        <v/>
      </c>
      <c r="AO251" t="str">
        <f t="shared" si="81"/>
        <v>Pella</v>
      </c>
      <c r="AP251">
        <f t="shared" si="82"/>
        <v>54201</v>
      </c>
      <c r="AQ251">
        <f t="shared" ca="1" si="96"/>
        <v>0</v>
      </c>
      <c r="AR251" s="1">
        <f t="shared" si="83"/>
        <v>46135</v>
      </c>
      <c r="CB251" s="1"/>
    </row>
    <row r="252" spans="1:80" x14ac:dyDescent="0.25">
      <c r="A252" s="23"/>
      <c r="B252" s="23"/>
      <c r="C252" s="23"/>
      <c r="D252" s="24"/>
      <c r="E252" s="24"/>
      <c r="F252" s="25">
        <f t="shared" si="84"/>
        <v>0</v>
      </c>
      <c r="G252" s="24"/>
      <c r="H252" s="24"/>
      <c r="I252" s="25">
        <v>1</v>
      </c>
      <c r="J252" s="24"/>
      <c r="K252" s="24"/>
      <c r="L252" s="24"/>
      <c r="M252" s="26" t="str">
        <f t="shared" si="85"/>
        <v/>
      </c>
      <c r="N252" s="27">
        <f t="shared" si="86"/>
        <v>0</v>
      </c>
      <c r="T252">
        <f t="shared" si="73"/>
        <v>129</v>
      </c>
      <c r="U252">
        <f t="shared" si="87"/>
        <v>26053</v>
      </c>
      <c r="V252">
        <f t="shared" ca="1" si="88"/>
        <v>0</v>
      </c>
      <c r="W252">
        <v>59</v>
      </c>
      <c r="X252" t="str">
        <f t="shared" ca="1" si="89"/>
        <v/>
      </c>
      <c r="Y252" t="s">
        <v>33</v>
      </c>
      <c r="Z252">
        <f t="shared" ca="1" si="90"/>
        <v>0</v>
      </c>
      <c r="AA252" t="str">
        <f t="shared" ca="1" si="91"/>
        <v>SPPN</v>
      </c>
      <c r="AB252">
        <f t="shared" ca="1" si="92"/>
        <v>1</v>
      </c>
      <c r="AC252" t="str">
        <f t="shared" ca="1" si="93"/>
        <v/>
      </c>
      <c r="AD252" t="str">
        <f t="shared" si="74"/>
        <v>4093RN153</v>
      </c>
      <c r="AE252">
        <f t="shared" ca="1" si="94"/>
        <v>0</v>
      </c>
      <c r="AF252" t="str">
        <f t="shared" ca="1" si="95"/>
        <v/>
      </c>
      <c r="AG252">
        <v>59</v>
      </c>
      <c r="AH252" t="s">
        <v>136</v>
      </c>
      <c r="AI252" t="str">
        <f t="shared" si="75"/>
        <v>Lutheran Home 25</v>
      </c>
      <c r="AJ252" t="str">
        <f t="shared" si="76"/>
        <v>Green Bay</v>
      </c>
      <c r="AK252" t="str">
        <f t="shared" si="77"/>
        <v>WI</v>
      </c>
      <c r="AL252">
        <f t="shared" si="78"/>
        <v>4091142613</v>
      </c>
      <c r="AM252" t="str">
        <f t="shared" si="79"/>
        <v>4093RN153</v>
      </c>
      <c r="AN252" t="str">
        <f t="shared" si="80"/>
        <v/>
      </c>
      <c r="AO252" t="str">
        <f t="shared" si="81"/>
        <v>Pella</v>
      </c>
      <c r="AP252">
        <f t="shared" si="82"/>
        <v>54201</v>
      </c>
      <c r="AQ252">
        <f t="shared" ca="1" si="96"/>
        <v>0</v>
      </c>
      <c r="AR252" s="1">
        <f t="shared" si="83"/>
        <v>46135</v>
      </c>
      <c r="CB252" s="1"/>
    </row>
    <row r="253" spans="1:80" x14ac:dyDescent="0.25">
      <c r="A253" s="23"/>
      <c r="B253" s="23"/>
      <c r="C253" s="23"/>
      <c r="D253" s="24"/>
      <c r="E253" s="24"/>
      <c r="F253" s="25">
        <f t="shared" si="84"/>
        <v>0</v>
      </c>
      <c r="G253" s="24"/>
      <c r="H253" s="24"/>
      <c r="I253" s="25">
        <v>1</v>
      </c>
      <c r="J253" s="24"/>
      <c r="K253" s="24"/>
      <c r="L253" s="24"/>
      <c r="M253" s="26" t="str">
        <f t="shared" si="85"/>
        <v/>
      </c>
      <c r="N253" s="27">
        <f t="shared" si="86"/>
        <v>0</v>
      </c>
      <c r="T253">
        <f t="shared" si="73"/>
        <v>129</v>
      </c>
      <c r="U253">
        <f t="shared" si="87"/>
        <v>26053</v>
      </c>
      <c r="V253">
        <f t="shared" ca="1" si="88"/>
        <v>0</v>
      </c>
      <c r="W253">
        <v>59</v>
      </c>
      <c r="X253" t="str">
        <f t="shared" ca="1" si="89"/>
        <v/>
      </c>
      <c r="Y253" t="s">
        <v>28</v>
      </c>
      <c r="Z253">
        <f t="shared" ca="1" si="90"/>
        <v>0</v>
      </c>
      <c r="AA253" t="str">
        <f t="shared" ca="1" si="91"/>
        <v>SPPN</v>
      </c>
      <c r="AB253">
        <f t="shared" ca="1" si="92"/>
        <v>1</v>
      </c>
      <c r="AC253">
        <f t="shared" ca="1" si="93"/>
        <v>0</v>
      </c>
      <c r="AD253" t="str">
        <f t="shared" si="74"/>
        <v>4093RN153</v>
      </c>
      <c r="AE253">
        <f t="shared" ca="1" si="94"/>
        <v>0</v>
      </c>
      <c r="AF253" t="str">
        <f t="shared" ca="1" si="95"/>
        <v/>
      </c>
      <c r="AG253">
        <v>59</v>
      </c>
      <c r="AH253" t="s">
        <v>136</v>
      </c>
      <c r="AI253" t="str">
        <f t="shared" si="75"/>
        <v>Lutheran Home 25</v>
      </c>
      <c r="AJ253" t="str">
        <f t="shared" si="76"/>
        <v>Green Bay</v>
      </c>
      <c r="AK253" t="str">
        <f t="shared" si="77"/>
        <v>WI</v>
      </c>
      <c r="AL253">
        <f t="shared" si="78"/>
        <v>4091142613</v>
      </c>
      <c r="AM253" t="str">
        <f t="shared" si="79"/>
        <v>4093RN153</v>
      </c>
      <c r="AN253" t="str">
        <f t="shared" si="80"/>
        <v/>
      </c>
      <c r="AO253" t="str">
        <f t="shared" si="81"/>
        <v>Pella</v>
      </c>
      <c r="AP253">
        <f t="shared" si="82"/>
        <v>54201</v>
      </c>
      <c r="AQ253">
        <f t="shared" ca="1" si="96"/>
        <v>0</v>
      </c>
      <c r="AR253" s="1">
        <f t="shared" si="83"/>
        <v>46135</v>
      </c>
      <c r="CB253" s="1"/>
    </row>
    <row r="254" spans="1:80" x14ac:dyDescent="0.25">
      <c r="A254" s="23"/>
      <c r="B254" s="23"/>
      <c r="C254" s="23"/>
      <c r="D254" s="24"/>
      <c r="E254" s="24"/>
      <c r="F254" s="25">
        <f t="shared" si="84"/>
        <v>0</v>
      </c>
      <c r="G254" s="24"/>
      <c r="H254" s="24"/>
      <c r="I254" s="25">
        <v>1</v>
      </c>
      <c r="J254" s="24"/>
      <c r="K254" s="24"/>
      <c r="L254" s="24"/>
      <c r="M254" s="26" t="str">
        <f t="shared" si="85"/>
        <v/>
      </c>
      <c r="N254" s="27">
        <f t="shared" si="86"/>
        <v>0</v>
      </c>
      <c r="T254">
        <f t="shared" si="73"/>
        <v>129</v>
      </c>
      <c r="U254">
        <f t="shared" si="87"/>
        <v>26053</v>
      </c>
      <c r="V254">
        <f t="shared" ca="1" si="88"/>
        <v>0</v>
      </c>
      <c r="W254">
        <v>59</v>
      </c>
      <c r="X254" t="str">
        <f t="shared" ca="1" si="89"/>
        <v/>
      </c>
      <c r="Y254" t="s">
        <v>32</v>
      </c>
      <c r="Z254">
        <f t="shared" ca="1" si="90"/>
        <v>0</v>
      </c>
      <c r="AA254" t="str">
        <f t="shared" ca="1" si="91"/>
        <v>SPPN</v>
      </c>
      <c r="AB254">
        <f t="shared" ca="1" si="92"/>
        <v>1</v>
      </c>
      <c r="AC254">
        <f t="shared" ca="1" si="93"/>
        <v>0</v>
      </c>
      <c r="AD254" t="str">
        <f t="shared" si="74"/>
        <v>4093RN153</v>
      </c>
      <c r="AE254">
        <f t="shared" ca="1" si="94"/>
        <v>0</v>
      </c>
      <c r="AF254" t="str">
        <f t="shared" ca="1" si="95"/>
        <v/>
      </c>
      <c r="AG254">
        <v>59</v>
      </c>
      <c r="AH254" t="s">
        <v>136</v>
      </c>
      <c r="AI254" t="str">
        <f t="shared" si="75"/>
        <v>Lutheran Home 25</v>
      </c>
      <c r="AJ254" t="str">
        <f t="shared" si="76"/>
        <v>Green Bay</v>
      </c>
      <c r="AK254" t="str">
        <f t="shared" si="77"/>
        <v>WI</v>
      </c>
      <c r="AL254">
        <f t="shared" si="78"/>
        <v>4091142613</v>
      </c>
      <c r="AM254" t="str">
        <f t="shared" si="79"/>
        <v>4093RN153</v>
      </c>
      <c r="AN254" t="str">
        <f t="shared" si="80"/>
        <v/>
      </c>
      <c r="AO254" t="str">
        <f t="shared" si="81"/>
        <v>Pella</v>
      </c>
      <c r="AP254">
        <f t="shared" si="82"/>
        <v>54201</v>
      </c>
      <c r="AQ254">
        <f t="shared" ca="1" si="96"/>
        <v>0</v>
      </c>
      <c r="AR254" s="1">
        <f t="shared" si="83"/>
        <v>46135</v>
      </c>
      <c r="CB254" s="1"/>
    </row>
    <row r="255" spans="1:80" x14ac:dyDescent="0.25">
      <c r="A255" s="23"/>
      <c r="B255" s="23"/>
      <c r="C255" s="23"/>
      <c r="D255" s="24"/>
      <c r="E255" s="24"/>
      <c r="F255" s="25">
        <f t="shared" si="84"/>
        <v>0</v>
      </c>
      <c r="G255" s="24"/>
      <c r="H255" s="24"/>
      <c r="I255" s="25">
        <v>1</v>
      </c>
      <c r="J255" s="24"/>
      <c r="K255" s="24"/>
      <c r="L255" s="24"/>
      <c r="M255" s="26" t="str">
        <f t="shared" si="85"/>
        <v/>
      </c>
      <c r="N255" s="27">
        <f t="shared" si="86"/>
        <v>0</v>
      </c>
      <c r="T255">
        <f t="shared" si="73"/>
        <v>129</v>
      </c>
      <c r="U255">
        <f t="shared" si="87"/>
        <v>26053</v>
      </c>
      <c r="V255">
        <f t="shared" ca="1" si="88"/>
        <v>0</v>
      </c>
      <c r="W255">
        <v>60</v>
      </c>
      <c r="X255" t="str">
        <f t="shared" ca="1" si="89"/>
        <v/>
      </c>
      <c r="Y255" t="s">
        <v>9</v>
      </c>
      <c r="Z255">
        <f t="shared" ca="1" si="90"/>
        <v>0</v>
      </c>
      <c r="AA255" t="str">
        <f t="shared" ca="1" si="91"/>
        <v>SPPN</v>
      </c>
      <c r="AB255">
        <f t="shared" ca="1" si="92"/>
        <v>1</v>
      </c>
      <c r="AC255" t="str">
        <f t="shared" ca="1" si="93"/>
        <v/>
      </c>
      <c r="AD255" t="str">
        <f t="shared" si="74"/>
        <v>4093RN153</v>
      </c>
      <c r="AE255">
        <f t="shared" ca="1" si="94"/>
        <v>0</v>
      </c>
      <c r="AF255" t="str">
        <f t="shared" ca="1" si="95"/>
        <v/>
      </c>
      <c r="AG255">
        <v>60</v>
      </c>
      <c r="AH255" t="s">
        <v>136</v>
      </c>
      <c r="AI255" t="str">
        <f t="shared" si="75"/>
        <v>Lutheran Home 25</v>
      </c>
      <c r="AJ255" t="str">
        <f t="shared" si="76"/>
        <v>Green Bay</v>
      </c>
      <c r="AK255" t="str">
        <f t="shared" si="77"/>
        <v>WI</v>
      </c>
      <c r="AL255">
        <f t="shared" si="78"/>
        <v>4091142613</v>
      </c>
      <c r="AM255" t="str">
        <f t="shared" si="79"/>
        <v>4093RN153</v>
      </c>
      <c r="AN255" t="str">
        <f t="shared" si="80"/>
        <v/>
      </c>
      <c r="AO255" t="str">
        <f t="shared" si="81"/>
        <v>Pella</v>
      </c>
      <c r="AP255">
        <f t="shared" si="82"/>
        <v>54201</v>
      </c>
      <c r="AQ255">
        <f t="shared" ca="1" si="96"/>
        <v>0</v>
      </c>
      <c r="AR255" s="1">
        <f t="shared" si="83"/>
        <v>46135</v>
      </c>
      <c r="CB255" s="1"/>
    </row>
    <row r="256" spans="1:80" x14ac:dyDescent="0.25">
      <c r="A256" s="23"/>
      <c r="B256" s="23"/>
      <c r="C256" s="23"/>
      <c r="D256" s="24"/>
      <c r="E256" s="24"/>
      <c r="F256" s="25">
        <f t="shared" si="84"/>
        <v>0</v>
      </c>
      <c r="G256" s="24"/>
      <c r="H256" s="24"/>
      <c r="I256" s="25">
        <v>1</v>
      </c>
      <c r="J256" s="24"/>
      <c r="K256" s="24"/>
      <c r="L256" s="24"/>
      <c r="M256" s="26" t="str">
        <f t="shared" si="85"/>
        <v/>
      </c>
      <c r="N256" s="27">
        <f t="shared" si="86"/>
        <v>0</v>
      </c>
      <c r="T256">
        <f t="shared" si="73"/>
        <v>129</v>
      </c>
      <c r="U256">
        <f t="shared" si="87"/>
        <v>26053</v>
      </c>
      <c r="V256">
        <f t="shared" ca="1" si="88"/>
        <v>0</v>
      </c>
      <c r="W256">
        <v>60</v>
      </c>
      <c r="X256" t="str">
        <f t="shared" ca="1" si="89"/>
        <v/>
      </c>
      <c r="Y256" t="s">
        <v>33</v>
      </c>
      <c r="Z256">
        <f t="shared" ca="1" si="90"/>
        <v>0</v>
      </c>
      <c r="AA256" t="str">
        <f t="shared" ca="1" si="91"/>
        <v>SPPN</v>
      </c>
      <c r="AB256">
        <f t="shared" ca="1" si="92"/>
        <v>1</v>
      </c>
      <c r="AC256" t="str">
        <f t="shared" ca="1" si="93"/>
        <v/>
      </c>
      <c r="AD256" t="str">
        <f t="shared" si="74"/>
        <v>4093RN153</v>
      </c>
      <c r="AE256">
        <f t="shared" ca="1" si="94"/>
        <v>0</v>
      </c>
      <c r="AF256" t="str">
        <f t="shared" ca="1" si="95"/>
        <v/>
      </c>
      <c r="AG256">
        <v>60</v>
      </c>
      <c r="AH256" t="s">
        <v>136</v>
      </c>
      <c r="AI256" t="str">
        <f t="shared" si="75"/>
        <v>Lutheran Home 25</v>
      </c>
      <c r="AJ256" t="str">
        <f t="shared" si="76"/>
        <v>Green Bay</v>
      </c>
      <c r="AK256" t="str">
        <f t="shared" si="77"/>
        <v>WI</v>
      </c>
      <c r="AL256">
        <f t="shared" si="78"/>
        <v>4091142613</v>
      </c>
      <c r="AM256" t="str">
        <f t="shared" si="79"/>
        <v>4093RN153</v>
      </c>
      <c r="AN256" t="str">
        <f t="shared" si="80"/>
        <v/>
      </c>
      <c r="AO256" t="str">
        <f t="shared" si="81"/>
        <v>Pella</v>
      </c>
      <c r="AP256">
        <f t="shared" si="82"/>
        <v>54201</v>
      </c>
      <c r="AQ256">
        <f t="shared" ca="1" si="96"/>
        <v>0</v>
      </c>
      <c r="AR256" s="1">
        <f t="shared" si="83"/>
        <v>46135</v>
      </c>
      <c r="CB256" s="1"/>
    </row>
    <row r="257" spans="1:80" x14ac:dyDescent="0.25">
      <c r="A257" s="23"/>
      <c r="B257" s="23"/>
      <c r="C257" s="23"/>
      <c r="D257" s="24"/>
      <c r="E257" s="24"/>
      <c r="F257" s="25">
        <f t="shared" si="84"/>
        <v>0</v>
      </c>
      <c r="G257" s="24"/>
      <c r="H257" s="24"/>
      <c r="I257" s="25">
        <v>1</v>
      </c>
      <c r="J257" s="24"/>
      <c r="K257" s="24"/>
      <c r="L257" s="24"/>
      <c r="M257" s="26" t="str">
        <f t="shared" si="85"/>
        <v/>
      </c>
      <c r="N257" s="27">
        <f t="shared" si="86"/>
        <v>0</v>
      </c>
      <c r="T257">
        <f t="shared" si="73"/>
        <v>129</v>
      </c>
      <c r="U257">
        <f t="shared" si="87"/>
        <v>26053</v>
      </c>
      <c r="V257">
        <f t="shared" ca="1" si="88"/>
        <v>0</v>
      </c>
      <c r="W257">
        <v>60</v>
      </c>
      <c r="X257" t="str">
        <f t="shared" ca="1" si="89"/>
        <v/>
      </c>
      <c r="Y257" t="s">
        <v>28</v>
      </c>
      <c r="Z257">
        <f t="shared" ca="1" si="90"/>
        <v>0</v>
      </c>
      <c r="AA257" t="str">
        <f t="shared" ca="1" si="91"/>
        <v>SPPN</v>
      </c>
      <c r="AB257">
        <f t="shared" ca="1" si="92"/>
        <v>1</v>
      </c>
      <c r="AC257">
        <f t="shared" ca="1" si="93"/>
        <v>0</v>
      </c>
      <c r="AD257" t="str">
        <f t="shared" si="74"/>
        <v>4093RN153</v>
      </c>
      <c r="AE257">
        <f t="shared" ca="1" si="94"/>
        <v>0</v>
      </c>
      <c r="AF257" t="str">
        <f t="shared" ca="1" si="95"/>
        <v/>
      </c>
      <c r="AG257">
        <v>60</v>
      </c>
      <c r="AH257" t="s">
        <v>136</v>
      </c>
      <c r="AI257" t="str">
        <f t="shared" si="75"/>
        <v>Lutheran Home 25</v>
      </c>
      <c r="AJ257" t="str">
        <f t="shared" si="76"/>
        <v>Green Bay</v>
      </c>
      <c r="AK257" t="str">
        <f t="shared" si="77"/>
        <v>WI</v>
      </c>
      <c r="AL257">
        <f t="shared" si="78"/>
        <v>4091142613</v>
      </c>
      <c r="AM257" t="str">
        <f t="shared" si="79"/>
        <v>4093RN153</v>
      </c>
      <c r="AN257" t="str">
        <f t="shared" si="80"/>
        <v/>
      </c>
      <c r="AO257" t="str">
        <f t="shared" si="81"/>
        <v>Pella</v>
      </c>
      <c r="AP257">
        <f t="shared" si="82"/>
        <v>54201</v>
      </c>
      <c r="AQ257">
        <f t="shared" ca="1" si="96"/>
        <v>0</v>
      </c>
      <c r="AR257" s="1">
        <f t="shared" si="83"/>
        <v>46135</v>
      </c>
      <c r="CB257" s="1"/>
    </row>
    <row r="258" spans="1:80" x14ac:dyDescent="0.25">
      <c r="A258" s="23"/>
      <c r="B258" s="23"/>
      <c r="C258" s="23"/>
      <c r="D258" s="24"/>
      <c r="E258" s="24"/>
      <c r="F258" s="25">
        <f t="shared" si="84"/>
        <v>0</v>
      </c>
      <c r="G258" s="24"/>
      <c r="H258" s="24"/>
      <c r="I258" s="25">
        <v>1</v>
      </c>
      <c r="J258" s="24"/>
      <c r="K258" s="24"/>
      <c r="L258" s="24"/>
      <c r="M258" s="26" t="str">
        <f t="shared" si="85"/>
        <v/>
      </c>
      <c r="N258" s="27">
        <f t="shared" si="86"/>
        <v>0</v>
      </c>
      <c r="T258">
        <f t="shared" si="73"/>
        <v>129</v>
      </c>
      <c r="U258">
        <f t="shared" si="87"/>
        <v>26053</v>
      </c>
      <c r="V258">
        <f t="shared" ca="1" si="88"/>
        <v>0</v>
      </c>
      <c r="W258">
        <v>60</v>
      </c>
      <c r="X258" t="str">
        <f t="shared" ca="1" si="89"/>
        <v/>
      </c>
      <c r="Y258" t="s">
        <v>32</v>
      </c>
      <c r="Z258">
        <f t="shared" ca="1" si="90"/>
        <v>0</v>
      </c>
      <c r="AA258" t="str">
        <f t="shared" ca="1" si="91"/>
        <v>SPPN</v>
      </c>
      <c r="AB258">
        <f t="shared" ca="1" si="92"/>
        <v>1</v>
      </c>
      <c r="AC258">
        <f t="shared" ca="1" si="93"/>
        <v>0</v>
      </c>
      <c r="AD258" t="str">
        <f t="shared" si="74"/>
        <v>4093RN153</v>
      </c>
      <c r="AE258">
        <f t="shared" ca="1" si="94"/>
        <v>0</v>
      </c>
      <c r="AF258" t="str">
        <f t="shared" ca="1" si="95"/>
        <v/>
      </c>
      <c r="AG258">
        <v>60</v>
      </c>
      <c r="AH258" t="s">
        <v>136</v>
      </c>
      <c r="AI258" t="str">
        <f t="shared" si="75"/>
        <v>Lutheran Home 25</v>
      </c>
      <c r="AJ258" t="str">
        <f t="shared" si="76"/>
        <v>Green Bay</v>
      </c>
      <c r="AK258" t="str">
        <f t="shared" si="77"/>
        <v>WI</v>
      </c>
      <c r="AL258">
        <f t="shared" si="78"/>
        <v>4091142613</v>
      </c>
      <c r="AM258" t="str">
        <f t="shared" si="79"/>
        <v>4093RN153</v>
      </c>
      <c r="AN258" t="str">
        <f t="shared" si="80"/>
        <v/>
      </c>
      <c r="AO258" t="str">
        <f t="shared" si="81"/>
        <v>Pella</v>
      </c>
      <c r="AP258">
        <f t="shared" si="82"/>
        <v>54201</v>
      </c>
      <c r="AQ258">
        <f t="shared" ca="1" si="96"/>
        <v>0</v>
      </c>
      <c r="AR258" s="1">
        <f t="shared" si="83"/>
        <v>46135</v>
      </c>
      <c r="CB258" s="1"/>
    </row>
    <row r="259" spans="1:80" x14ac:dyDescent="0.25">
      <c r="R259">
        <v>1</v>
      </c>
      <c r="S259">
        <v>1</v>
      </c>
      <c r="T259">
        <f t="shared" si="73"/>
        <v>129</v>
      </c>
      <c r="U259">
        <f t="shared" si="87"/>
        <v>26053</v>
      </c>
      <c r="V259">
        <f t="shared" ca="1" si="88"/>
        <v>0</v>
      </c>
      <c r="W259">
        <v>61</v>
      </c>
      <c r="X259" t="str">
        <f t="shared" ca="1" si="89"/>
        <v/>
      </c>
      <c r="Y259" t="s">
        <v>9</v>
      </c>
      <c r="Z259">
        <f t="shared" ca="1" si="90"/>
        <v>0</v>
      </c>
      <c r="AA259" t="str">
        <f t="shared" ca="1" si="91"/>
        <v>SPPN</v>
      </c>
      <c r="AB259">
        <f t="shared" ca="1" si="92"/>
        <v>1</v>
      </c>
      <c r="AC259" t="str">
        <f t="shared" ca="1" si="93"/>
        <v/>
      </c>
      <c r="AD259" t="str">
        <f t="shared" si="74"/>
        <v>4093RN153</v>
      </c>
      <c r="AE259">
        <f t="shared" ca="1" si="94"/>
        <v>0</v>
      </c>
      <c r="AF259" t="str">
        <f t="shared" ca="1" si="95"/>
        <v/>
      </c>
      <c r="AG259">
        <v>61</v>
      </c>
      <c r="AH259" t="s">
        <v>136</v>
      </c>
      <c r="AI259" t="str">
        <f t="shared" si="75"/>
        <v>Lutheran Home 25</v>
      </c>
      <c r="AJ259" t="str">
        <f t="shared" si="76"/>
        <v>Green Bay</v>
      </c>
      <c r="AK259" t="str">
        <f t="shared" si="77"/>
        <v>WI</v>
      </c>
    </row>
    <row r="260" spans="1:80" x14ac:dyDescent="0.25">
      <c r="S260">
        <v>2</v>
      </c>
      <c r="T260">
        <f t="shared" si="73"/>
        <v>129</v>
      </c>
      <c r="U260">
        <f t="shared" si="87"/>
        <v>26053</v>
      </c>
      <c r="V260">
        <f t="shared" ca="1" si="88"/>
        <v>0</v>
      </c>
      <c r="W260">
        <v>61</v>
      </c>
      <c r="X260" t="str">
        <f t="shared" ca="1" si="89"/>
        <v/>
      </c>
      <c r="Y260" t="s">
        <v>33</v>
      </c>
      <c r="Z260">
        <f t="shared" ca="1" si="90"/>
        <v>0</v>
      </c>
      <c r="AA260" t="str">
        <f t="shared" ca="1" si="91"/>
        <v>SPPN</v>
      </c>
      <c r="AB260">
        <f t="shared" ca="1" si="92"/>
        <v>1</v>
      </c>
      <c r="AC260" t="str">
        <f t="shared" ca="1" si="93"/>
        <v/>
      </c>
      <c r="AD260" t="str">
        <f t="shared" si="74"/>
        <v>4093RN153</v>
      </c>
      <c r="AE260">
        <f t="shared" ca="1" si="94"/>
        <v>0</v>
      </c>
      <c r="AF260" t="str">
        <f t="shared" ca="1" si="95"/>
        <v/>
      </c>
      <c r="AG260">
        <v>61</v>
      </c>
      <c r="AH260" t="s">
        <v>136</v>
      </c>
      <c r="AI260" t="str">
        <f t="shared" si="75"/>
        <v>Lutheran Home 25</v>
      </c>
      <c r="AJ260" t="str">
        <f t="shared" si="76"/>
        <v>Green Bay</v>
      </c>
      <c r="AK260" t="str">
        <f t="shared" si="77"/>
        <v>WI</v>
      </c>
    </row>
    <row r="261" spans="1:80" x14ac:dyDescent="0.25">
      <c r="S261">
        <v>3</v>
      </c>
      <c r="T261">
        <f t="shared" si="73"/>
        <v>129</v>
      </c>
      <c r="U261">
        <f t="shared" si="87"/>
        <v>26053</v>
      </c>
      <c r="V261">
        <f t="shared" ca="1" si="88"/>
        <v>0</v>
      </c>
      <c r="W261">
        <v>61</v>
      </c>
      <c r="X261" t="str">
        <f t="shared" ca="1" si="89"/>
        <v/>
      </c>
      <c r="Y261" t="s">
        <v>28</v>
      </c>
      <c r="Z261">
        <f t="shared" ca="1" si="90"/>
        <v>0</v>
      </c>
      <c r="AA261" t="str">
        <f t="shared" ca="1" si="91"/>
        <v>SPPN</v>
      </c>
      <c r="AB261">
        <f t="shared" ca="1" si="92"/>
        <v>1</v>
      </c>
      <c r="AC261">
        <f t="shared" ca="1" si="93"/>
        <v>0</v>
      </c>
      <c r="AD261" t="str">
        <f t="shared" si="74"/>
        <v>4093RN153</v>
      </c>
      <c r="AE261">
        <f t="shared" ca="1" si="94"/>
        <v>0</v>
      </c>
      <c r="AF261" t="str">
        <f t="shared" ca="1" si="95"/>
        <v/>
      </c>
      <c r="AG261">
        <v>61</v>
      </c>
      <c r="AH261" t="s">
        <v>136</v>
      </c>
      <c r="AI261" t="str">
        <f t="shared" si="75"/>
        <v>Lutheran Home 25</v>
      </c>
      <c r="AJ261" t="str">
        <f t="shared" si="76"/>
        <v>Green Bay</v>
      </c>
      <c r="AK261" t="str">
        <f t="shared" si="77"/>
        <v>WI</v>
      </c>
    </row>
    <row r="262" spans="1:80" x14ac:dyDescent="0.25">
      <c r="S262">
        <v>4</v>
      </c>
      <c r="T262">
        <f t="shared" si="73"/>
        <v>129</v>
      </c>
      <c r="U262">
        <f t="shared" si="87"/>
        <v>26053</v>
      </c>
      <c r="V262">
        <f t="shared" ca="1" si="88"/>
        <v>0</v>
      </c>
      <c r="W262">
        <v>61</v>
      </c>
      <c r="X262" t="str">
        <f t="shared" ca="1" si="89"/>
        <v/>
      </c>
      <c r="Y262" t="s">
        <v>32</v>
      </c>
      <c r="Z262">
        <f t="shared" ca="1" si="90"/>
        <v>0</v>
      </c>
      <c r="AA262" t="str">
        <f t="shared" ca="1" si="91"/>
        <v>SPPN</v>
      </c>
      <c r="AB262">
        <f t="shared" ca="1" si="92"/>
        <v>1</v>
      </c>
      <c r="AC262">
        <f t="shared" ca="1" si="93"/>
        <v>0</v>
      </c>
      <c r="AD262" t="str">
        <f t="shared" si="74"/>
        <v>4093RN153</v>
      </c>
      <c r="AE262">
        <f t="shared" ca="1" si="94"/>
        <v>0</v>
      </c>
      <c r="AF262" t="str">
        <f t="shared" ca="1" si="95"/>
        <v/>
      </c>
      <c r="AG262">
        <v>61</v>
      </c>
      <c r="AH262" t="s">
        <v>136</v>
      </c>
      <c r="AI262" t="str">
        <f t="shared" si="75"/>
        <v>Lutheran Home 25</v>
      </c>
      <c r="AJ262" t="str">
        <f t="shared" si="76"/>
        <v>Green Bay</v>
      </c>
      <c r="AK262" t="str">
        <f t="shared" si="77"/>
        <v>WI</v>
      </c>
    </row>
    <row r="263" spans="1:80" x14ac:dyDescent="0.25">
      <c r="R263">
        <v>1</v>
      </c>
      <c r="S263">
        <v>5</v>
      </c>
      <c r="T263">
        <f t="shared" si="73"/>
        <v>129</v>
      </c>
      <c r="U263">
        <f t="shared" si="87"/>
        <v>26053</v>
      </c>
      <c r="V263">
        <f t="shared" ca="1" si="88"/>
        <v>0</v>
      </c>
      <c r="W263">
        <v>62</v>
      </c>
      <c r="X263" t="str">
        <f t="shared" ca="1" si="89"/>
        <v/>
      </c>
      <c r="Y263" t="s">
        <v>9</v>
      </c>
      <c r="Z263">
        <f t="shared" ca="1" si="90"/>
        <v>0</v>
      </c>
      <c r="AA263" t="str">
        <f t="shared" ca="1" si="91"/>
        <v>SPPN</v>
      </c>
      <c r="AB263">
        <f t="shared" ca="1" si="92"/>
        <v>1</v>
      </c>
      <c r="AC263" t="str">
        <f t="shared" ca="1" si="93"/>
        <v/>
      </c>
      <c r="AD263" t="str">
        <f t="shared" si="74"/>
        <v>4093RN153</v>
      </c>
      <c r="AE263">
        <f t="shared" ca="1" si="94"/>
        <v>0</v>
      </c>
      <c r="AF263" t="str">
        <f t="shared" ca="1" si="95"/>
        <v/>
      </c>
      <c r="AG263">
        <v>62</v>
      </c>
      <c r="AH263" t="s">
        <v>136</v>
      </c>
      <c r="AI263" t="str">
        <f t="shared" si="75"/>
        <v>Lutheran Home 25</v>
      </c>
      <c r="AJ263" t="str">
        <f t="shared" si="76"/>
        <v>Green Bay</v>
      </c>
      <c r="AK263" t="str">
        <f t="shared" si="77"/>
        <v>WI</v>
      </c>
    </row>
    <row r="264" spans="1:80" x14ac:dyDescent="0.25">
      <c r="S264">
        <v>6</v>
      </c>
      <c r="T264">
        <f t="shared" si="73"/>
        <v>129</v>
      </c>
      <c r="U264">
        <f t="shared" si="87"/>
        <v>26053</v>
      </c>
      <c r="V264">
        <f t="shared" ca="1" si="88"/>
        <v>0</v>
      </c>
      <c r="W264">
        <v>62</v>
      </c>
      <c r="X264" t="str">
        <f t="shared" ca="1" si="89"/>
        <v/>
      </c>
      <c r="Y264" t="s">
        <v>33</v>
      </c>
      <c r="Z264">
        <f t="shared" ca="1" si="90"/>
        <v>0</v>
      </c>
      <c r="AA264" t="str">
        <f t="shared" ca="1" si="91"/>
        <v>SPPN</v>
      </c>
      <c r="AB264">
        <f t="shared" ca="1" si="92"/>
        <v>1</v>
      </c>
      <c r="AC264" t="str">
        <f t="shared" ca="1" si="93"/>
        <v/>
      </c>
      <c r="AD264" t="str">
        <f t="shared" si="74"/>
        <v>4093RN153</v>
      </c>
      <c r="AE264">
        <f t="shared" ca="1" si="94"/>
        <v>0</v>
      </c>
      <c r="AF264" t="str">
        <f t="shared" ca="1" si="95"/>
        <v/>
      </c>
      <c r="AG264">
        <v>62</v>
      </c>
      <c r="AH264" t="s">
        <v>136</v>
      </c>
      <c r="AI264" t="str">
        <f t="shared" si="75"/>
        <v>Lutheran Home 25</v>
      </c>
      <c r="AJ264" t="str">
        <f t="shared" si="76"/>
        <v>Green Bay</v>
      </c>
      <c r="AK264" t="str">
        <f t="shared" si="77"/>
        <v>WI</v>
      </c>
    </row>
    <row r="265" spans="1:80" x14ac:dyDescent="0.25">
      <c r="S265">
        <v>7</v>
      </c>
      <c r="T265">
        <f t="shared" si="73"/>
        <v>129</v>
      </c>
      <c r="U265">
        <f t="shared" si="87"/>
        <v>26053</v>
      </c>
      <c r="V265">
        <f t="shared" ca="1" si="88"/>
        <v>0</v>
      </c>
      <c r="W265">
        <v>62</v>
      </c>
      <c r="X265" t="str">
        <f t="shared" ca="1" si="89"/>
        <v/>
      </c>
      <c r="Y265" t="s">
        <v>28</v>
      </c>
      <c r="Z265">
        <f t="shared" ca="1" si="90"/>
        <v>0</v>
      </c>
      <c r="AA265" t="str">
        <f t="shared" ca="1" si="91"/>
        <v>SPPN</v>
      </c>
      <c r="AB265">
        <f t="shared" ca="1" si="92"/>
        <v>1</v>
      </c>
      <c r="AC265">
        <f t="shared" ca="1" si="93"/>
        <v>0</v>
      </c>
      <c r="AD265" t="str">
        <f t="shared" si="74"/>
        <v>4093RN153</v>
      </c>
      <c r="AE265">
        <f t="shared" ca="1" si="94"/>
        <v>0</v>
      </c>
      <c r="AF265" t="str">
        <f t="shared" ca="1" si="95"/>
        <v/>
      </c>
      <c r="AG265">
        <v>62</v>
      </c>
      <c r="AH265" t="s">
        <v>136</v>
      </c>
      <c r="AI265" t="str">
        <f t="shared" si="75"/>
        <v>Lutheran Home 25</v>
      </c>
      <c r="AJ265" t="str">
        <f t="shared" si="76"/>
        <v>Green Bay</v>
      </c>
      <c r="AK265" t="str">
        <f t="shared" si="77"/>
        <v>WI</v>
      </c>
    </row>
    <row r="266" spans="1:80" x14ac:dyDescent="0.25">
      <c r="E266" s="5">
        <f>258-78</f>
        <v>180</v>
      </c>
      <c r="F266" s="5">
        <f>E266*4</f>
        <v>720</v>
      </c>
      <c r="S266">
        <v>8</v>
      </c>
      <c r="T266">
        <f t="shared" si="73"/>
        <v>129</v>
      </c>
      <c r="U266">
        <f t="shared" si="87"/>
        <v>26053</v>
      </c>
      <c r="V266">
        <f t="shared" ca="1" si="88"/>
        <v>0</v>
      </c>
      <c r="W266">
        <v>62</v>
      </c>
      <c r="X266" t="str">
        <f t="shared" ca="1" si="89"/>
        <v/>
      </c>
      <c r="Y266" t="s">
        <v>32</v>
      </c>
      <c r="Z266">
        <f t="shared" ca="1" si="90"/>
        <v>0</v>
      </c>
      <c r="AA266" t="str">
        <f t="shared" ca="1" si="91"/>
        <v>SPPN</v>
      </c>
      <c r="AB266">
        <f t="shared" ca="1" si="92"/>
        <v>1</v>
      </c>
      <c r="AC266">
        <f t="shared" ca="1" si="93"/>
        <v>0</v>
      </c>
      <c r="AD266" t="str">
        <f t="shared" si="74"/>
        <v>4093RN153</v>
      </c>
      <c r="AE266">
        <f t="shared" ca="1" si="94"/>
        <v>0</v>
      </c>
      <c r="AF266" t="str">
        <f t="shared" ca="1" si="95"/>
        <v/>
      </c>
      <c r="AG266">
        <v>62</v>
      </c>
      <c r="AH266" t="s">
        <v>136</v>
      </c>
      <c r="AI266" t="str">
        <f t="shared" si="75"/>
        <v>Lutheran Home 25</v>
      </c>
      <c r="AJ266" t="str">
        <f t="shared" si="76"/>
        <v>Green Bay</v>
      </c>
      <c r="AK266" t="str">
        <f t="shared" si="77"/>
        <v>WI</v>
      </c>
    </row>
    <row r="267" spans="1:80" x14ac:dyDescent="0.25">
      <c r="R267">
        <v>1</v>
      </c>
      <c r="S267">
        <v>9</v>
      </c>
      <c r="T267">
        <f t="shared" si="73"/>
        <v>129</v>
      </c>
      <c r="U267">
        <f t="shared" si="87"/>
        <v>26053</v>
      </c>
      <c r="V267">
        <f t="shared" ca="1" si="88"/>
        <v>0</v>
      </c>
      <c r="W267">
        <v>63</v>
      </c>
      <c r="X267" t="str">
        <f t="shared" ca="1" si="89"/>
        <v/>
      </c>
      <c r="Y267" t="s">
        <v>9</v>
      </c>
      <c r="Z267">
        <f t="shared" ca="1" si="90"/>
        <v>0</v>
      </c>
      <c r="AA267" t="str">
        <f t="shared" ca="1" si="91"/>
        <v>SPPN</v>
      </c>
      <c r="AB267">
        <f t="shared" ca="1" si="92"/>
        <v>1</v>
      </c>
      <c r="AC267" t="str">
        <f t="shared" ca="1" si="93"/>
        <v/>
      </c>
      <c r="AD267" t="str">
        <f t="shared" si="74"/>
        <v>4093RN153</v>
      </c>
      <c r="AE267">
        <f t="shared" ca="1" si="94"/>
        <v>0</v>
      </c>
      <c r="AF267" t="str">
        <f t="shared" ca="1" si="95"/>
        <v/>
      </c>
      <c r="AG267">
        <v>63</v>
      </c>
      <c r="AH267" t="s">
        <v>136</v>
      </c>
      <c r="AI267" t="str">
        <f t="shared" si="75"/>
        <v>Lutheran Home 25</v>
      </c>
      <c r="AJ267" t="str">
        <f t="shared" si="76"/>
        <v>Green Bay</v>
      </c>
      <c r="AK267" t="str">
        <f t="shared" si="77"/>
        <v>WI</v>
      </c>
    </row>
    <row r="268" spans="1:80" x14ac:dyDescent="0.25">
      <c r="S268">
        <v>10</v>
      </c>
      <c r="T268">
        <f t="shared" si="73"/>
        <v>129</v>
      </c>
      <c r="U268">
        <f t="shared" si="87"/>
        <v>26053</v>
      </c>
      <c r="V268">
        <f t="shared" ca="1" si="88"/>
        <v>0</v>
      </c>
      <c r="W268">
        <v>63</v>
      </c>
      <c r="X268" t="str">
        <f t="shared" ca="1" si="89"/>
        <v/>
      </c>
      <c r="Y268" t="s">
        <v>33</v>
      </c>
      <c r="Z268">
        <f t="shared" ca="1" si="90"/>
        <v>0</v>
      </c>
      <c r="AA268" t="str">
        <f t="shared" ca="1" si="91"/>
        <v>SPPN</v>
      </c>
      <c r="AB268">
        <f t="shared" ca="1" si="92"/>
        <v>1</v>
      </c>
      <c r="AC268" t="str">
        <f t="shared" ca="1" si="93"/>
        <v/>
      </c>
      <c r="AD268" t="str">
        <f t="shared" si="74"/>
        <v>4093RN153</v>
      </c>
      <c r="AE268">
        <f t="shared" ca="1" si="94"/>
        <v>0</v>
      </c>
      <c r="AF268" t="str">
        <f t="shared" ca="1" si="95"/>
        <v/>
      </c>
      <c r="AG268">
        <v>63</v>
      </c>
      <c r="AH268" t="s">
        <v>136</v>
      </c>
      <c r="AI268" t="str">
        <f t="shared" si="75"/>
        <v>Lutheran Home 25</v>
      </c>
      <c r="AJ268" t="str">
        <f t="shared" si="76"/>
        <v>Green Bay</v>
      </c>
      <c r="AK268" t="str">
        <f t="shared" si="77"/>
        <v>WI</v>
      </c>
    </row>
    <row r="269" spans="1:80" x14ac:dyDescent="0.25">
      <c r="S269">
        <v>11</v>
      </c>
      <c r="T269">
        <f t="shared" si="73"/>
        <v>129</v>
      </c>
      <c r="U269">
        <f t="shared" si="87"/>
        <v>26053</v>
      </c>
      <c r="V269">
        <f t="shared" ca="1" si="88"/>
        <v>0</v>
      </c>
      <c r="W269">
        <v>63</v>
      </c>
      <c r="X269" t="str">
        <f t="shared" ca="1" si="89"/>
        <v/>
      </c>
      <c r="Y269" t="s">
        <v>28</v>
      </c>
      <c r="Z269">
        <f t="shared" ca="1" si="90"/>
        <v>0</v>
      </c>
      <c r="AA269" t="str">
        <f t="shared" ca="1" si="91"/>
        <v>SPPN</v>
      </c>
      <c r="AB269">
        <f t="shared" ca="1" si="92"/>
        <v>1</v>
      </c>
      <c r="AC269">
        <f t="shared" ca="1" si="93"/>
        <v>0</v>
      </c>
      <c r="AD269" t="str">
        <f t="shared" si="74"/>
        <v>4093RN153</v>
      </c>
      <c r="AE269">
        <f t="shared" ca="1" si="94"/>
        <v>0</v>
      </c>
      <c r="AF269" t="str">
        <f t="shared" ca="1" si="95"/>
        <v/>
      </c>
      <c r="AG269">
        <v>63</v>
      </c>
      <c r="AH269" t="s">
        <v>136</v>
      </c>
      <c r="AI269" t="str">
        <f t="shared" si="75"/>
        <v>Lutheran Home 25</v>
      </c>
      <c r="AJ269" t="str">
        <f t="shared" si="76"/>
        <v>Green Bay</v>
      </c>
      <c r="AK269" t="str">
        <f t="shared" si="77"/>
        <v>WI</v>
      </c>
    </row>
    <row r="270" spans="1:80" x14ac:dyDescent="0.25">
      <c r="S270">
        <v>12</v>
      </c>
      <c r="T270">
        <f t="shared" si="73"/>
        <v>129</v>
      </c>
      <c r="U270">
        <f t="shared" si="87"/>
        <v>26053</v>
      </c>
      <c r="V270">
        <f t="shared" ca="1" si="88"/>
        <v>0</v>
      </c>
      <c r="W270">
        <v>63</v>
      </c>
      <c r="X270" t="str">
        <f t="shared" ca="1" si="89"/>
        <v/>
      </c>
      <c r="Y270" t="s">
        <v>32</v>
      </c>
      <c r="Z270">
        <f t="shared" ca="1" si="90"/>
        <v>0</v>
      </c>
      <c r="AA270" t="str">
        <f t="shared" ca="1" si="91"/>
        <v>SPPN</v>
      </c>
      <c r="AB270">
        <f t="shared" ca="1" si="92"/>
        <v>1</v>
      </c>
      <c r="AC270">
        <f t="shared" ca="1" si="93"/>
        <v>0</v>
      </c>
      <c r="AD270" t="str">
        <f t="shared" si="74"/>
        <v>4093RN153</v>
      </c>
      <c r="AE270">
        <f t="shared" ca="1" si="94"/>
        <v>0</v>
      </c>
      <c r="AF270" t="str">
        <f t="shared" ca="1" si="95"/>
        <v/>
      </c>
      <c r="AG270">
        <v>63</v>
      </c>
      <c r="AH270" t="s">
        <v>136</v>
      </c>
      <c r="AI270" t="str">
        <f t="shared" si="75"/>
        <v>Lutheran Home 25</v>
      </c>
      <c r="AJ270" t="str">
        <f t="shared" si="76"/>
        <v>Green Bay</v>
      </c>
      <c r="AK270" t="str">
        <f t="shared" si="77"/>
        <v>WI</v>
      </c>
    </row>
    <row r="271" spans="1:80" x14ac:dyDescent="0.25">
      <c r="R271">
        <v>1</v>
      </c>
      <c r="S271">
        <v>13</v>
      </c>
      <c r="T271">
        <f t="shared" si="73"/>
        <v>129</v>
      </c>
      <c r="U271">
        <f t="shared" si="87"/>
        <v>26053</v>
      </c>
      <c r="V271">
        <f t="shared" ca="1" si="88"/>
        <v>0</v>
      </c>
      <c r="W271">
        <v>64</v>
      </c>
      <c r="X271" t="str">
        <f t="shared" ca="1" si="89"/>
        <v/>
      </c>
      <c r="Y271" t="s">
        <v>9</v>
      </c>
      <c r="Z271">
        <f t="shared" ca="1" si="90"/>
        <v>0</v>
      </c>
      <c r="AA271" t="str">
        <f t="shared" ca="1" si="91"/>
        <v>SPPN</v>
      </c>
      <c r="AB271">
        <f t="shared" ca="1" si="92"/>
        <v>1</v>
      </c>
      <c r="AC271" t="str">
        <f t="shared" ca="1" si="93"/>
        <v/>
      </c>
      <c r="AD271" t="str">
        <f t="shared" si="74"/>
        <v>4093RN153</v>
      </c>
      <c r="AE271">
        <f t="shared" ca="1" si="94"/>
        <v>0</v>
      </c>
      <c r="AF271" t="str">
        <f t="shared" ca="1" si="95"/>
        <v/>
      </c>
      <c r="AG271">
        <v>64</v>
      </c>
      <c r="AH271" t="s">
        <v>136</v>
      </c>
      <c r="AI271" t="str">
        <f t="shared" si="75"/>
        <v>Lutheran Home 25</v>
      </c>
      <c r="AJ271" t="str">
        <f t="shared" si="76"/>
        <v>Green Bay</v>
      </c>
      <c r="AK271" t="str">
        <f t="shared" si="77"/>
        <v>WI</v>
      </c>
    </row>
    <row r="272" spans="1:80" x14ac:dyDescent="0.25">
      <c r="S272">
        <v>14</v>
      </c>
      <c r="T272">
        <f t="shared" si="73"/>
        <v>129</v>
      </c>
      <c r="U272">
        <f t="shared" si="87"/>
        <v>26053</v>
      </c>
      <c r="V272">
        <f t="shared" ca="1" si="88"/>
        <v>0</v>
      </c>
      <c r="W272">
        <v>64</v>
      </c>
      <c r="X272" t="str">
        <f t="shared" ca="1" si="89"/>
        <v/>
      </c>
      <c r="Y272" t="s">
        <v>33</v>
      </c>
      <c r="Z272">
        <f t="shared" ca="1" si="90"/>
        <v>0</v>
      </c>
      <c r="AA272" t="str">
        <f t="shared" ca="1" si="91"/>
        <v>SPPN</v>
      </c>
      <c r="AB272">
        <f t="shared" ca="1" si="92"/>
        <v>1</v>
      </c>
      <c r="AC272" t="str">
        <f t="shared" ca="1" si="93"/>
        <v/>
      </c>
      <c r="AD272" t="str">
        <f t="shared" si="74"/>
        <v>4093RN153</v>
      </c>
      <c r="AE272">
        <f t="shared" ca="1" si="94"/>
        <v>0</v>
      </c>
      <c r="AF272" t="str">
        <f t="shared" ca="1" si="95"/>
        <v/>
      </c>
      <c r="AG272">
        <v>64</v>
      </c>
      <c r="AH272" t="s">
        <v>136</v>
      </c>
      <c r="AI272" t="str">
        <f t="shared" si="75"/>
        <v>Lutheran Home 25</v>
      </c>
      <c r="AJ272" t="str">
        <f t="shared" si="76"/>
        <v>Green Bay</v>
      </c>
      <c r="AK272" t="str">
        <f t="shared" si="77"/>
        <v>WI</v>
      </c>
    </row>
    <row r="273" spans="18:37" x14ac:dyDescent="0.25">
      <c r="S273">
        <v>15</v>
      </c>
      <c r="T273">
        <f t="shared" si="73"/>
        <v>129</v>
      </c>
      <c r="U273">
        <f t="shared" si="87"/>
        <v>26053</v>
      </c>
      <c r="V273">
        <f t="shared" ca="1" si="88"/>
        <v>0</v>
      </c>
      <c r="W273">
        <v>64</v>
      </c>
      <c r="X273" t="str">
        <f t="shared" ca="1" si="89"/>
        <v/>
      </c>
      <c r="Y273" t="s">
        <v>28</v>
      </c>
      <c r="Z273">
        <f t="shared" ca="1" si="90"/>
        <v>0</v>
      </c>
      <c r="AA273" t="str">
        <f t="shared" ca="1" si="91"/>
        <v>SPPN</v>
      </c>
      <c r="AB273">
        <f t="shared" ca="1" si="92"/>
        <v>1</v>
      </c>
      <c r="AC273">
        <f t="shared" ca="1" si="93"/>
        <v>0</v>
      </c>
      <c r="AD273" t="str">
        <f t="shared" si="74"/>
        <v>4093RN153</v>
      </c>
      <c r="AE273">
        <f t="shared" ca="1" si="94"/>
        <v>0</v>
      </c>
      <c r="AF273" t="str">
        <f t="shared" ca="1" si="95"/>
        <v/>
      </c>
      <c r="AG273">
        <v>64</v>
      </c>
      <c r="AH273" t="s">
        <v>136</v>
      </c>
      <c r="AI273" t="str">
        <f t="shared" si="75"/>
        <v>Lutheran Home 25</v>
      </c>
      <c r="AJ273" t="str">
        <f t="shared" si="76"/>
        <v>Green Bay</v>
      </c>
      <c r="AK273" t="str">
        <f t="shared" si="77"/>
        <v>WI</v>
      </c>
    </row>
    <row r="274" spans="18:37" x14ac:dyDescent="0.25">
      <c r="S274">
        <v>16</v>
      </c>
      <c r="T274">
        <f t="shared" si="73"/>
        <v>129</v>
      </c>
      <c r="U274">
        <f t="shared" si="87"/>
        <v>26053</v>
      </c>
      <c r="V274">
        <f t="shared" ca="1" si="88"/>
        <v>0</v>
      </c>
      <c r="W274">
        <v>64</v>
      </c>
      <c r="X274" t="str">
        <f t="shared" ca="1" si="89"/>
        <v/>
      </c>
      <c r="Y274" t="s">
        <v>32</v>
      </c>
      <c r="Z274">
        <f t="shared" ca="1" si="90"/>
        <v>0</v>
      </c>
      <c r="AA274" t="str">
        <f t="shared" ca="1" si="91"/>
        <v>SPPN</v>
      </c>
      <c r="AB274">
        <f t="shared" ca="1" si="92"/>
        <v>1</v>
      </c>
      <c r="AC274">
        <f t="shared" ca="1" si="93"/>
        <v>0</v>
      </c>
      <c r="AD274" t="str">
        <f t="shared" si="74"/>
        <v>4093RN153</v>
      </c>
      <c r="AE274">
        <f t="shared" ca="1" si="94"/>
        <v>0</v>
      </c>
      <c r="AF274" t="str">
        <f t="shared" ca="1" si="95"/>
        <v/>
      </c>
      <c r="AG274">
        <v>64</v>
      </c>
      <c r="AH274" t="s">
        <v>136</v>
      </c>
      <c r="AI274" t="str">
        <f t="shared" si="75"/>
        <v>Lutheran Home 25</v>
      </c>
      <c r="AJ274" t="str">
        <f t="shared" si="76"/>
        <v>Green Bay</v>
      </c>
      <c r="AK274" t="str">
        <f t="shared" si="77"/>
        <v>WI</v>
      </c>
    </row>
    <row r="275" spans="18:37" x14ac:dyDescent="0.25">
      <c r="R275">
        <v>1</v>
      </c>
      <c r="S275">
        <v>17</v>
      </c>
      <c r="T275">
        <f t="shared" ref="T275:T338" si="97">$H$14</f>
        <v>129</v>
      </c>
      <c r="U275">
        <f t="shared" si="87"/>
        <v>26053</v>
      </c>
      <c r="V275">
        <f t="shared" ca="1" si="88"/>
        <v>0</v>
      </c>
      <c r="W275">
        <v>65</v>
      </c>
      <c r="X275" t="str">
        <f t="shared" ca="1" si="89"/>
        <v/>
      </c>
      <c r="Y275" t="s">
        <v>9</v>
      </c>
      <c r="Z275">
        <f t="shared" ca="1" si="90"/>
        <v>0</v>
      </c>
      <c r="AA275" t="str">
        <f t="shared" ca="1" si="91"/>
        <v>SPPN</v>
      </c>
      <c r="AB275">
        <f t="shared" ca="1" si="92"/>
        <v>1</v>
      </c>
      <c r="AC275" t="str">
        <f t="shared" ca="1" si="93"/>
        <v/>
      </c>
      <c r="AD275" t="str">
        <f t="shared" ref="AD275:AD338" si="98">$H$5</f>
        <v>4093RN153</v>
      </c>
      <c r="AE275">
        <f t="shared" ca="1" si="94"/>
        <v>0</v>
      </c>
      <c r="AF275" t="str">
        <f t="shared" ca="1" si="95"/>
        <v/>
      </c>
      <c r="AG275">
        <v>65</v>
      </c>
      <c r="AH275" t="s">
        <v>136</v>
      </c>
      <c r="AI275" t="str">
        <f t="shared" ref="AI275:AI338" si="99">$H$6</f>
        <v>Lutheran Home 25</v>
      </c>
      <c r="AJ275" t="str">
        <f t="shared" ref="AJ275:AJ338" si="100">$H$7</f>
        <v>Green Bay</v>
      </c>
      <c r="AK275" t="str">
        <f t="shared" ref="AK275:AK338" si="101">$H$8</f>
        <v>WI</v>
      </c>
    </row>
    <row r="276" spans="18:37" x14ac:dyDescent="0.25">
      <c r="S276">
        <v>18</v>
      </c>
      <c r="T276">
        <f t="shared" si="97"/>
        <v>129</v>
      </c>
      <c r="U276">
        <f t="shared" ref="U276:U339" si="102">$H$2</f>
        <v>26053</v>
      </c>
      <c r="V276">
        <f t="shared" ref="V276:V339" ca="1" si="103">(OFFSET($B$19,INT((ROW(A258)-1)/4),0))</f>
        <v>0</v>
      </c>
      <c r="W276">
        <v>65</v>
      </c>
      <c r="X276" t="str">
        <f t="shared" ref="X276:X339" ca="1" si="104">IF((OFFSET($J$19,INT((ROW(A258)-1)/4),0))="JE","JE",IF((OFFSET($J$19,INT((ROW(A258)-1)/4),0))="Drilled","JC",""))</f>
        <v/>
      </c>
      <c r="Y276" t="s">
        <v>33</v>
      </c>
      <c r="Z276">
        <f t="shared" ref="Z276:Z339" ca="1" si="105">(OFFSET($F$19,INT((ROW(A258)-1)/4),0))</f>
        <v>0</v>
      </c>
      <c r="AA276" t="str">
        <f t="shared" ref="AA276:AA339" ca="1" si="106">IF((OFFSET($K$19,INT((ROW(A258)-1)/4),0))="Poplar","PAINT",IF((OFFSET($K$19,INT((ROW(A258)-1)/4),0))="Red Oak","SGO",IF((OFFSET($K$19,INT((ROW(A258)-1)/4),0))="Maple","SM","SPPN")))</f>
        <v>SPPN</v>
      </c>
      <c r="AB276">
        <f t="shared" ref="AB276:AB339" ca="1" si="107">(OFFSET($I$19,INT((ROW(A258)-1)/4),0))</f>
        <v>1</v>
      </c>
      <c r="AC276" t="str">
        <f t="shared" ref="AC276:AC339" ca="1" si="108">IF(OR(Y276="L",Y276="R"),(OFFSET($M$19,INT((ROW(A258)-1)/4),0)),IF(Y276="B",IF((OFFSET($A$19,INT((ROW(A258)-1)/4),0))="3 Sided Patio Door",0,(OFFSET($G$19,INT((ROW(A258)-1)/4),0))),(OFFSET($G$19,INT((ROW(A258)-1)/4),0))))</f>
        <v/>
      </c>
      <c r="AD276" t="str">
        <f t="shared" si="98"/>
        <v>4093RN153</v>
      </c>
      <c r="AE276">
        <f t="shared" ref="AE276:AE339" ca="1" si="109">(OFFSET($L$19,INT((ROW(A258)-1)/4),0))</f>
        <v>0</v>
      </c>
      <c r="AF276" t="str">
        <f t="shared" ref="AF276:AF339" ca="1" si="110">IF((OFFSET($A$19,INT((ROW(A258)-1)/4),0))="3 sided Patio door", "Unassemble","")</f>
        <v/>
      </c>
      <c r="AG276">
        <v>65</v>
      </c>
      <c r="AH276" t="s">
        <v>136</v>
      </c>
      <c r="AI276" t="str">
        <f t="shared" si="99"/>
        <v>Lutheran Home 25</v>
      </c>
      <c r="AJ276" t="str">
        <f t="shared" si="100"/>
        <v>Green Bay</v>
      </c>
      <c r="AK276" t="str">
        <f t="shared" si="101"/>
        <v>WI</v>
      </c>
    </row>
    <row r="277" spans="18:37" x14ac:dyDescent="0.25">
      <c r="S277">
        <v>19</v>
      </c>
      <c r="T277">
        <f t="shared" si="97"/>
        <v>129</v>
      </c>
      <c r="U277">
        <f t="shared" si="102"/>
        <v>26053</v>
      </c>
      <c r="V277">
        <f t="shared" ca="1" si="103"/>
        <v>0</v>
      </c>
      <c r="W277">
        <v>65</v>
      </c>
      <c r="X277" t="str">
        <f t="shared" ca="1" si="104"/>
        <v/>
      </c>
      <c r="Y277" t="s">
        <v>28</v>
      </c>
      <c r="Z277">
        <f t="shared" ca="1" si="105"/>
        <v>0</v>
      </c>
      <c r="AA277" t="str">
        <f t="shared" ca="1" si="106"/>
        <v>SPPN</v>
      </c>
      <c r="AB277">
        <f t="shared" ca="1" si="107"/>
        <v>1</v>
      </c>
      <c r="AC277">
        <f t="shared" ca="1" si="108"/>
        <v>0</v>
      </c>
      <c r="AD277" t="str">
        <f t="shared" si="98"/>
        <v>4093RN153</v>
      </c>
      <c r="AE277">
        <f t="shared" ca="1" si="109"/>
        <v>0</v>
      </c>
      <c r="AF277" t="str">
        <f t="shared" ca="1" si="110"/>
        <v/>
      </c>
      <c r="AG277">
        <v>65</v>
      </c>
      <c r="AH277" t="s">
        <v>136</v>
      </c>
      <c r="AI277" t="str">
        <f t="shared" si="99"/>
        <v>Lutheran Home 25</v>
      </c>
      <c r="AJ277" t="str">
        <f t="shared" si="100"/>
        <v>Green Bay</v>
      </c>
      <c r="AK277" t="str">
        <f t="shared" si="101"/>
        <v>WI</v>
      </c>
    </row>
    <row r="278" spans="18:37" x14ac:dyDescent="0.25">
      <c r="S278">
        <v>20</v>
      </c>
      <c r="T278">
        <f t="shared" si="97"/>
        <v>129</v>
      </c>
      <c r="U278">
        <f t="shared" si="102"/>
        <v>26053</v>
      </c>
      <c r="V278">
        <f t="shared" ca="1" si="103"/>
        <v>0</v>
      </c>
      <c r="W278">
        <v>65</v>
      </c>
      <c r="X278" t="str">
        <f t="shared" ca="1" si="104"/>
        <v/>
      </c>
      <c r="Y278" t="s">
        <v>32</v>
      </c>
      <c r="Z278">
        <f t="shared" ca="1" si="105"/>
        <v>0</v>
      </c>
      <c r="AA278" t="str">
        <f t="shared" ca="1" si="106"/>
        <v>SPPN</v>
      </c>
      <c r="AB278">
        <f t="shared" ca="1" si="107"/>
        <v>1</v>
      </c>
      <c r="AC278">
        <f t="shared" ca="1" si="108"/>
        <v>0</v>
      </c>
      <c r="AD278" t="str">
        <f t="shared" si="98"/>
        <v>4093RN153</v>
      </c>
      <c r="AE278">
        <f t="shared" ca="1" si="109"/>
        <v>0</v>
      </c>
      <c r="AF278" t="str">
        <f t="shared" ca="1" si="110"/>
        <v/>
      </c>
      <c r="AG278">
        <v>65</v>
      </c>
      <c r="AH278" t="s">
        <v>136</v>
      </c>
      <c r="AI278" t="str">
        <f t="shared" si="99"/>
        <v>Lutheran Home 25</v>
      </c>
      <c r="AJ278" t="str">
        <f t="shared" si="100"/>
        <v>Green Bay</v>
      </c>
      <c r="AK278" t="str">
        <f t="shared" si="101"/>
        <v>WI</v>
      </c>
    </row>
    <row r="279" spans="18:37" x14ac:dyDescent="0.25">
      <c r="R279">
        <v>1</v>
      </c>
      <c r="S279">
        <v>21</v>
      </c>
      <c r="T279">
        <f t="shared" si="97"/>
        <v>129</v>
      </c>
      <c r="U279">
        <f t="shared" si="102"/>
        <v>26053</v>
      </c>
      <c r="V279">
        <f t="shared" ca="1" si="103"/>
        <v>0</v>
      </c>
      <c r="W279">
        <v>66</v>
      </c>
      <c r="X279" t="str">
        <f t="shared" ca="1" si="104"/>
        <v/>
      </c>
      <c r="Y279" t="s">
        <v>9</v>
      </c>
      <c r="Z279">
        <f t="shared" ca="1" si="105"/>
        <v>0</v>
      </c>
      <c r="AA279" t="str">
        <f t="shared" ca="1" si="106"/>
        <v>SPPN</v>
      </c>
      <c r="AB279">
        <f t="shared" ca="1" si="107"/>
        <v>1</v>
      </c>
      <c r="AC279" t="str">
        <f t="shared" ca="1" si="108"/>
        <v/>
      </c>
      <c r="AD279" t="str">
        <f t="shared" si="98"/>
        <v>4093RN153</v>
      </c>
      <c r="AE279">
        <f t="shared" ca="1" si="109"/>
        <v>0</v>
      </c>
      <c r="AF279" t="str">
        <f t="shared" ca="1" si="110"/>
        <v/>
      </c>
      <c r="AG279">
        <v>66</v>
      </c>
      <c r="AH279" t="s">
        <v>136</v>
      </c>
      <c r="AI279" t="str">
        <f t="shared" si="99"/>
        <v>Lutheran Home 25</v>
      </c>
      <c r="AJ279" t="str">
        <f t="shared" si="100"/>
        <v>Green Bay</v>
      </c>
      <c r="AK279" t="str">
        <f t="shared" si="101"/>
        <v>WI</v>
      </c>
    </row>
    <row r="280" spans="18:37" x14ac:dyDescent="0.25">
      <c r="S280">
        <v>22</v>
      </c>
      <c r="T280">
        <f t="shared" si="97"/>
        <v>129</v>
      </c>
      <c r="U280">
        <f t="shared" si="102"/>
        <v>26053</v>
      </c>
      <c r="V280">
        <f t="shared" ca="1" si="103"/>
        <v>0</v>
      </c>
      <c r="W280">
        <v>66</v>
      </c>
      <c r="X280" t="str">
        <f t="shared" ca="1" si="104"/>
        <v/>
      </c>
      <c r="Y280" t="s">
        <v>33</v>
      </c>
      <c r="Z280">
        <f t="shared" ca="1" si="105"/>
        <v>0</v>
      </c>
      <c r="AA280" t="str">
        <f t="shared" ca="1" si="106"/>
        <v>SPPN</v>
      </c>
      <c r="AB280">
        <f t="shared" ca="1" si="107"/>
        <v>1</v>
      </c>
      <c r="AC280" t="str">
        <f t="shared" ca="1" si="108"/>
        <v/>
      </c>
      <c r="AD280" t="str">
        <f t="shared" si="98"/>
        <v>4093RN153</v>
      </c>
      <c r="AE280">
        <f t="shared" ca="1" si="109"/>
        <v>0</v>
      </c>
      <c r="AF280" t="str">
        <f t="shared" ca="1" si="110"/>
        <v/>
      </c>
      <c r="AG280">
        <v>66</v>
      </c>
      <c r="AH280" t="s">
        <v>136</v>
      </c>
      <c r="AI280" t="str">
        <f t="shared" si="99"/>
        <v>Lutheran Home 25</v>
      </c>
      <c r="AJ280" t="str">
        <f t="shared" si="100"/>
        <v>Green Bay</v>
      </c>
      <c r="AK280" t="str">
        <f t="shared" si="101"/>
        <v>WI</v>
      </c>
    </row>
    <row r="281" spans="18:37" x14ac:dyDescent="0.25">
      <c r="S281">
        <v>23</v>
      </c>
      <c r="T281">
        <f t="shared" si="97"/>
        <v>129</v>
      </c>
      <c r="U281">
        <f t="shared" si="102"/>
        <v>26053</v>
      </c>
      <c r="V281">
        <f t="shared" ca="1" si="103"/>
        <v>0</v>
      </c>
      <c r="W281">
        <v>66</v>
      </c>
      <c r="X281" t="str">
        <f t="shared" ca="1" si="104"/>
        <v/>
      </c>
      <c r="Y281" t="s">
        <v>28</v>
      </c>
      <c r="Z281">
        <f t="shared" ca="1" si="105"/>
        <v>0</v>
      </c>
      <c r="AA281" t="str">
        <f t="shared" ca="1" si="106"/>
        <v>SPPN</v>
      </c>
      <c r="AB281">
        <f t="shared" ca="1" si="107"/>
        <v>1</v>
      </c>
      <c r="AC281">
        <f t="shared" ca="1" si="108"/>
        <v>0</v>
      </c>
      <c r="AD281" t="str">
        <f t="shared" si="98"/>
        <v>4093RN153</v>
      </c>
      <c r="AE281">
        <f t="shared" ca="1" si="109"/>
        <v>0</v>
      </c>
      <c r="AF281" t="str">
        <f t="shared" ca="1" si="110"/>
        <v/>
      </c>
      <c r="AG281">
        <v>66</v>
      </c>
      <c r="AH281" t="s">
        <v>136</v>
      </c>
      <c r="AI281" t="str">
        <f t="shared" si="99"/>
        <v>Lutheran Home 25</v>
      </c>
      <c r="AJ281" t="str">
        <f t="shared" si="100"/>
        <v>Green Bay</v>
      </c>
      <c r="AK281" t="str">
        <f t="shared" si="101"/>
        <v>WI</v>
      </c>
    </row>
    <row r="282" spans="18:37" x14ac:dyDescent="0.25">
      <c r="S282">
        <v>24</v>
      </c>
      <c r="T282">
        <f t="shared" si="97"/>
        <v>129</v>
      </c>
      <c r="U282">
        <f t="shared" si="102"/>
        <v>26053</v>
      </c>
      <c r="V282">
        <f t="shared" ca="1" si="103"/>
        <v>0</v>
      </c>
      <c r="W282">
        <v>66</v>
      </c>
      <c r="X282" t="str">
        <f t="shared" ca="1" si="104"/>
        <v/>
      </c>
      <c r="Y282" t="s">
        <v>32</v>
      </c>
      <c r="Z282">
        <f t="shared" ca="1" si="105"/>
        <v>0</v>
      </c>
      <c r="AA282" t="str">
        <f t="shared" ca="1" si="106"/>
        <v>SPPN</v>
      </c>
      <c r="AB282">
        <f t="shared" ca="1" si="107"/>
        <v>1</v>
      </c>
      <c r="AC282">
        <f t="shared" ca="1" si="108"/>
        <v>0</v>
      </c>
      <c r="AD282" t="str">
        <f t="shared" si="98"/>
        <v>4093RN153</v>
      </c>
      <c r="AE282">
        <f t="shared" ca="1" si="109"/>
        <v>0</v>
      </c>
      <c r="AF282" t="str">
        <f t="shared" ca="1" si="110"/>
        <v/>
      </c>
      <c r="AG282">
        <v>66</v>
      </c>
      <c r="AH282" t="s">
        <v>136</v>
      </c>
      <c r="AI282" t="str">
        <f t="shared" si="99"/>
        <v>Lutheran Home 25</v>
      </c>
      <c r="AJ282" t="str">
        <f t="shared" si="100"/>
        <v>Green Bay</v>
      </c>
      <c r="AK282" t="str">
        <f t="shared" si="101"/>
        <v>WI</v>
      </c>
    </row>
    <row r="283" spans="18:37" x14ac:dyDescent="0.25">
      <c r="R283">
        <v>1</v>
      </c>
      <c r="S283">
        <v>25</v>
      </c>
      <c r="T283">
        <f t="shared" si="97"/>
        <v>129</v>
      </c>
      <c r="U283">
        <f t="shared" si="102"/>
        <v>26053</v>
      </c>
      <c r="V283">
        <f t="shared" ca="1" si="103"/>
        <v>0</v>
      </c>
      <c r="W283">
        <v>67</v>
      </c>
      <c r="X283" t="str">
        <f t="shared" ca="1" si="104"/>
        <v/>
      </c>
      <c r="Y283" t="s">
        <v>9</v>
      </c>
      <c r="Z283">
        <f t="shared" ca="1" si="105"/>
        <v>0</v>
      </c>
      <c r="AA283" t="str">
        <f t="shared" ca="1" si="106"/>
        <v>SPPN</v>
      </c>
      <c r="AB283">
        <f t="shared" ca="1" si="107"/>
        <v>1</v>
      </c>
      <c r="AC283" t="str">
        <f t="shared" ca="1" si="108"/>
        <v/>
      </c>
      <c r="AD283" t="str">
        <f t="shared" si="98"/>
        <v>4093RN153</v>
      </c>
      <c r="AE283">
        <f t="shared" ca="1" si="109"/>
        <v>0</v>
      </c>
      <c r="AF283" t="str">
        <f t="shared" ca="1" si="110"/>
        <v/>
      </c>
      <c r="AG283">
        <v>67</v>
      </c>
      <c r="AH283" t="s">
        <v>136</v>
      </c>
      <c r="AI283" t="str">
        <f t="shared" si="99"/>
        <v>Lutheran Home 25</v>
      </c>
      <c r="AJ283" t="str">
        <f t="shared" si="100"/>
        <v>Green Bay</v>
      </c>
      <c r="AK283" t="str">
        <f t="shared" si="101"/>
        <v>WI</v>
      </c>
    </row>
    <row r="284" spans="18:37" x14ac:dyDescent="0.25">
      <c r="S284">
        <v>26</v>
      </c>
      <c r="T284">
        <f t="shared" si="97"/>
        <v>129</v>
      </c>
      <c r="U284">
        <f t="shared" si="102"/>
        <v>26053</v>
      </c>
      <c r="V284">
        <f t="shared" ca="1" si="103"/>
        <v>0</v>
      </c>
      <c r="W284">
        <v>67</v>
      </c>
      <c r="X284" t="str">
        <f t="shared" ca="1" si="104"/>
        <v/>
      </c>
      <c r="Y284" t="s">
        <v>33</v>
      </c>
      <c r="Z284">
        <f t="shared" ca="1" si="105"/>
        <v>0</v>
      </c>
      <c r="AA284" t="str">
        <f t="shared" ca="1" si="106"/>
        <v>SPPN</v>
      </c>
      <c r="AB284">
        <f t="shared" ca="1" si="107"/>
        <v>1</v>
      </c>
      <c r="AC284" t="str">
        <f t="shared" ca="1" si="108"/>
        <v/>
      </c>
      <c r="AD284" t="str">
        <f t="shared" si="98"/>
        <v>4093RN153</v>
      </c>
      <c r="AE284">
        <f t="shared" ca="1" si="109"/>
        <v>0</v>
      </c>
      <c r="AF284" t="str">
        <f t="shared" ca="1" si="110"/>
        <v/>
      </c>
      <c r="AG284">
        <v>67</v>
      </c>
      <c r="AH284" t="s">
        <v>136</v>
      </c>
      <c r="AI284" t="str">
        <f t="shared" si="99"/>
        <v>Lutheran Home 25</v>
      </c>
      <c r="AJ284" t="str">
        <f t="shared" si="100"/>
        <v>Green Bay</v>
      </c>
      <c r="AK284" t="str">
        <f t="shared" si="101"/>
        <v>WI</v>
      </c>
    </row>
    <row r="285" spans="18:37" x14ac:dyDescent="0.25">
      <c r="S285">
        <v>27</v>
      </c>
      <c r="T285">
        <f t="shared" si="97"/>
        <v>129</v>
      </c>
      <c r="U285">
        <f t="shared" si="102"/>
        <v>26053</v>
      </c>
      <c r="V285">
        <f t="shared" ca="1" si="103"/>
        <v>0</v>
      </c>
      <c r="W285">
        <v>67</v>
      </c>
      <c r="X285" t="str">
        <f t="shared" ca="1" si="104"/>
        <v/>
      </c>
      <c r="Y285" t="s">
        <v>28</v>
      </c>
      <c r="Z285">
        <f t="shared" ca="1" si="105"/>
        <v>0</v>
      </c>
      <c r="AA285" t="str">
        <f t="shared" ca="1" si="106"/>
        <v>SPPN</v>
      </c>
      <c r="AB285">
        <f t="shared" ca="1" si="107"/>
        <v>1</v>
      </c>
      <c r="AC285">
        <f t="shared" ca="1" si="108"/>
        <v>0</v>
      </c>
      <c r="AD285" t="str">
        <f t="shared" si="98"/>
        <v>4093RN153</v>
      </c>
      <c r="AE285">
        <f t="shared" ca="1" si="109"/>
        <v>0</v>
      </c>
      <c r="AF285" t="str">
        <f t="shared" ca="1" si="110"/>
        <v/>
      </c>
      <c r="AG285">
        <v>67</v>
      </c>
      <c r="AH285" t="s">
        <v>136</v>
      </c>
      <c r="AI285" t="str">
        <f t="shared" si="99"/>
        <v>Lutheran Home 25</v>
      </c>
      <c r="AJ285" t="str">
        <f t="shared" si="100"/>
        <v>Green Bay</v>
      </c>
      <c r="AK285" t="str">
        <f t="shared" si="101"/>
        <v>WI</v>
      </c>
    </row>
    <row r="286" spans="18:37" x14ac:dyDescent="0.25">
      <c r="S286">
        <v>28</v>
      </c>
      <c r="T286">
        <f t="shared" si="97"/>
        <v>129</v>
      </c>
      <c r="U286">
        <f t="shared" si="102"/>
        <v>26053</v>
      </c>
      <c r="V286">
        <f t="shared" ca="1" si="103"/>
        <v>0</v>
      </c>
      <c r="W286">
        <v>67</v>
      </c>
      <c r="X286" t="str">
        <f t="shared" ca="1" si="104"/>
        <v/>
      </c>
      <c r="Y286" t="s">
        <v>32</v>
      </c>
      <c r="Z286">
        <f t="shared" ca="1" si="105"/>
        <v>0</v>
      </c>
      <c r="AA286" t="str">
        <f t="shared" ca="1" si="106"/>
        <v>SPPN</v>
      </c>
      <c r="AB286">
        <f t="shared" ca="1" si="107"/>
        <v>1</v>
      </c>
      <c r="AC286">
        <f t="shared" ca="1" si="108"/>
        <v>0</v>
      </c>
      <c r="AD286" t="str">
        <f t="shared" si="98"/>
        <v>4093RN153</v>
      </c>
      <c r="AE286">
        <f t="shared" ca="1" si="109"/>
        <v>0</v>
      </c>
      <c r="AF286" t="str">
        <f t="shared" ca="1" si="110"/>
        <v/>
      </c>
      <c r="AG286">
        <v>67</v>
      </c>
      <c r="AH286" t="s">
        <v>136</v>
      </c>
      <c r="AI286" t="str">
        <f t="shared" si="99"/>
        <v>Lutheran Home 25</v>
      </c>
      <c r="AJ286" t="str">
        <f t="shared" si="100"/>
        <v>Green Bay</v>
      </c>
      <c r="AK286" t="str">
        <f t="shared" si="101"/>
        <v>WI</v>
      </c>
    </row>
    <row r="287" spans="18:37" x14ac:dyDescent="0.25">
      <c r="R287">
        <v>1</v>
      </c>
      <c r="S287">
        <v>29</v>
      </c>
      <c r="T287">
        <f t="shared" si="97"/>
        <v>129</v>
      </c>
      <c r="U287">
        <f t="shared" si="102"/>
        <v>26053</v>
      </c>
      <c r="V287">
        <f t="shared" ca="1" si="103"/>
        <v>0</v>
      </c>
      <c r="W287">
        <v>68</v>
      </c>
      <c r="X287" t="str">
        <f t="shared" ca="1" si="104"/>
        <v/>
      </c>
      <c r="Y287" t="s">
        <v>9</v>
      </c>
      <c r="Z287">
        <f t="shared" ca="1" si="105"/>
        <v>0</v>
      </c>
      <c r="AA287" t="str">
        <f t="shared" ca="1" si="106"/>
        <v>SPPN</v>
      </c>
      <c r="AB287">
        <f t="shared" ca="1" si="107"/>
        <v>1</v>
      </c>
      <c r="AC287" t="str">
        <f t="shared" ca="1" si="108"/>
        <v/>
      </c>
      <c r="AD287" t="str">
        <f t="shared" si="98"/>
        <v>4093RN153</v>
      </c>
      <c r="AE287">
        <f t="shared" ca="1" si="109"/>
        <v>0</v>
      </c>
      <c r="AF287" t="str">
        <f t="shared" ca="1" si="110"/>
        <v/>
      </c>
      <c r="AG287">
        <v>68</v>
      </c>
      <c r="AH287" t="s">
        <v>136</v>
      </c>
      <c r="AI287" t="str">
        <f t="shared" si="99"/>
        <v>Lutheran Home 25</v>
      </c>
      <c r="AJ287" t="str">
        <f t="shared" si="100"/>
        <v>Green Bay</v>
      </c>
      <c r="AK287" t="str">
        <f t="shared" si="101"/>
        <v>WI</v>
      </c>
    </row>
    <row r="288" spans="18:37" x14ac:dyDescent="0.25">
      <c r="S288">
        <v>30</v>
      </c>
      <c r="T288">
        <f t="shared" si="97"/>
        <v>129</v>
      </c>
      <c r="U288">
        <f t="shared" si="102"/>
        <v>26053</v>
      </c>
      <c r="V288">
        <f t="shared" ca="1" si="103"/>
        <v>0</v>
      </c>
      <c r="W288">
        <v>68</v>
      </c>
      <c r="X288" t="str">
        <f t="shared" ca="1" si="104"/>
        <v/>
      </c>
      <c r="Y288" t="s">
        <v>33</v>
      </c>
      <c r="Z288">
        <f t="shared" ca="1" si="105"/>
        <v>0</v>
      </c>
      <c r="AA288" t="str">
        <f t="shared" ca="1" si="106"/>
        <v>SPPN</v>
      </c>
      <c r="AB288">
        <f t="shared" ca="1" si="107"/>
        <v>1</v>
      </c>
      <c r="AC288" t="str">
        <f t="shared" ca="1" si="108"/>
        <v/>
      </c>
      <c r="AD288" t="str">
        <f t="shared" si="98"/>
        <v>4093RN153</v>
      </c>
      <c r="AE288">
        <f t="shared" ca="1" si="109"/>
        <v>0</v>
      </c>
      <c r="AF288" t="str">
        <f t="shared" ca="1" si="110"/>
        <v/>
      </c>
      <c r="AG288">
        <v>68</v>
      </c>
      <c r="AH288" t="s">
        <v>136</v>
      </c>
      <c r="AI288" t="str">
        <f t="shared" si="99"/>
        <v>Lutheran Home 25</v>
      </c>
      <c r="AJ288" t="str">
        <f t="shared" si="100"/>
        <v>Green Bay</v>
      </c>
      <c r="AK288" t="str">
        <f t="shared" si="101"/>
        <v>WI</v>
      </c>
    </row>
    <row r="289" spans="18:37" x14ac:dyDescent="0.25">
      <c r="S289">
        <v>31</v>
      </c>
      <c r="T289">
        <f t="shared" si="97"/>
        <v>129</v>
      </c>
      <c r="U289">
        <f t="shared" si="102"/>
        <v>26053</v>
      </c>
      <c r="V289">
        <f t="shared" ca="1" si="103"/>
        <v>0</v>
      </c>
      <c r="W289">
        <v>68</v>
      </c>
      <c r="X289" t="str">
        <f t="shared" ca="1" si="104"/>
        <v/>
      </c>
      <c r="Y289" t="s">
        <v>28</v>
      </c>
      <c r="Z289">
        <f t="shared" ca="1" si="105"/>
        <v>0</v>
      </c>
      <c r="AA289" t="str">
        <f t="shared" ca="1" si="106"/>
        <v>SPPN</v>
      </c>
      <c r="AB289">
        <f t="shared" ca="1" si="107"/>
        <v>1</v>
      </c>
      <c r="AC289">
        <f t="shared" ca="1" si="108"/>
        <v>0</v>
      </c>
      <c r="AD289" t="str">
        <f t="shared" si="98"/>
        <v>4093RN153</v>
      </c>
      <c r="AE289">
        <f t="shared" ca="1" si="109"/>
        <v>0</v>
      </c>
      <c r="AF289" t="str">
        <f t="shared" ca="1" si="110"/>
        <v/>
      </c>
      <c r="AG289">
        <v>68</v>
      </c>
      <c r="AH289" t="s">
        <v>136</v>
      </c>
      <c r="AI289" t="str">
        <f t="shared" si="99"/>
        <v>Lutheran Home 25</v>
      </c>
      <c r="AJ289" t="str">
        <f t="shared" si="100"/>
        <v>Green Bay</v>
      </c>
      <c r="AK289" t="str">
        <f t="shared" si="101"/>
        <v>WI</v>
      </c>
    </row>
    <row r="290" spans="18:37" x14ac:dyDescent="0.25">
      <c r="S290">
        <v>32</v>
      </c>
      <c r="T290">
        <f t="shared" si="97"/>
        <v>129</v>
      </c>
      <c r="U290">
        <f t="shared" si="102"/>
        <v>26053</v>
      </c>
      <c r="V290">
        <f t="shared" ca="1" si="103"/>
        <v>0</v>
      </c>
      <c r="W290">
        <v>68</v>
      </c>
      <c r="X290" t="str">
        <f t="shared" ca="1" si="104"/>
        <v/>
      </c>
      <c r="Y290" t="s">
        <v>32</v>
      </c>
      <c r="Z290">
        <f t="shared" ca="1" si="105"/>
        <v>0</v>
      </c>
      <c r="AA290" t="str">
        <f t="shared" ca="1" si="106"/>
        <v>SPPN</v>
      </c>
      <c r="AB290">
        <f t="shared" ca="1" si="107"/>
        <v>1</v>
      </c>
      <c r="AC290">
        <f t="shared" ca="1" si="108"/>
        <v>0</v>
      </c>
      <c r="AD290" t="str">
        <f t="shared" si="98"/>
        <v>4093RN153</v>
      </c>
      <c r="AE290">
        <f t="shared" ca="1" si="109"/>
        <v>0</v>
      </c>
      <c r="AF290" t="str">
        <f t="shared" ca="1" si="110"/>
        <v/>
      </c>
      <c r="AG290">
        <v>68</v>
      </c>
      <c r="AH290" t="s">
        <v>136</v>
      </c>
      <c r="AI290" t="str">
        <f t="shared" si="99"/>
        <v>Lutheran Home 25</v>
      </c>
      <c r="AJ290" t="str">
        <f t="shared" si="100"/>
        <v>Green Bay</v>
      </c>
      <c r="AK290" t="str">
        <f t="shared" si="101"/>
        <v>WI</v>
      </c>
    </row>
    <row r="291" spans="18:37" x14ac:dyDescent="0.25">
      <c r="R291">
        <v>1</v>
      </c>
      <c r="S291">
        <v>33</v>
      </c>
      <c r="T291">
        <f t="shared" si="97"/>
        <v>129</v>
      </c>
      <c r="U291">
        <f t="shared" si="102"/>
        <v>26053</v>
      </c>
      <c r="V291">
        <f t="shared" ca="1" si="103"/>
        <v>0</v>
      </c>
      <c r="W291">
        <v>69</v>
      </c>
      <c r="X291" t="str">
        <f t="shared" ca="1" si="104"/>
        <v/>
      </c>
      <c r="Y291" t="s">
        <v>9</v>
      </c>
      <c r="Z291">
        <f t="shared" ca="1" si="105"/>
        <v>0</v>
      </c>
      <c r="AA291" t="str">
        <f t="shared" ca="1" si="106"/>
        <v>SPPN</v>
      </c>
      <c r="AB291">
        <f t="shared" ca="1" si="107"/>
        <v>1</v>
      </c>
      <c r="AC291" t="str">
        <f t="shared" ca="1" si="108"/>
        <v/>
      </c>
      <c r="AD291" t="str">
        <f t="shared" si="98"/>
        <v>4093RN153</v>
      </c>
      <c r="AE291">
        <f t="shared" ca="1" si="109"/>
        <v>0</v>
      </c>
      <c r="AF291" t="str">
        <f t="shared" ca="1" si="110"/>
        <v/>
      </c>
      <c r="AG291">
        <v>69</v>
      </c>
      <c r="AH291" t="s">
        <v>136</v>
      </c>
      <c r="AI291" t="str">
        <f t="shared" si="99"/>
        <v>Lutheran Home 25</v>
      </c>
      <c r="AJ291" t="str">
        <f t="shared" si="100"/>
        <v>Green Bay</v>
      </c>
      <c r="AK291" t="str">
        <f t="shared" si="101"/>
        <v>WI</v>
      </c>
    </row>
    <row r="292" spans="18:37" x14ac:dyDescent="0.25">
      <c r="S292">
        <v>34</v>
      </c>
      <c r="T292">
        <f t="shared" si="97"/>
        <v>129</v>
      </c>
      <c r="U292">
        <f t="shared" si="102"/>
        <v>26053</v>
      </c>
      <c r="V292">
        <f t="shared" ca="1" si="103"/>
        <v>0</v>
      </c>
      <c r="W292">
        <v>69</v>
      </c>
      <c r="X292" t="str">
        <f t="shared" ca="1" si="104"/>
        <v/>
      </c>
      <c r="Y292" t="s">
        <v>33</v>
      </c>
      <c r="Z292">
        <f t="shared" ca="1" si="105"/>
        <v>0</v>
      </c>
      <c r="AA292" t="str">
        <f t="shared" ca="1" si="106"/>
        <v>SPPN</v>
      </c>
      <c r="AB292">
        <f t="shared" ca="1" si="107"/>
        <v>1</v>
      </c>
      <c r="AC292" t="str">
        <f t="shared" ca="1" si="108"/>
        <v/>
      </c>
      <c r="AD292" t="str">
        <f t="shared" si="98"/>
        <v>4093RN153</v>
      </c>
      <c r="AE292">
        <f t="shared" ca="1" si="109"/>
        <v>0</v>
      </c>
      <c r="AF292" t="str">
        <f t="shared" ca="1" si="110"/>
        <v/>
      </c>
      <c r="AG292">
        <v>69</v>
      </c>
      <c r="AH292" t="s">
        <v>136</v>
      </c>
      <c r="AI292" t="str">
        <f t="shared" si="99"/>
        <v>Lutheran Home 25</v>
      </c>
      <c r="AJ292" t="str">
        <f t="shared" si="100"/>
        <v>Green Bay</v>
      </c>
      <c r="AK292" t="str">
        <f t="shared" si="101"/>
        <v>WI</v>
      </c>
    </row>
    <row r="293" spans="18:37" x14ac:dyDescent="0.25">
      <c r="S293">
        <v>35</v>
      </c>
      <c r="T293">
        <f t="shared" si="97"/>
        <v>129</v>
      </c>
      <c r="U293">
        <f t="shared" si="102"/>
        <v>26053</v>
      </c>
      <c r="V293">
        <f t="shared" ca="1" si="103"/>
        <v>0</v>
      </c>
      <c r="W293">
        <v>69</v>
      </c>
      <c r="X293" t="str">
        <f t="shared" ca="1" si="104"/>
        <v/>
      </c>
      <c r="Y293" t="s">
        <v>28</v>
      </c>
      <c r="Z293">
        <f t="shared" ca="1" si="105"/>
        <v>0</v>
      </c>
      <c r="AA293" t="str">
        <f t="shared" ca="1" si="106"/>
        <v>SPPN</v>
      </c>
      <c r="AB293">
        <f t="shared" ca="1" si="107"/>
        <v>1</v>
      </c>
      <c r="AC293">
        <f t="shared" ca="1" si="108"/>
        <v>0</v>
      </c>
      <c r="AD293" t="str">
        <f t="shared" si="98"/>
        <v>4093RN153</v>
      </c>
      <c r="AE293">
        <f t="shared" ca="1" si="109"/>
        <v>0</v>
      </c>
      <c r="AF293" t="str">
        <f t="shared" ca="1" si="110"/>
        <v/>
      </c>
      <c r="AG293">
        <v>69</v>
      </c>
      <c r="AH293" t="s">
        <v>136</v>
      </c>
      <c r="AI293" t="str">
        <f t="shared" si="99"/>
        <v>Lutheran Home 25</v>
      </c>
      <c r="AJ293" t="str">
        <f t="shared" si="100"/>
        <v>Green Bay</v>
      </c>
      <c r="AK293" t="str">
        <f t="shared" si="101"/>
        <v>WI</v>
      </c>
    </row>
    <row r="294" spans="18:37" x14ac:dyDescent="0.25">
      <c r="S294">
        <v>36</v>
      </c>
      <c r="T294">
        <f t="shared" si="97"/>
        <v>129</v>
      </c>
      <c r="U294">
        <f t="shared" si="102"/>
        <v>26053</v>
      </c>
      <c r="V294">
        <f t="shared" ca="1" si="103"/>
        <v>0</v>
      </c>
      <c r="W294">
        <v>69</v>
      </c>
      <c r="X294" t="str">
        <f t="shared" ca="1" si="104"/>
        <v/>
      </c>
      <c r="Y294" t="s">
        <v>32</v>
      </c>
      <c r="Z294">
        <f t="shared" ca="1" si="105"/>
        <v>0</v>
      </c>
      <c r="AA294" t="str">
        <f t="shared" ca="1" si="106"/>
        <v>SPPN</v>
      </c>
      <c r="AB294">
        <f t="shared" ca="1" si="107"/>
        <v>1</v>
      </c>
      <c r="AC294">
        <f t="shared" ca="1" si="108"/>
        <v>0</v>
      </c>
      <c r="AD294" t="str">
        <f t="shared" si="98"/>
        <v>4093RN153</v>
      </c>
      <c r="AE294">
        <f t="shared" ca="1" si="109"/>
        <v>0</v>
      </c>
      <c r="AF294" t="str">
        <f t="shared" ca="1" si="110"/>
        <v/>
      </c>
      <c r="AG294">
        <v>69</v>
      </c>
      <c r="AH294" t="s">
        <v>136</v>
      </c>
      <c r="AI294" t="str">
        <f t="shared" si="99"/>
        <v>Lutheran Home 25</v>
      </c>
      <c r="AJ294" t="str">
        <f t="shared" si="100"/>
        <v>Green Bay</v>
      </c>
      <c r="AK294" t="str">
        <f t="shared" si="101"/>
        <v>WI</v>
      </c>
    </row>
    <row r="295" spans="18:37" x14ac:dyDescent="0.25">
      <c r="R295">
        <v>1</v>
      </c>
      <c r="S295">
        <v>37</v>
      </c>
      <c r="T295">
        <f t="shared" si="97"/>
        <v>129</v>
      </c>
      <c r="U295">
        <f t="shared" si="102"/>
        <v>26053</v>
      </c>
      <c r="V295">
        <f t="shared" ca="1" si="103"/>
        <v>0</v>
      </c>
      <c r="W295">
        <v>70</v>
      </c>
      <c r="X295" t="str">
        <f t="shared" ca="1" si="104"/>
        <v/>
      </c>
      <c r="Y295" t="s">
        <v>9</v>
      </c>
      <c r="Z295">
        <f t="shared" ca="1" si="105"/>
        <v>0</v>
      </c>
      <c r="AA295" t="str">
        <f t="shared" ca="1" si="106"/>
        <v>SPPN</v>
      </c>
      <c r="AB295">
        <f t="shared" ca="1" si="107"/>
        <v>1</v>
      </c>
      <c r="AC295" t="str">
        <f t="shared" ca="1" si="108"/>
        <v/>
      </c>
      <c r="AD295" t="str">
        <f t="shared" si="98"/>
        <v>4093RN153</v>
      </c>
      <c r="AE295">
        <f t="shared" ca="1" si="109"/>
        <v>0</v>
      </c>
      <c r="AF295" t="str">
        <f t="shared" ca="1" si="110"/>
        <v/>
      </c>
      <c r="AG295">
        <v>70</v>
      </c>
      <c r="AH295" t="s">
        <v>136</v>
      </c>
      <c r="AI295" t="str">
        <f t="shared" si="99"/>
        <v>Lutheran Home 25</v>
      </c>
      <c r="AJ295" t="str">
        <f t="shared" si="100"/>
        <v>Green Bay</v>
      </c>
      <c r="AK295" t="str">
        <f t="shared" si="101"/>
        <v>WI</v>
      </c>
    </row>
    <row r="296" spans="18:37" x14ac:dyDescent="0.25">
      <c r="S296">
        <v>38</v>
      </c>
      <c r="T296">
        <f t="shared" si="97"/>
        <v>129</v>
      </c>
      <c r="U296">
        <f t="shared" si="102"/>
        <v>26053</v>
      </c>
      <c r="V296">
        <f t="shared" ca="1" si="103"/>
        <v>0</v>
      </c>
      <c r="W296">
        <v>70</v>
      </c>
      <c r="X296" t="str">
        <f t="shared" ca="1" si="104"/>
        <v/>
      </c>
      <c r="Y296" t="s">
        <v>33</v>
      </c>
      <c r="Z296">
        <f t="shared" ca="1" si="105"/>
        <v>0</v>
      </c>
      <c r="AA296" t="str">
        <f t="shared" ca="1" si="106"/>
        <v>SPPN</v>
      </c>
      <c r="AB296">
        <f t="shared" ca="1" si="107"/>
        <v>1</v>
      </c>
      <c r="AC296" t="str">
        <f t="shared" ca="1" si="108"/>
        <v/>
      </c>
      <c r="AD296" t="str">
        <f t="shared" si="98"/>
        <v>4093RN153</v>
      </c>
      <c r="AE296">
        <f t="shared" ca="1" si="109"/>
        <v>0</v>
      </c>
      <c r="AF296" t="str">
        <f t="shared" ca="1" si="110"/>
        <v/>
      </c>
      <c r="AG296">
        <v>70</v>
      </c>
      <c r="AH296" t="s">
        <v>136</v>
      </c>
      <c r="AI296" t="str">
        <f t="shared" si="99"/>
        <v>Lutheran Home 25</v>
      </c>
      <c r="AJ296" t="str">
        <f t="shared" si="100"/>
        <v>Green Bay</v>
      </c>
      <c r="AK296" t="str">
        <f t="shared" si="101"/>
        <v>WI</v>
      </c>
    </row>
    <row r="297" spans="18:37" x14ac:dyDescent="0.25">
      <c r="S297">
        <v>39</v>
      </c>
      <c r="T297">
        <f t="shared" si="97"/>
        <v>129</v>
      </c>
      <c r="U297">
        <f t="shared" si="102"/>
        <v>26053</v>
      </c>
      <c r="V297">
        <f t="shared" ca="1" si="103"/>
        <v>0</v>
      </c>
      <c r="W297">
        <v>70</v>
      </c>
      <c r="X297" t="str">
        <f t="shared" ca="1" si="104"/>
        <v/>
      </c>
      <c r="Y297" t="s">
        <v>28</v>
      </c>
      <c r="Z297">
        <f t="shared" ca="1" si="105"/>
        <v>0</v>
      </c>
      <c r="AA297" t="str">
        <f t="shared" ca="1" si="106"/>
        <v>SPPN</v>
      </c>
      <c r="AB297">
        <f t="shared" ca="1" si="107"/>
        <v>1</v>
      </c>
      <c r="AC297">
        <f t="shared" ca="1" si="108"/>
        <v>0</v>
      </c>
      <c r="AD297" t="str">
        <f t="shared" si="98"/>
        <v>4093RN153</v>
      </c>
      <c r="AE297">
        <f t="shared" ca="1" si="109"/>
        <v>0</v>
      </c>
      <c r="AF297" t="str">
        <f t="shared" ca="1" si="110"/>
        <v/>
      </c>
      <c r="AG297">
        <v>70</v>
      </c>
      <c r="AH297" t="s">
        <v>136</v>
      </c>
      <c r="AI297" t="str">
        <f t="shared" si="99"/>
        <v>Lutheran Home 25</v>
      </c>
      <c r="AJ297" t="str">
        <f t="shared" si="100"/>
        <v>Green Bay</v>
      </c>
      <c r="AK297" t="str">
        <f t="shared" si="101"/>
        <v>WI</v>
      </c>
    </row>
    <row r="298" spans="18:37" x14ac:dyDescent="0.25">
      <c r="S298">
        <v>40</v>
      </c>
      <c r="T298">
        <f t="shared" si="97"/>
        <v>129</v>
      </c>
      <c r="U298">
        <f t="shared" si="102"/>
        <v>26053</v>
      </c>
      <c r="V298">
        <f t="shared" ca="1" si="103"/>
        <v>0</v>
      </c>
      <c r="W298">
        <v>70</v>
      </c>
      <c r="X298" t="str">
        <f t="shared" ca="1" si="104"/>
        <v/>
      </c>
      <c r="Y298" t="s">
        <v>32</v>
      </c>
      <c r="Z298">
        <f t="shared" ca="1" si="105"/>
        <v>0</v>
      </c>
      <c r="AA298" t="str">
        <f t="shared" ca="1" si="106"/>
        <v>SPPN</v>
      </c>
      <c r="AB298">
        <f t="shared" ca="1" si="107"/>
        <v>1</v>
      </c>
      <c r="AC298">
        <f t="shared" ca="1" si="108"/>
        <v>0</v>
      </c>
      <c r="AD298" t="str">
        <f t="shared" si="98"/>
        <v>4093RN153</v>
      </c>
      <c r="AE298">
        <f t="shared" ca="1" si="109"/>
        <v>0</v>
      </c>
      <c r="AF298" t="str">
        <f t="shared" ca="1" si="110"/>
        <v/>
      </c>
      <c r="AG298">
        <v>70</v>
      </c>
      <c r="AH298" t="s">
        <v>136</v>
      </c>
      <c r="AI298" t="str">
        <f t="shared" si="99"/>
        <v>Lutheran Home 25</v>
      </c>
      <c r="AJ298" t="str">
        <f t="shared" si="100"/>
        <v>Green Bay</v>
      </c>
      <c r="AK298" t="str">
        <f t="shared" si="101"/>
        <v>WI</v>
      </c>
    </row>
    <row r="299" spans="18:37" x14ac:dyDescent="0.25">
      <c r="R299">
        <v>1</v>
      </c>
      <c r="S299">
        <v>41</v>
      </c>
      <c r="T299">
        <f t="shared" si="97"/>
        <v>129</v>
      </c>
      <c r="U299">
        <f t="shared" si="102"/>
        <v>26053</v>
      </c>
      <c r="V299">
        <f t="shared" ca="1" si="103"/>
        <v>0</v>
      </c>
      <c r="W299">
        <v>71</v>
      </c>
      <c r="X299" t="str">
        <f t="shared" ca="1" si="104"/>
        <v/>
      </c>
      <c r="Y299" t="s">
        <v>9</v>
      </c>
      <c r="Z299">
        <f t="shared" ca="1" si="105"/>
        <v>0</v>
      </c>
      <c r="AA299" t="str">
        <f t="shared" ca="1" si="106"/>
        <v>SPPN</v>
      </c>
      <c r="AB299">
        <f t="shared" ca="1" si="107"/>
        <v>1</v>
      </c>
      <c r="AC299" t="str">
        <f t="shared" ca="1" si="108"/>
        <v/>
      </c>
      <c r="AD299" t="str">
        <f t="shared" si="98"/>
        <v>4093RN153</v>
      </c>
      <c r="AE299">
        <f t="shared" ca="1" si="109"/>
        <v>0</v>
      </c>
      <c r="AF299" t="str">
        <f t="shared" ca="1" si="110"/>
        <v/>
      </c>
      <c r="AG299">
        <v>71</v>
      </c>
      <c r="AH299" t="s">
        <v>136</v>
      </c>
      <c r="AI299" t="str">
        <f t="shared" si="99"/>
        <v>Lutheran Home 25</v>
      </c>
      <c r="AJ299" t="str">
        <f t="shared" si="100"/>
        <v>Green Bay</v>
      </c>
      <c r="AK299" t="str">
        <f t="shared" si="101"/>
        <v>WI</v>
      </c>
    </row>
    <row r="300" spans="18:37" x14ac:dyDescent="0.25">
      <c r="S300">
        <v>42</v>
      </c>
      <c r="T300">
        <f t="shared" si="97"/>
        <v>129</v>
      </c>
      <c r="U300">
        <f t="shared" si="102"/>
        <v>26053</v>
      </c>
      <c r="V300">
        <f t="shared" ca="1" si="103"/>
        <v>0</v>
      </c>
      <c r="W300">
        <v>71</v>
      </c>
      <c r="X300" t="str">
        <f t="shared" ca="1" si="104"/>
        <v/>
      </c>
      <c r="Y300" t="s">
        <v>33</v>
      </c>
      <c r="Z300">
        <f t="shared" ca="1" si="105"/>
        <v>0</v>
      </c>
      <c r="AA300" t="str">
        <f t="shared" ca="1" si="106"/>
        <v>SPPN</v>
      </c>
      <c r="AB300">
        <f t="shared" ca="1" si="107"/>
        <v>1</v>
      </c>
      <c r="AC300" t="str">
        <f t="shared" ca="1" si="108"/>
        <v/>
      </c>
      <c r="AD300" t="str">
        <f t="shared" si="98"/>
        <v>4093RN153</v>
      </c>
      <c r="AE300">
        <f t="shared" ca="1" si="109"/>
        <v>0</v>
      </c>
      <c r="AF300" t="str">
        <f t="shared" ca="1" si="110"/>
        <v/>
      </c>
      <c r="AG300">
        <v>71</v>
      </c>
      <c r="AH300" t="s">
        <v>136</v>
      </c>
      <c r="AI300" t="str">
        <f t="shared" si="99"/>
        <v>Lutheran Home 25</v>
      </c>
      <c r="AJ300" t="str">
        <f t="shared" si="100"/>
        <v>Green Bay</v>
      </c>
      <c r="AK300" t="str">
        <f t="shared" si="101"/>
        <v>WI</v>
      </c>
    </row>
    <row r="301" spans="18:37" x14ac:dyDescent="0.25">
      <c r="S301">
        <v>43</v>
      </c>
      <c r="T301">
        <f t="shared" si="97"/>
        <v>129</v>
      </c>
      <c r="U301">
        <f t="shared" si="102"/>
        <v>26053</v>
      </c>
      <c r="V301">
        <f t="shared" ca="1" si="103"/>
        <v>0</v>
      </c>
      <c r="W301">
        <v>71</v>
      </c>
      <c r="X301" t="str">
        <f t="shared" ca="1" si="104"/>
        <v/>
      </c>
      <c r="Y301" t="s">
        <v>28</v>
      </c>
      <c r="Z301">
        <f t="shared" ca="1" si="105"/>
        <v>0</v>
      </c>
      <c r="AA301" t="str">
        <f t="shared" ca="1" si="106"/>
        <v>SPPN</v>
      </c>
      <c r="AB301">
        <f t="shared" ca="1" si="107"/>
        <v>1</v>
      </c>
      <c r="AC301">
        <f t="shared" ca="1" si="108"/>
        <v>0</v>
      </c>
      <c r="AD301" t="str">
        <f t="shared" si="98"/>
        <v>4093RN153</v>
      </c>
      <c r="AE301">
        <f t="shared" ca="1" si="109"/>
        <v>0</v>
      </c>
      <c r="AF301" t="str">
        <f t="shared" ca="1" si="110"/>
        <v/>
      </c>
      <c r="AG301">
        <v>71</v>
      </c>
      <c r="AH301" t="s">
        <v>136</v>
      </c>
      <c r="AI301" t="str">
        <f t="shared" si="99"/>
        <v>Lutheran Home 25</v>
      </c>
      <c r="AJ301" t="str">
        <f t="shared" si="100"/>
        <v>Green Bay</v>
      </c>
      <c r="AK301" t="str">
        <f t="shared" si="101"/>
        <v>WI</v>
      </c>
    </row>
    <row r="302" spans="18:37" x14ac:dyDescent="0.25">
      <c r="S302">
        <v>44</v>
      </c>
      <c r="T302">
        <f t="shared" si="97"/>
        <v>129</v>
      </c>
      <c r="U302">
        <f t="shared" si="102"/>
        <v>26053</v>
      </c>
      <c r="V302">
        <f t="shared" ca="1" si="103"/>
        <v>0</v>
      </c>
      <c r="W302">
        <v>71</v>
      </c>
      <c r="X302" t="str">
        <f t="shared" ca="1" si="104"/>
        <v/>
      </c>
      <c r="Y302" t="s">
        <v>32</v>
      </c>
      <c r="Z302">
        <f t="shared" ca="1" si="105"/>
        <v>0</v>
      </c>
      <c r="AA302" t="str">
        <f t="shared" ca="1" si="106"/>
        <v>SPPN</v>
      </c>
      <c r="AB302">
        <f t="shared" ca="1" si="107"/>
        <v>1</v>
      </c>
      <c r="AC302">
        <f t="shared" ca="1" si="108"/>
        <v>0</v>
      </c>
      <c r="AD302" t="str">
        <f t="shared" si="98"/>
        <v>4093RN153</v>
      </c>
      <c r="AE302">
        <f t="shared" ca="1" si="109"/>
        <v>0</v>
      </c>
      <c r="AF302" t="str">
        <f t="shared" ca="1" si="110"/>
        <v/>
      </c>
      <c r="AG302">
        <v>71</v>
      </c>
      <c r="AH302" t="s">
        <v>136</v>
      </c>
      <c r="AI302" t="str">
        <f t="shared" si="99"/>
        <v>Lutheran Home 25</v>
      </c>
      <c r="AJ302" t="str">
        <f t="shared" si="100"/>
        <v>Green Bay</v>
      </c>
      <c r="AK302" t="str">
        <f t="shared" si="101"/>
        <v>WI</v>
      </c>
    </row>
    <row r="303" spans="18:37" x14ac:dyDescent="0.25">
      <c r="R303">
        <v>1</v>
      </c>
      <c r="S303">
        <v>45</v>
      </c>
      <c r="T303">
        <f t="shared" si="97"/>
        <v>129</v>
      </c>
      <c r="U303">
        <f t="shared" si="102"/>
        <v>26053</v>
      </c>
      <c r="V303">
        <f t="shared" ca="1" si="103"/>
        <v>0</v>
      </c>
      <c r="W303">
        <v>72</v>
      </c>
      <c r="X303" t="str">
        <f t="shared" ca="1" si="104"/>
        <v/>
      </c>
      <c r="Y303" t="s">
        <v>9</v>
      </c>
      <c r="Z303">
        <f t="shared" ca="1" si="105"/>
        <v>0</v>
      </c>
      <c r="AA303" t="str">
        <f t="shared" ca="1" si="106"/>
        <v>SPPN</v>
      </c>
      <c r="AB303">
        <f t="shared" ca="1" si="107"/>
        <v>1</v>
      </c>
      <c r="AC303" t="str">
        <f t="shared" ca="1" si="108"/>
        <v/>
      </c>
      <c r="AD303" t="str">
        <f t="shared" si="98"/>
        <v>4093RN153</v>
      </c>
      <c r="AE303">
        <f t="shared" ca="1" si="109"/>
        <v>0</v>
      </c>
      <c r="AF303" t="str">
        <f t="shared" ca="1" si="110"/>
        <v/>
      </c>
      <c r="AG303">
        <v>72</v>
      </c>
      <c r="AH303" t="s">
        <v>136</v>
      </c>
      <c r="AI303" t="str">
        <f t="shared" si="99"/>
        <v>Lutheran Home 25</v>
      </c>
      <c r="AJ303" t="str">
        <f t="shared" si="100"/>
        <v>Green Bay</v>
      </c>
      <c r="AK303" t="str">
        <f t="shared" si="101"/>
        <v>WI</v>
      </c>
    </row>
    <row r="304" spans="18:37" x14ac:dyDescent="0.25">
      <c r="S304">
        <v>46</v>
      </c>
      <c r="T304">
        <f t="shared" si="97"/>
        <v>129</v>
      </c>
      <c r="U304">
        <f t="shared" si="102"/>
        <v>26053</v>
      </c>
      <c r="V304">
        <f t="shared" ca="1" si="103"/>
        <v>0</v>
      </c>
      <c r="W304">
        <v>72</v>
      </c>
      <c r="X304" t="str">
        <f t="shared" ca="1" si="104"/>
        <v/>
      </c>
      <c r="Y304" t="s">
        <v>33</v>
      </c>
      <c r="Z304">
        <f t="shared" ca="1" si="105"/>
        <v>0</v>
      </c>
      <c r="AA304" t="str">
        <f t="shared" ca="1" si="106"/>
        <v>SPPN</v>
      </c>
      <c r="AB304">
        <f t="shared" ca="1" si="107"/>
        <v>1</v>
      </c>
      <c r="AC304" t="str">
        <f t="shared" ca="1" si="108"/>
        <v/>
      </c>
      <c r="AD304" t="str">
        <f t="shared" si="98"/>
        <v>4093RN153</v>
      </c>
      <c r="AE304">
        <f t="shared" ca="1" si="109"/>
        <v>0</v>
      </c>
      <c r="AF304" t="str">
        <f t="shared" ca="1" si="110"/>
        <v/>
      </c>
      <c r="AG304">
        <v>72</v>
      </c>
      <c r="AH304" t="s">
        <v>136</v>
      </c>
      <c r="AI304" t="str">
        <f t="shared" si="99"/>
        <v>Lutheran Home 25</v>
      </c>
      <c r="AJ304" t="str">
        <f t="shared" si="100"/>
        <v>Green Bay</v>
      </c>
      <c r="AK304" t="str">
        <f t="shared" si="101"/>
        <v>WI</v>
      </c>
    </row>
    <row r="305" spans="18:37" x14ac:dyDescent="0.25">
      <c r="S305">
        <v>47</v>
      </c>
      <c r="T305">
        <f t="shared" si="97"/>
        <v>129</v>
      </c>
      <c r="U305">
        <f t="shared" si="102"/>
        <v>26053</v>
      </c>
      <c r="V305">
        <f t="shared" ca="1" si="103"/>
        <v>0</v>
      </c>
      <c r="W305">
        <v>72</v>
      </c>
      <c r="X305" t="str">
        <f t="shared" ca="1" si="104"/>
        <v/>
      </c>
      <c r="Y305" t="s">
        <v>28</v>
      </c>
      <c r="Z305">
        <f t="shared" ca="1" si="105"/>
        <v>0</v>
      </c>
      <c r="AA305" t="str">
        <f t="shared" ca="1" si="106"/>
        <v>SPPN</v>
      </c>
      <c r="AB305">
        <f t="shared" ca="1" si="107"/>
        <v>1</v>
      </c>
      <c r="AC305">
        <f t="shared" ca="1" si="108"/>
        <v>0</v>
      </c>
      <c r="AD305" t="str">
        <f t="shared" si="98"/>
        <v>4093RN153</v>
      </c>
      <c r="AE305">
        <f t="shared" ca="1" si="109"/>
        <v>0</v>
      </c>
      <c r="AF305" t="str">
        <f t="shared" ca="1" si="110"/>
        <v/>
      </c>
      <c r="AG305">
        <v>72</v>
      </c>
      <c r="AH305" t="s">
        <v>136</v>
      </c>
      <c r="AI305" t="str">
        <f t="shared" si="99"/>
        <v>Lutheran Home 25</v>
      </c>
      <c r="AJ305" t="str">
        <f t="shared" si="100"/>
        <v>Green Bay</v>
      </c>
      <c r="AK305" t="str">
        <f t="shared" si="101"/>
        <v>WI</v>
      </c>
    </row>
    <row r="306" spans="18:37" x14ac:dyDescent="0.25">
      <c r="S306">
        <v>48</v>
      </c>
      <c r="T306">
        <f t="shared" si="97"/>
        <v>129</v>
      </c>
      <c r="U306">
        <f t="shared" si="102"/>
        <v>26053</v>
      </c>
      <c r="V306">
        <f t="shared" ca="1" si="103"/>
        <v>0</v>
      </c>
      <c r="W306">
        <v>72</v>
      </c>
      <c r="X306" t="str">
        <f t="shared" ca="1" si="104"/>
        <v/>
      </c>
      <c r="Y306" t="s">
        <v>32</v>
      </c>
      <c r="Z306">
        <f t="shared" ca="1" si="105"/>
        <v>0</v>
      </c>
      <c r="AA306" t="str">
        <f t="shared" ca="1" si="106"/>
        <v>SPPN</v>
      </c>
      <c r="AB306">
        <f t="shared" ca="1" si="107"/>
        <v>1</v>
      </c>
      <c r="AC306">
        <f t="shared" ca="1" si="108"/>
        <v>0</v>
      </c>
      <c r="AD306" t="str">
        <f t="shared" si="98"/>
        <v>4093RN153</v>
      </c>
      <c r="AE306">
        <f t="shared" ca="1" si="109"/>
        <v>0</v>
      </c>
      <c r="AF306" t="str">
        <f t="shared" ca="1" si="110"/>
        <v/>
      </c>
      <c r="AG306">
        <v>72</v>
      </c>
      <c r="AH306" t="s">
        <v>136</v>
      </c>
      <c r="AI306" t="str">
        <f t="shared" si="99"/>
        <v>Lutheran Home 25</v>
      </c>
      <c r="AJ306" t="str">
        <f t="shared" si="100"/>
        <v>Green Bay</v>
      </c>
      <c r="AK306" t="str">
        <f t="shared" si="101"/>
        <v>WI</v>
      </c>
    </row>
    <row r="307" spans="18:37" x14ac:dyDescent="0.25">
      <c r="R307">
        <v>1</v>
      </c>
      <c r="S307">
        <v>49</v>
      </c>
      <c r="T307">
        <f t="shared" si="97"/>
        <v>129</v>
      </c>
      <c r="U307">
        <f t="shared" si="102"/>
        <v>26053</v>
      </c>
      <c r="V307">
        <f t="shared" ca="1" si="103"/>
        <v>0</v>
      </c>
      <c r="W307">
        <v>73</v>
      </c>
      <c r="X307" t="str">
        <f t="shared" ca="1" si="104"/>
        <v/>
      </c>
      <c r="Y307" t="s">
        <v>9</v>
      </c>
      <c r="Z307">
        <f t="shared" ca="1" si="105"/>
        <v>0</v>
      </c>
      <c r="AA307" t="str">
        <f t="shared" ca="1" si="106"/>
        <v>SPPN</v>
      </c>
      <c r="AB307">
        <f t="shared" ca="1" si="107"/>
        <v>1</v>
      </c>
      <c r="AC307" t="str">
        <f t="shared" ca="1" si="108"/>
        <v/>
      </c>
      <c r="AD307" t="str">
        <f t="shared" si="98"/>
        <v>4093RN153</v>
      </c>
      <c r="AE307">
        <f t="shared" ca="1" si="109"/>
        <v>0</v>
      </c>
      <c r="AF307" t="str">
        <f t="shared" ca="1" si="110"/>
        <v/>
      </c>
      <c r="AG307">
        <v>73</v>
      </c>
      <c r="AH307" t="s">
        <v>136</v>
      </c>
      <c r="AI307" t="str">
        <f t="shared" si="99"/>
        <v>Lutheran Home 25</v>
      </c>
      <c r="AJ307" t="str">
        <f t="shared" si="100"/>
        <v>Green Bay</v>
      </c>
      <c r="AK307" t="str">
        <f t="shared" si="101"/>
        <v>WI</v>
      </c>
    </row>
    <row r="308" spans="18:37" x14ac:dyDescent="0.25">
      <c r="S308">
        <v>50</v>
      </c>
      <c r="T308">
        <f t="shared" si="97"/>
        <v>129</v>
      </c>
      <c r="U308">
        <f t="shared" si="102"/>
        <v>26053</v>
      </c>
      <c r="V308">
        <f t="shared" ca="1" si="103"/>
        <v>0</v>
      </c>
      <c r="W308">
        <v>73</v>
      </c>
      <c r="X308" t="str">
        <f t="shared" ca="1" si="104"/>
        <v/>
      </c>
      <c r="Y308" t="s">
        <v>33</v>
      </c>
      <c r="Z308">
        <f t="shared" ca="1" si="105"/>
        <v>0</v>
      </c>
      <c r="AA308" t="str">
        <f t="shared" ca="1" si="106"/>
        <v>SPPN</v>
      </c>
      <c r="AB308">
        <f t="shared" ca="1" si="107"/>
        <v>1</v>
      </c>
      <c r="AC308" t="str">
        <f t="shared" ca="1" si="108"/>
        <v/>
      </c>
      <c r="AD308" t="str">
        <f t="shared" si="98"/>
        <v>4093RN153</v>
      </c>
      <c r="AE308">
        <f t="shared" ca="1" si="109"/>
        <v>0</v>
      </c>
      <c r="AF308" t="str">
        <f t="shared" ca="1" si="110"/>
        <v/>
      </c>
      <c r="AG308">
        <v>73</v>
      </c>
      <c r="AH308" t="s">
        <v>136</v>
      </c>
      <c r="AI308" t="str">
        <f t="shared" si="99"/>
        <v>Lutheran Home 25</v>
      </c>
      <c r="AJ308" t="str">
        <f t="shared" si="100"/>
        <v>Green Bay</v>
      </c>
      <c r="AK308" t="str">
        <f t="shared" si="101"/>
        <v>WI</v>
      </c>
    </row>
    <row r="309" spans="18:37" x14ac:dyDescent="0.25">
      <c r="S309">
        <v>51</v>
      </c>
      <c r="T309">
        <f t="shared" si="97"/>
        <v>129</v>
      </c>
      <c r="U309">
        <f t="shared" si="102"/>
        <v>26053</v>
      </c>
      <c r="V309">
        <f t="shared" ca="1" si="103"/>
        <v>0</v>
      </c>
      <c r="W309">
        <v>73</v>
      </c>
      <c r="X309" t="str">
        <f t="shared" ca="1" si="104"/>
        <v/>
      </c>
      <c r="Y309" t="s">
        <v>28</v>
      </c>
      <c r="Z309">
        <f t="shared" ca="1" si="105"/>
        <v>0</v>
      </c>
      <c r="AA309" t="str">
        <f t="shared" ca="1" si="106"/>
        <v>SPPN</v>
      </c>
      <c r="AB309">
        <f t="shared" ca="1" si="107"/>
        <v>1</v>
      </c>
      <c r="AC309">
        <f t="shared" ca="1" si="108"/>
        <v>0</v>
      </c>
      <c r="AD309" t="str">
        <f t="shared" si="98"/>
        <v>4093RN153</v>
      </c>
      <c r="AE309">
        <f t="shared" ca="1" si="109"/>
        <v>0</v>
      </c>
      <c r="AF309" t="str">
        <f t="shared" ca="1" si="110"/>
        <v/>
      </c>
      <c r="AG309">
        <v>73</v>
      </c>
      <c r="AH309" t="s">
        <v>136</v>
      </c>
      <c r="AI309" t="str">
        <f t="shared" si="99"/>
        <v>Lutheran Home 25</v>
      </c>
      <c r="AJ309" t="str">
        <f t="shared" si="100"/>
        <v>Green Bay</v>
      </c>
      <c r="AK309" t="str">
        <f t="shared" si="101"/>
        <v>WI</v>
      </c>
    </row>
    <row r="310" spans="18:37" x14ac:dyDescent="0.25">
      <c r="S310">
        <v>52</v>
      </c>
      <c r="T310">
        <f t="shared" si="97"/>
        <v>129</v>
      </c>
      <c r="U310">
        <f t="shared" si="102"/>
        <v>26053</v>
      </c>
      <c r="V310">
        <f t="shared" ca="1" si="103"/>
        <v>0</v>
      </c>
      <c r="W310">
        <v>73</v>
      </c>
      <c r="X310" t="str">
        <f t="shared" ca="1" si="104"/>
        <v/>
      </c>
      <c r="Y310" t="s">
        <v>32</v>
      </c>
      <c r="Z310">
        <f t="shared" ca="1" si="105"/>
        <v>0</v>
      </c>
      <c r="AA310" t="str">
        <f t="shared" ca="1" si="106"/>
        <v>SPPN</v>
      </c>
      <c r="AB310">
        <f t="shared" ca="1" si="107"/>
        <v>1</v>
      </c>
      <c r="AC310">
        <f t="shared" ca="1" si="108"/>
        <v>0</v>
      </c>
      <c r="AD310" t="str">
        <f t="shared" si="98"/>
        <v>4093RN153</v>
      </c>
      <c r="AE310">
        <f t="shared" ca="1" si="109"/>
        <v>0</v>
      </c>
      <c r="AF310" t="str">
        <f t="shared" ca="1" si="110"/>
        <v/>
      </c>
      <c r="AG310">
        <v>73</v>
      </c>
      <c r="AH310" t="s">
        <v>136</v>
      </c>
      <c r="AI310" t="str">
        <f t="shared" si="99"/>
        <v>Lutheran Home 25</v>
      </c>
      <c r="AJ310" t="str">
        <f t="shared" si="100"/>
        <v>Green Bay</v>
      </c>
      <c r="AK310" t="str">
        <f t="shared" si="101"/>
        <v>WI</v>
      </c>
    </row>
    <row r="311" spans="18:37" x14ac:dyDescent="0.25">
      <c r="R311">
        <v>1</v>
      </c>
      <c r="S311">
        <v>53</v>
      </c>
      <c r="T311">
        <f t="shared" si="97"/>
        <v>129</v>
      </c>
      <c r="U311">
        <f t="shared" si="102"/>
        <v>26053</v>
      </c>
      <c r="V311">
        <f t="shared" ca="1" si="103"/>
        <v>0</v>
      </c>
      <c r="W311">
        <v>74</v>
      </c>
      <c r="X311" t="str">
        <f t="shared" ca="1" si="104"/>
        <v/>
      </c>
      <c r="Y311" t="s">
        <v>9</v>
      </c>
      <c r="Z311">
        <f t="shared" ca="1" si="105"/>
        <v>0</v>
      </c>
      <c r="AA311" t="str">
        <f t="shared" ca="1" si="106"/>
        <v>SPPN</v>
      </c>
      <c r="AB311">
        <f t="shared" ca="1" si="107"/>
        <v>1</v>
      </c>
      <c r="AC311" t="str">
        <f t="shared" ca="1" si="108"/>
        <v/>
      </c>
      <c r="AD311" t="str">
        <f t="shared" si="98"/>
        <v>4093RN153</v>
      </c>
      <c r="AE311">
        <f t="shared" ca="1" si="109"/>
        <v>0</v>
      </c>
      <c r="AF311" t="str">
        <f t="shared" ca="1" si="110"/>
        <v/>
      </c>
      <c r="AG311">
        <v>74</v>
      </c>
      <c r="AH311" t="s">
        <v>136</v>
      </c>
      <c r="AI311" t="str">
        <f t="shared" si="99"/>
        <v>Lutheran Home 25</v>
      </c>
      <c r="AJ311" t="str">
        <f t="shared" si="100"/>
        <v>Green Bay</v>
      </c>
      <c r="AK311" t="str">
        <f t="shared" si="101"/>
        <v>WI</v>
      </c>
    </row>
    <row r="312" spans="18:37" x14ac:dyDescent="0.25">
      <c r="S312">
        <v>54</v>
      </c>
      <c r="T312">
        <f t="shared" si="97"/>
        <v>129</v>
      </c>
      <c r="U312">
        <f t="shared" si="102"/>
        <v>26053</v>
      </c>
      <c r="V312">
        <f t="shared" ca="1" si="103"/>
        <v>0</v>
      </c>
      <c r="W312">
        <v>74</v>
      </c>
      <c r="X312" t="str">
        <f t="shared" ca="1" si="104"/>
        <v/>
      </c>
      <c r="Y312" t="s">
        <v>33</v>
      </c>
      <c r="Z312">
        <f t="shared" ca="1" si="105"/>
        <v>0</v>
      </c>
      <c r="AA312" t="str">
        <f t="shared" ca="1" si="106"/>
        <v>SPPN</v>
      </c>
      <c r="AB312">
        <f t="shared" ca="1" si="107"/>
        <v>1</v>
      </c>
      <c r="AC312" t="str">
        <f t="shared" ca="1" si="108"/>
        <v/>
      </c>
      <c r="AD312" t="str">
        <f t="shared" si="98"/>
        <v>4093RN153</v>
      </c>
      <c r="AE312">
        <f t="shared" ca="1" si="109"/>
        <v>0</v>
      </c>
      <c r="AF312" t="str">
        <f t="shared" ca="1" si="110"/>
        <v/>
      </c>
      <c r="AG312">
        <v>74</v>
      </c>
      <c r="AH312" t="s">
        <v>136</v>
      </c>
      <c r="AI312" t="str">
        <f t="shared" si="99"/>
        <v>Lutheran Home 25</v>
      </c>
      <c r="AJ312" t="str">
        <f t="shared" si="100"/>
        <v>Green Bay</v>
      </c>
      <c r="AK312" t="str">
        <f t="shared" si="101"/>
        <v>WI</v>
      </c>
    </row>
    <row r="313" spans="18:37" x14ac:dyDescent="0.25">
      <c r="S313">
        <v>55</v>
      </c>
      <c r="T313">
        <f t="shared" si="97"/>
        <v>129</v>
      </c>
      <c r="U313">
        <f t="shared" si="102"/>
        <v>26053</v>
      </c>
      <c r="V313">
        <f t="shared" ca="1" si="103"/>
        <v>0</v>
      </c>
      <c r="W313">
        <v>74</v>
      </c>
      <c r="X313" t="str">
        <f t="shared" ca="1" si="104"/>
        <v/>
      </c>
      <c r="Y313" t="s">
        <v>28</v>
      </c>
      <c r="Z313">
        <f t="shared" ca="1" si="105"/>
        <v>0</v>
      </c>
      <c r="AA313" t="str">
        <f t="shared" ca="1" si="106"/>
        <v>SPPN</v>
      </c>
      <c r="AB313">
        <f t="shared" ca="1" si="107"/>
        <v>1</v>
      </c>
      <c r="AC313">
        <f t="shared" ca="1" si="108"/>
        <v>0</v>
      </c>
      <c r="AD313" t="str">
        <f t="shared" si="98"/>
        <v>4093RN153</v>
      </c>
      <c r="AE313">
        <f t="shared" ca="1" si="109"/>
        <v>0</v>
      </c>
      <c r="AF313" t="str">
        <f t="shared" ca="1" si="110"/>
        <v/>
      </c>
      <c r="AG313">
        <v>74</v>
      </c>
      <c r="AH313" t="s">
        <v>136</v>
      </c>
      <c r="AI313" t="str">
        <f t="shared" si="99"/>
        <v>Lutheran Home 25</v>
      </c>
      <c r="AJ313" t="str">
        <f t="shared" si="100"/>
        <v>Green Bay</v>
      </c>
      <c r="AK313" t="str">
        <f t="shared" si="101"/>
        <v>WI</v>
      </c>
    </row>
    <row r="314" spans="18:37" x14ac:dyDescent="0.25">
      <c r="S314">
        <v>56</v>
      </c>
      <c r="T314">
        <f t="shared" si="97"/>
        <v>129</v>
      </c>
      <c r="U314">
        <f t="shared" si="102"/>
        <v>26053</v>
      </c>
      <c r="V314">
        <f t="shared" ca="1" si="103"/>
        <v>0</v>
      </c>
      <c r="W314">
        <v>74</v>
      </c>
      <c r="X314" t="str">
        <f t="shared" ca="1" si="104"/>
        <v/>
      </c>
      <c r="Y314" t="s">
        <v>32</v>
      </c>
      <c r="Z314">
        <f t="shared" ca="1" si="105"/>
        <v>0</v>
      </c>
      <c r="AA314" t="str">
        <f t="shared" ca="1" si="106"/>
        <v>SPPN</v>
      </c>
      <c r="AB314">
        <f t="shared" ca="1" si="107"/>
        <v>1</v>
      </c>
      <c r="AC314">
        <f t="shared" ca="1" si="108"/>
        <v>0</v>
      </c>
      <c r="AD314" t="str">
        <f t="shared" si="98"/>
        <v>4093RN153</v>
      </c>
      <c r="AE314">
        <f t="shared" ca="1" si="109"/>
        <v>0</v>
      </c>
      <c r="AF314" t="str">
        <f t="shared" ca="1" si="110"/>
        <v/>
      </c>
      <c r="AG314">
        <v>74</v>
      </c>
      <c r="AH314" t="s">
        <v>136</v>
      </c>
      <c r="AI314" t="str">
        <f t="shared" si="99"/>
        <v>Lutheran Home 25</v>
      </c>
      <c r="AJ314" t="str">
        <f t="shared" si="100"/>
        <v>Green Bay</v>
      </c>
      <c r="AK314" t="str">
        <f t="shared" si="101"/>
        <v>WI</v>
      </c>
    </row>
    <row r="315" spans="18:37" x14ac:dyDescent="0.25">
      <c r="R315">
        <v>1</v>
      </c>
      <c r="S315">
        <v>57</v>
      </c>
      <c r="T315">
        <f t="shared" si="97"/>
        <v>129</v>
      </c>
      <c r="U315">
        <f t="shared" si="102"/>
        <v>26053</v>
      </c>
      <c r="V315">
        <f t="shared" ca="1" si="103"/>
        <v>0</v>
      </c>
      <c r="W315">
        <v>75</v>
      </c>
      <c r="X315" t="str">
        <f t="shared" ca="1" si="104"/>
        <v/>
      </c>
      <c r="Y315" t="s">
        <v>9</v>
      </c>
      <c r="Z315">
        <f t="shared" ca="1" si="105"/>
        <v>0</v>
      </c>
      <c r="AA315" t="str">
        <f t="shared" ca="1" si="106"/>
        <v>SPPN</v>
      </c>
      <c r="AB315">
        <f t="shared" ca="1" si="107"/>
        <v>1</v>
      </c>
      <c r="AC315" t="str">
        <f t="shared" ca="1" si="108"/>
        <v/>
      </c>
      <c r="AD315" t="str">
        <f t="shared" si="98"/>
        <v>4093RN153</v>
      </c>
      <c r="AE315">
        <f t="shared" ca="1" si="109"/>
        <v>0</v>
      </c>
      <c r="AF315" t="str">
        <f t="shared" ca="1" si="110"/>
        <v/>
      </c>
      <c r="AG315">
        <v>75</v>
      </c>
      <c r="AH315" t="s">
        <v>136</v>
      </c>
      <c r="AI315" t="str">
        <f t="shared" si="99"/>
        <v>Lutheran Home 25</v>
      </c>
      <c r="AJ315" t="str">
        <f t="shared" si="100"/>
        <v>Green Bay</v>
      </c>
      <c r="AK315" t="str">
        <f t="shared" si="101"/>
        <v>WI</v>
      </c>
    </row>
    <row r="316" spans="18:37" x14ac:dyDescent="0.25">
      <c r="S316">
        <v>58</v>
      </c>
      <c r="T316">
        <f t="shared" si="97"/>
        <v>129</v>
      </c>
      <c r="U316">
        <f t="shared" si="102"/>
        <v>26053</v>
      </c>
      <c r="V316">
        <f t="shared" ca="1" si="103"/>
        <v>0</v>
      </c>
      <c r="W316">
        <v>75</v>
      </c>
      <c r="X316" t="str">
        <f t="shared" ca="1" si="104"/>
        <v/>
      </c>
      <c r="Y316" t="s">
        <v>33</v>
      </c>
      <c r="Z316">
        <f t="shared" ca="1" si="105"/>
        <v>0</v>
      </c>
      <c r="AA316" t="str">
        <f t="shared" ca="1" si="106"/>
        <v>SPPN</v>
      </c>
      <c r="AB316">
        <f t="shared" ca="1" si="107"/>
        <v>1</v>
      </c>
      <c r="AC316" t="str">
        <f t="shared" ca="1" si="108"/>
        <v/>
      </c>
      <c r="AD316" t="str">
        <f t="shared" si="98"/>
        <v>4093RN153</v>
      </c>
      <c r="AE316">
        <f t="shared" ca="1" si="109"/>
        <v>0</v>
      </c>
      <c r="AF316" t="str">
        <f t="shared" ca="1" si="110"/>
        <v/>
      </c>
      <c r="AG316">
        <v>75</v>
      </c>
      <c r="AH316" t="s">
        <v>136</v>
      </c>
      <c r="AI316" t="str">
        <f t="shared" si="99"/>
        <v>Lutheran Home 25</v>
      </c>
      <c r="AJ316" t="str">
        <f t="shared" si="100"/>
        <v>Green Bay</v>
      </c>
      <c r="AK316" t="str">
        <f t="shared" si="101"/>
        <v>WI</v>
      </c>
    </row>
    <row r="317" spans="18:37" x14ac:dyDescent="0.25">
      <c r="S317">
        <v>59</v>
      </c>
      <c r="T317">
        <f t="shared" si="97"/>
        <v>129</v>
      </c>
      <c r="U317">
        <f t="shared" si="102"/>
        <v>26053</v>
      </c>
      <c r="V317">
        <f t="shared" ca="1" si="103"/>
        <v>0</v>
      </c>
      <c r="W317">
        <v>75</v>
      </c>
      <c r="X317" t="str">
        <f t="shared" ca="1" si="104"/>
        <v/>
      </c>
      <c r="Y317" t="s">
        <v>28</v>
      </c>
      <c r="Z317">
        <f t="shared" ca="1" si="105"/>
        <v>0</v>
      </c>
      <c r="AA317" t="str">
        <f t="shared" ca="1" si="106"/>
        <v>SPPN</v>
      </c>
      <c r="AB317">
        <f t="shared" ca="1" si="107"/>
        <v>1</v>
      </c>
      <c r="AC317">
        <f t="shared" ca="1" si="108"/>
        <v>0</v>
      </c>
      <c r="AD317" t="str">
        <f t="shared" si="98"/>
        <v>4093RN153</v>
      </c>
      <c r="AE317">
        <f t="shared" ca="1" si="109"/>
        <v>0</v>
      </c>
      <c r="AF317" t="str">
        <f t="shared" ca="1" si="110"/>
        <v/>
      </c>
      <c r="AG317">
        <v>75</v>
      </c>
      <c r="AH317" t="s">
        <v>136</v>
      </c>
      <c r="AI317" t="str">
        <f t="shared" si="99"/>
        <v>Lutheran Home 25</v>
      </c>
      <c r="AJ317" t="str">
        <f t="shared" si="100"/>
        <v>Green Bay</v>
      </c>
      <c r="AK317" t="str">
        <f t="shared" si="101"/>
        <v>WI</v>
      </c>
    </row>
    <row r="318" spans="18:37" x14ac:dyDescent="0.25">
      <c r="S318">
        <v>60</v>
      </c>
      <c r="T318">
        <f t="shared" si="97"/>
        <v>129</v>
      </c>
      <c r="U318">
        <f t="shared" si="102"/>
        <v>26053</v>
      </c>
      <c r="V318">
        <f t="shared" ca="1" si="103"/>
        <v>0</v>
      </c>
      <c r="W318">
        <v>75</v>
      </c>
      <c r="X318" t="str">
        <f t="shared" ca="1" si="104"/>
        <v/>
      </c>
      <c r="Y318" t="s">
        <v>32</v>
      </c>
      <c r="Z318">
        <f t="shared" ca="1" si="105"/>
        <v>0</v>
      </c>
      <c r="AA318" t="str">
        <f t="shared" ca="1" si="106"/>
        <v>SPPN</v>
      </c>
      <c r="AB318">
        <f t="shared" ca="1" si="107"/>
        <v>1</v>
      </c>
      <c r="AC318">
        <f t="shared" ca="1" si="108"/>
        <v>0</v>
      </c>
      <c r="AD318" t="str">
        <f t="shared" si="98"/>
        <v>4093RN153</v>
      </c>
      <c r="AE318">
        <f t="shared" ca="1" si="109"/>
        <v>0</v>
      </c>
      <c r="AF318" t="str">
        <f t="shared" ca="1" si="110"/>
        <v/>
      </c>
      <c r="AG318">
        <v>75</v>
      </c>
      <c r="AH318" t="s">
        <v>136</v>
      </c>
      <c r="AI318" t="str">
        <f t="shared" si="99"/>
        <v>Lutheran Home 25</v>
      </c>
      <c r="AJ318" t="str">
        <f t="shared" si="100"/>
        <v>Green Bay</v>
      </c>
      <c r="AK318" t="str">
        <f t="shared" si="101"/>
        <v>WI</v>
      </c>
    </row>
    <row r="319" spans="18:37" x14ac:dyDescent="0.25">
      <c r="R319">
        <v>1</v>
      </c>
      <c r="S319">
        <v>61</v>
      </c>
      <c r="T319">
        <f t="shared" si="97"/>
        <v>129</v>
      </c>
      <c r="U319">
        <f t="shared" si="102"/>
        <v>26053</v>
      </c>
      <c r="V319">
        <f t="shared" ca="1" si="103"/>
        <v>0</v>
      </c>
      <c r="W319">
        <v>76</v>
      </c>
      <c r="X319" t="str">
        <f t="shared" ca="1" si="104"/>
        <v/>
      </c>
      <c r="Y319" t="s">
        <v>9</v>
      </c>
      <c r="Z319">
        <f t="shared" ca="1" si="105"/>
        <v>0</v>
      </c>
      <c r="AA319" t="str">
        <f t="shared" ca="1" si="106"/>
        <v>SPPN</v>
      </c>
      <c r="AB319">
        <f t="shared" ca="1" si="107"/>
        <v>1</v>
      </c>
      <c r="AC319" t="str">
        <f t="shared" ca="1" si="108"/>
        <v/>
      </c>
      <c r="AD319" t="str">
        <f t="shared" si="98"/>
        <v>4093RN153</v>
      </c>
      <c r="AE319">
        <f t="shared" ca="1" si="109"/>
        <v>0</v>
      </c>
      <c r="AF319" t="str">
        <f t="shared" ca="1" si="110"/>
        <v/>
      </c>
      <c r="AG319">
        <v>76</v>
      </c>
      <c r="AH319" t="s">
        <v>136</v>
      </c>
      <c r="AI319" t="str">
        <f t="shared" si="99"/>
        <v>Lutheran Home 25</v>
      </c>
      <c r="AJ319" t="str">
        <f t="shared" si="100"/>
        <v>Green Bay</v>
      </c>
      <c r="AK319" t="str">
        <f t="shared" si="101"/>
        <v>WI</v>
      </c>
    </row>
    <row r="320" spans="18:37" x14ac:dyDescent="0.25">
      <c r="S320">
        <v>62</v>
      </c>
      <c r="T320">
        <f t="shared" si="97"/>
        <v>129</v>
      </c>
      <c r="U320">
        <f t="shared" si="102"/>
        <v>26053</v>
      </c>
      <c r="V320">
        <f t="shared" ca="1" si="103"/>
        <v>0</v>
      </c>
      <c r="W320">
        <v>76</v>
      </c>
      <c r="X320" t="str">
        <f t="shared" ca="1" si="104"/>
        <v/>
      </c>
      <c r="Y320" t="s">
        <v>33</v>
      </c>
      <c r="Z320">
        <f t="shared" ca="1" si="105"/>
        <v>0</v>
      </c>
      <c r="AA320" t="str">
        <f t="shared" ca="1" si="106"/>
        <v>SPPN</v>
      </c>
      <c r="AB320">
        <f t="shared" ca="1" si="107"/>
        <v>1</v>
      </c>
      <c r="AC320" t="str">
        <f t="shared" ca="1" si="108"/>
        <v/>
      </c>
      <c r="AD320" t="str">
        <f t="shared" si="98"/>
        <v>4093RN153</v>
      </c>
      <c r="AE320">
        <f t="shared" ca="1" si="109"/>
        <v>0</v>
      </c>
      <c r="AF320" t="str">
        <f t="shared" ca="1" si="110"/>
        <v/>
      </c>
      <c r="AG320">
        <v>76</v>
      </c>
      <c r="AH320" t="s">
        <v>136</v>
      </c>
      <c r="AI320" t="str">
        <f t="shared" si="99"/>
        <v>Lutheran Home 25</v>
      </c>
      <c r="AJ320" t="str">
        <f t="shared" si="100"/>
        <v>Green Bay</v>
      </c>
      <c r="AK320" t="str">
        <f t="shared" si="101"/>
        <v>WI</v>
      </c>
    </row>
    <row r="321" spans="18:37" x14ac:dyDescent="0.25">
      <c r="S321">
        <v>63</v>
      </c>
      <c r="T321">
        <f t="shared" si="97"/>
        <v>129</v>
      </c>
      <c r="U321">
        <f t="shared" si="102"/>
        <v>26053</v>
      </c>
      <c r="V321">
        <f t="shared" ca="1" si="103"/>
        <v>0</v>
      </c>
      <c r="W321">
        <v>76</v>
      </c>
      <c r="X321" t="str">
        <f t="shared" ca="1" si="104"/>
        <v/>
      </c>
      <c r="Y321" t="s">
        <v>28</v>
      </c>
      <c r="Z321">
        <f t="shared" ca="1" si="105"/>
        <v>0</v>
      </c>
      <c r="AA321" t="str">
        <f t="shared" ca="1" si="106"/>
        <v>SPPN</v>
      </c>
      <c r="AB321">
        <f t="shared" ca="1" si="107"/>
        <v>1</v>
      </c>
      <c r="AC321">
        <f t="shared" ca="1" si="108"/>
        <v>0</v>
      </c>
      <c r="AD321" t="str">
        <f t="shared" si="98"/>
        <v>4093RN153</v>
      </c>
      <c r="AE321">
        <f t="shared" ca="1" si="109"/>
        <v>0</v>
      </c>
      <c r="AF321" t="str">
        <f t="shared" ca="1" si="110"/>
        <v/>
      </c>
      <c r="AG321">
        <v>76</v>
      </c>
      <c r="AH321" t="s">
        <v>136</v>
      </c>
      <c r="AI321" t="str">
        <f t="shared" si="99"/>
        <v>Lutheran Home 25</v>
      </c>
      <c r="AJ321" t="str">
        <f t="shared" si="100"/>
        <v>Green Bay</v>
      </c>
      <c r="AK321" t="str">
        <f t="shared" si="101"/>
        <v>WI</v>
      </c>
    </row>
    <row r="322" spans="18:37" x14ac:dyDescent="0.25">
      <c r="S322">
        <v>64</v>
      </c>
      <c r="T322">
        <f t="shared" si="97"/>
        <v>129</v>
      </c>
      <c r="U322">
        <f t="shared" si="102"/>
        <v>26053</v>
      </c>
      <c r="V322">
        <f t="shared" ca="1" si="103"/>
        <v>0</v>
      </c>
      <c r="W322">
        <v>76</v>
      </c>
      <c r="X322" t="str">
        <f t="shared" ca="1" si="104"/>
        <v/>
      </c>
      <c r="Y322" t="s">
        <v>32</v>
      </c>
      <c r="Z322">
        <f t="shared" ca="1" si="105"/>
        <v>0</v>
      </c>
      <c r="AA322" t="str">
        <f t="shared" ca="1" si="106"/>
        <v>SPPN</v>
      </c>
      <c r="AB322">
        <f t="shared" ca="1" si="107"/>
        <v>1</v>
      </c>
      <c r="AC322">
        <f t="shared" ca="1" si="108"/>
        <v>0</v>
      </c>
      <c r="AD322" t="str">
        <f t="shared" si="98"/>
        <v>4093RN153</v>
      </c>
      <c r="AE322">
        <f t="shared" ca="1" si="109"/>
        <v>0</v>
      </c>
      <c r="AF322" t="str">
        <f t="shared" ca="1" si="110"/>
        <v/>
      </c>
      <c r="AG322">
        <v>76</v>
      </c>
      <c r="AH322" t="s">
        <v>136</v>
      </c>
      <c r="AI322" t="str">
        <f t="shared" si="99"/>
        <v>Lutheran Home 25</v>
      </c>
      <c r="AJ322" t="str">
        <f t="shared" si="100"/>
        <v>Green Bay</v>
      </c>
      <c r="AK322" t="str">
        <f t="shared" si="101"/>
        <v>WI</v>
      </c>
    </row>
    <row r="323" spans="18:37" x14ac:dyDescent="0.25">
      <c r="R323">
        <v>1</v>
      </c>
      <c r="S323">
        <v>65</v>
      </c>
      <c r="T323">
        <f t="shared" si="97"/>
        <v>129</v>
      </c>
      <c r="U323">
        <f t="shared" si="102"/>
        <v>26053</v>
      </c>
      <c r="V323">
        <f t="shared" ca="1" si="103"/>
        <v>0</v>
      </c>
      <c r="W323">
        <v>77</v>
      </c>
      <c r="X323" t="str">
        <f t="shared" ca="1" si="104"/>
        <v/>
      </c>
      <c r="Y323" t="s">
        <v>9</v>
      </c>
      <c r="Z323">
        <f t="shared" ca="1" si="105"/>
        <v>0</v>
      </c>
      <c r="AA323" t="str">
        <f t="shared" ca="1" si="106"/>
        <v>SPPN</v>
      </c>
      <c r="AB323">
        <f t="shared" ca="1" si="107"/>
        <v>1</v>
      </c>
      <c r="AC323" t="str">
        <f t="shared" ca="1" si="108"/>
        <v/>
      </c>
      <c r="AD323" t="str">
        <f t="shared" si="98"/>
        <v>4093RN153</v>
      </c>
      <c r="AE323">
        <f t="shared" ca="1" si="109"/>
        <v>0</v>
      </c>
      <c r="AF323" t="str">
        <f t="shared" ca="1" si="110"/>
        <v/>
      </c>
      <c r="AG323">
        <v>77</v>
      </c>
      <c r="AH323" t="s">
        <v>136</v>
      </c>
      <c r="AI323" t="str">
        <f t="shared" si="99"/>
        <v>Lutheran Home 25</v>
      </c>
      <c r="AJ323" t="str">
        <f t="shared" si="100"/>
        <v>Green Bay</v>
      </c>
      <c r="AK323" t="str">
        <f t="shared" si="101"/>
        <v>WI</v>
      </c>
    </row>
    <row r="324" spans="18:37" x14ac:dyDescent="0.25">
      <c r="S324">
        <v>66</v>
      </c>
      <c r="T324">
        <f t="shared" si="97"/>
        <v>129</v>
      </c>
      <c r="U324">
        <f t="shared" si="102"/>
        <v>26053</v>
      </c>
      <c r="V324">
        <f t="shared" ca="1" si="103"/>
        <v>0</v>
      </c>
      <c r="W324">
        <v>77</v>
      </c>
      <c r="X324" t="str">
        <f t="shared" ca="1" si="104"/>
        <v/>
      </c>
      <c r="Y324" t="s">
        <v>33</v>
      </c>
      <c r="Z324">
        <f t="shared" ca="1" si="105"/>
        <v>0</v>
      </c>
      <c r="AA324" t="str">
        <f t="shared" ca="1" si="106"/>
        <v>SPPN</v>
      </c>
      <c r="AB324">
        <f t="shared" ca="1" si="107"/>
        <v>1</v>
      </c>
      <c r="AC324" t="str">
        <f t="shared" ca="1" si="108"/>
        <v/>
      </c>
      <c r="AD324" t="str">
        <f t="shared" si="98"/>
        <v>4093RN153</v>
      </c>
      <c r="AE324">
        <f t="shared" ca="1" si="109"/>
        <v>0</v>
      </c>
      <c r="AF324" t="str">
        <f t="shared" ca="1" si="110"/>
        <v/>
      </c>
      <c r="AG324">
        <v>77</v>
      </c>
      <c r="AH324" t="s">
        <v>136</v>
      </c>
      <c r="AI324" t="str">
        <f t="shared" si="99"/>
        <v>Lutheran Home 25</v>
      </c>
      <c r="AJ324" t="str">
        <f t="shared" si="100"/>
        <v>Green Bay</v>
      </c>
      <c r="AK324" t="str">
        <f t="shared" si="101"/>
        <v>WI</v>
      </c>
    </row>
    <row r="325" spans="18:37" x14ac:dyDescent="0.25">
      <c r="S325">
        <v>67</v>
      </c>
      <c r="T325">
        <f t="shared" si="97"/>
        <v>129</v>
      </c>
      <c r="U325">
        <f t="shared" si="102"/>
        <v>26053</v>
      </c>
      <c r="V325">
        <f t="shared" ca="1" si="103"/>
        <v>0</v>
      </c>
      <c r="W325">
        <v>77</v>
      </c>
      <c r="X325" t="str">
        <f t="shared" ca="1" si="104"/>
        <v/>
      </c>
      <c r="Y325" t="s">
        <v>28</v>
      </c>
      <c r="Z325">
        <f t="shared" ca="1" si="105"/>
        <v>0</v>
      </c>
      <c r="AA325" t="str">
        <f t="shared" ca="1" si="106"/>
        <v>SPPN</v>
      </c>
      <c r="AB325">
        <f t="shared" ca="1" si="107"/>
        <v>1</v>
      </c>
      <c r="AC325">
        <f t="shared" ca="1" si="108"/>
        <v>0</v>
      </c>
      <c r="AD325" t="str">
        <f t="shared" si="98"/>
        <v>4093RN153</v>
      </c>
      <c r="AE325">
        <f t="shared" ca="1" si="109"/>
        <v>0</v>
      </c>
      <c r="AF325" t="str">
        <f t="shared" ca="1" si="110"/>
        <v/>
      </c>
      <c r="AG325">
        <v>77</v>
      </c>
      <c r="AH325" t="s">
        <v>136</v>
      </c>
      <c r="AI325" t="str">
        <f t="shared" si="99"/>
        <v>Lutheran Home 25</v>
      </c>
      <c r="AJ325" t="str">
        <f t="shared" si="100"/>
        <v>Green Bay</v>
      </c>
      <c r="AK325" t="str">
        <f t="shared" si="101"/>
        <v>WI</v>
      </c>
    </row>
    <row r="326" spans="18:37" x14ac:dyDescent="0.25">
      <c r="S326">
        <v>68</v>
      </c>
      <c r="T326">
        <f t="shared" si="97"/>
        <v>129</v>
      </c>
      <c r="U326">
        <f t="shared" si="102"/>
        <v>26053</v>
      </c>
      <c r="V326">
        <f t="shared" ca="1" si="103"/>
        <v>0</v>
      </c>
      <c r="W326">
        <v>77</v>
      </c>
      <c r="X326" t="str">
        <f t="shared" ca="1" si="104"/>
        <v/>
      </c>
      <c r="Y326" t="s">
        <v>32</v>
      </c>
      <c r="Z326">
        <f t="shared" ca="1" si="105"/>
        <v>0</v>
      </c>
      <c r="AA326" t="str">
        <f t="shared" ca="1" si="106"/>
        <v>SPPN</v>
      </c>
      <c r="AB326">
        <f t="shared" ca="1" si="107"/>
        <v>1</v>
      </c>
      <c r="AC326">
        <f t="shared" ca="1" si="108"/>
        <v>0</v>
      </c>
      <c r="AD326" t="str">
        <f t="shared" si="98"/>
        <v>4093RN153</v>
      </c>
      <c r="AE326">
        <f t="shared" ca="1" si="109"/>
        <v>0</v>
      </c>
      <c r="AF326" t="str">
        <f t="shared" ca="1" si="110"/>
        <v/>
      </c>
      <c r="AG326">
        <v>77</v>
      </c>
      <c r="AH326" t="s">
        <v>136</v>
      </c>
      <c r="AI326" t="str">
        <f t="shared" si="99"/>
        <v>Lutheran Home 25</v>
      </c>
      <c r="AJ326" t="str">
        <f t="shared" si="100"/>
        <v>Green Bay</v>
      </c>
      <c r="AK326" t="str">
        <f t="shared" si="101"/>
        <v>WI</v>
      </c>
    </row>
    <row r="327" spans="18:37" x14ac:dyDescent="0.25">
      <c r="R327">
        <v>1</v>
      </c>
      <c r="S327">
        <v>69</v>
      </c>
      <c r="T327">
        <f t="shared" si="97"/>
        <v>129</v>
      </c>
      <c r="U327">
        <f t="shared" si="102"/>
        <v>26053</v>
      </c>
      <c r="V327">
        <f t="shared" ca="1" si="103"/>
        <v>0</v>
      </c>
      <c r="W327">
        <v>78</v>
      </c>
      <c r="X327" t="str">
        <f t="shared" ca="1" si="104"/>
        <v/>
      </c>
      <c r="Y327" t="s">
        <v>9</v>
      </c>
      <c r="Z327">
        <f t="shared" ca="1" si="105"/>
        <v>0</v>
      </c>
      <c r="AA327" t="str">
        <f t="shared" ca="1" si="106"/>
        <v>SPPN</v>
      </c>
      <c r="AB327">
        <f t="shared" ca="1" si="107"/>
        <v>1</v>
      </c>
      <c r="AC327" t="str">
        <f t="shared" ca="1" si="108"/>
        <v/>
      </c>
      <c r="AD327" t="str">
        <f t="shared" si="98"/>
        <v>4093RN153</v>
      </c>
      <c r="AE327">
        <f t="shared" ca="1" si="109"/>
        <v>0</v>
      </c>
      <c r="AF327" t="str">
        <f t="shared" ca="1" si="110"/>
        <v/>
      </c>
      <c r="AG327">
        <v>78</v>
      </c>
      <c r="AH327" t="s">
        <v>136</v>
      </c>
      <c r="AI327" t="str">
        <f t="shared" si="99"/>
        <v>Lutheran Home 25</v>
      </c>
      <c r="AJ327" t="str">
        <f t="shared" si="100"/>
        <v>Green Bay</v>
      </c>
      <c r="AK327" t="str">
        <f t="shared" si="101"/>
        <v>WI</v>
      </c>
    </row>
    <row r="328" spans="18:37" x14ac:dyDescent="0.25">
      <c r="S328">
        <v>70</v>
      </c>
      <c r="T328">
        <f t="shared" si="97"/>
        <v>129</v>
      </c>
      <c r="U328">
        <f t="shared" si="102"/>
        <v>26053</v>
      </c>
      <c r="V328">
        <f t="shared" ca="1" si="103"/>
        <v>0</v>
      </c>
      <c r="W328">
        <v>78</v>
      </c>
      <c r="X328" t="str">
        <f t="shared" ca="1" si="104"/>
        <v/>
      </c>
      <c r="Y328" t="s">
        <v>33</v>
      </c>
      <c r="Z328">
        <f t="shared" ca="1" si="105"/>
        <v>0</v>
      </c>
      <c r="AA328" t="str">
        <f t="shared" ca="1" si="106"/>
        <v>SPPN</v>
      </c>
      <c r="AB328">
        <f t="shared" ca="1" si="107"/>
        <v>1</v>
      </c>
      <c r="AC328" t="str">
        <f t="shared" ca="1" si="108"/>
        <v/>
      </c>
      <c r="AD328" t="str">
        <f t="shared" si="98"/>
        <v>4093RN153</v>
      </c>
      <c r="AE328">
        <f t="shared" ca="1" si="109"/>
        <v>0</v>
      </c>
      <c r="AF328" t="str">
        <f t="shared" ca="1" si="110"/>
        <v/>
      </c>
      <c r="AG328">
        <v>78</v>
      </c>
      <c r="AH328" t="s">
        <v>136</v>
      </c>
      <c r="AI328" t="str">
        <f t="shared" si="99"/>
        <v>Lutheran Home 25</v>
      </c>
      <c r="AJ328" t="str">
        <f t="shared" si="100"/>
        <v>Green Bay</v>
      </c>
      <c r="AK328" t="str">
        <f t="shared" si="101"/>
        <v>WI</v>
      </c>
    </row>
    <row r="329" spans="18:37" x14ac:dyDescent="0.25">
      <c r="S329">
        <v>71</v>
      </c>
      <c r="T329">
        <f t="shared" si="97"/>
        <v>129</v>
      </c>
      <c r="U329">
        <f t="shared" si="102"/>
        <v>26053</v>
      </c>
      <c r="V329">
        <f t="shared" ca="1" si="103"/>
        <v>0</v>
      </c>
      <c r="W329">
        <v>78</v>
      </c>
      <c r="X329" t="str">
        <f t="shared" ca="1" si="104"/>
        <v/>
      </c>
      <c r="Y329" t="s">
        <v>28</v>
      </c>
      <c r="Z329">
        <f t="shared" ca="1" si="105"/>
        <v>0</v>
      </c>
      <c r="AA329" t="str">
        <f t="shared" ca="1" si="106"/>
        <v>SPPN</v>
      </c>
      <c r="AB329">
        <f t="shared" ca="1" si="107"/>
        <v>1</v>
      </c>
      <c r="AC329">
        <f t="shared" ca="1" si="108"/>
        <v>0</v>
      </c>
      <c r="AD329" t="str">
        <f t="shared" si="98"/>
        <v>4093RN153</v>
      </c>
      <c r="AE329">
        <f t="shared" ca="1" si="109"/>
        <v>0</v>
      </c>
      <c r="AF329" t="str">
        <f t="shared" ca="1" si="110"/>
        <v/>
      </c>
      <c r="AG329">
        <v>78</v>
      </c>
      <c r="AH329" t="s">
        <v>136</v>
      </c>
      <c r="AI329" t="str">
        <f t="shared" si="99"/>
        <v>Lutheran Home 25</v>
      </c>
      <c r="AJ329" t="str">
        <f t="shared" si="100"/>
        <v>Green Bay</v>
      </c>
      <c r="AK329" t="str">
        <f t="shared" si="101"/>
        <v>WI</v>
      </c>
    </row>
    <row r="330" spans="18:37" x14ac:dyDescent="0.25">
      <c r="S330">
        <v>72</v>
      </c>
      <c r="T330">
        <f t="shared" si="97"/>
        <v>129</v>
      </c>
      <c r="U330">
        <f t="shared" si="102"/>
        <v>26053</v>
      </c>
      <c r="V330">
        <f t="shared" ca="1" si="103"/>
        <v>0</v>
      </c>
      <c r="W330">
        <v>78</v>
      </c>
      <c r="X330" t="str">
        <f t="shared" ca="1" si="104"/>
        <v/>
      </c>
      <c r="Y330" t="s">
        <v>32</v>
      </c>
      <c r="Z330">
        <f t="shared" ca="1" si="105"/>
        <v>0</v>
      </c>
      <c r="AA330" t="str">
        <f t="shared" ca="1" si="106"/>
        <v>SPPN</v>
      </c>
      <c r="AB330">
        <f t="shared" ca="1" si="107"/>
        <v>1</v>
      </c>
      <c r="AC330">
        <f t="shared" ca="1" si="108"/>
        <v>0</v>
      </c>
      <c r="AD330" t="str">
        <f t="shared" si="98"/>
        <v>4093RN153</v>
      </c>
      <c r="AE330">
        <f t="shared" ca="1" si="109"/>
        <v>0</v>
      </c>
      <c r="AF330" t="str">
        <f t="shared" ca="1" si="110"/>
        <v/>
      </c>
      <c r="AG330">
        <v>78</v>
      </c>
      <c r="AH330" t="s">
        <v>136</v>
      </c>
      <c r="AI330" t="str">
        <f t="shared" si="99"/>
        <v>Lutheran Home 25</v>
      </c>
      <c r="AJ330" t="str">
        <f t="shared" si="100"/>
        <v>Green Bay</v>
      </c>
      <c r="AK330" t="str">
        <f t="shared" si="101"/>
        <v>WI</v>
      </c>
    </row>
    <row r="331" spans="18:37" x14ac:dyDescent="0.25">
      <c r="R331">
        <v>1</v>
      </c>
      <c r="S331">
        <v>73</v>
      </c>
      <c r="T331">
        <f t="shared" si="97"/>
        <v>129</v>
      </c>
      <c r="U331">
        <f t="shared" si="102"/>
        <v>26053</v>
      </c>
      <c r="V331">
        <f t="shared" ca="1" si="103"/>
        <v>0</v>
      </c>
      <c r="W331">
        <v>79</v>
      </c>
      <c r="X331" t="str">
        <f t="shared" ca="1" si="104"/>
        <v/>
      </c>
      <c r="Y331" t="s">
        <v>9</v>
      </c>
      <c r="Z331">
        <f t="shared" ca="1" si="105"/>
        <v>0</v>
      </c>
      <c r="AA331" t="str">
        <f t="shared" ca="1" si="106"/>
        <v>SPPN</v>
      </c>
      <c r="AB331">
        <f t="shared" ca="1" si="107"/>
        <v>1</v>
      </c>
      <c r="AC331" t="str">
        <f t="shared" ca="1" si="108"/>
        <v/>
      </c>
      <c r="AD331" t="str">
        <f t="shared" si="98"/>
        <v>4093RN153</v>
      </c>
      <c r="AE331">
        <f t="shared" ca="1" si="109"/>
        <v>0</v>
      </c>
      <c r="AF331" t="str">
        <f t="shared" ca="1" si="110"/>
        <v/>
      </c>
      <c r="AG331">
        <v>79</v>
      </c>
      <c r="AH331" t="s">
        <v>136</v>
      </c>
      <c r="AI331" t="str">
        <f t="shared" si="99"/>
        <v>Lutheran Home 25</v>
      </c>
      <c r="AJ331" t="str">
        <f t="shared" si="100"/>
        <v>Green Bay</v>
      </c>
      <c r="AK331" t="str">
        <f t="shared" si="101"/>
        <v>WI</v>
      </c>
    </row>
    <row r="332" spans="18:37" x14ac:dyDescent="0.25">
      <c r="S332">
        <v>74</v>
      </c>
      <c r="T332">
        <f t="shared" si="97"/>
        <v>129</v>
      </c>
      <c r="U332">
        <f t="shared" si="102"/>
        <v>26053</v>
      </c>
      <c r="V332">
        <f t="shared" ca="1" si="103"/>
        <v>0</v>
      </c>
      <c r="W332">
        <v>79</v>
      </c>
      <c r="X332" t="str">
        <f t="shared" ca="1" si="104"/>
        <v/>
      </c>
      <c r="Y332" t="s">
        <v>33</v>
      </c>
      <c r="Z332">
        <f t="shared" ca="1" si="105"/>
        <v>0</v>
      </c>
      <c r="AA332" t="str">
        <f t="shared" ca="1" si="106"/>
        <v>SPPN</v>
      </c>
      <c r="AB332">
        <f t="shared" ca="1" si="107"/>
        <v>1</v>
      </c>
      <c r="AC332" t="str">
        <f t="shared" ca="1" si="108"/>
        <v/>
      </c>
      <c r="AD332" t="str">
        <f t="shared" si="98"/>
        <v>4093RN153</v>
      </c>
      <c r="AE332">
        <f t="shared" ca="1" si="109"/>
        <v>0</v>
      </c>
      <c r="AF332" t="str">
        <f t="shared" ca="1" si="110"/>
        <v/>
      </c>
      <c r="AG332">
        <v>79</v>
      </c>
      <c r="AH332" t="s">
        <v>136</v>
      </c>
      <c r="AI332" t="str">
        <f t="shared" si="99"/>
        <v>Lutheran Home 25</v>
      </c>
      <c r="AJ332" t="str">
        <f t="shared" si="100"/>
        <v>Green Bay</v>
      </c>
      <c r="AK332" t="str">
        <f t="shared" si="101"/>
        <v>WI</v>
      </c>
    </row>
    <row r="333" spans="18:37" x14ac:dyDescent="0.25">
      <c r="S333">
        <v>75</v>
      </c>
      <c r="T333">
        <f t="shared" si="97"/>
        <v>129</v>
      </c>
      <c r="U333">
        <f t="shared" si="102"/>
        <v>26053</v>
      </c>
      <c r="V333">
        <f t="shared" ca="1" si="103"/>
        <v>0</v>
      </c>
      <c r="W333">
        <v>79</v>
      </c>
      <c r="X333" t="str">
        <f t="shared" ca="1" si="104"/>
        <v/>
      </c>
      <c r="Y333" t="s">
        <v>28</v>
      </c>
      <c r="Z333">
        <f t="shared" ca="1" si="105"/>
        <v>0</v>
      </c>
      <c r="AA333" t="str">
        <f t="shared" ca="1" si="106"/>
        <v>SPPN</v>
      </c>
      <c r="AB333">
        <f t="shared" ca="1" si="107"/>
        <v>1</v>
      </c>
      <c r="AC333">
        <f t="shared" ca="1" si="108"/>
        <v>0</v>
      </c>
      <c r="AD333" t="str">
        <f t="shared" si="98"/>
        <v>4093RN153</v>
      </c>
      <c r="AE333">
        <f t="shared" ca="1" si="109"/>
        <v>0</v>
      </c>
      <c r="AF333" t="str">
        <f t="shared" ca="1" si="110"/>
        <v/>
      </c>
      <c r="AG333">
        <v>79</v>
      </c>
      <c r="AH333" t="s">
        <v>136</v>
      </c>
      <c r="AI333" t="str">
        <f t="shared" si="99"/>
        <v>Lutheran Home 25</v>
      </c>
      <c r="AJ333" t="str">
        <f t="shared" si="100"/>
        <v>Green Bay</v>
      </c>
      <c r="AK333" t="str">
        <f t="shared" si="101"/>
        <v>WI</v>
      </c>
    </row>
    <row r="334" spans="18:37" x14ac:dyDescent="0.25">
      <c r="S334">
        <v>76</v>
      </c>
      <c r="T334">
        <f t="shared" si="97"/>
        <v>129</v>
      </c>
      <c r="U334">
        <f t="shared" si="102"/>
        <v>26053</v>
      </c>
      <c r="V334">
        <f t="shared" ca="1" si="103"/>
        <v>0</v>
      </c>
      <c r="W334">
        <v>79</v>
      </c>
      <c r="X334" t="str">
        <f t="shared" ca="1" si="104"/>
        <v/>
      </c>
      <c r="Y334" t="s">
        <v>32</v>
      </c>
      <c r="Z334">
        <f t="shared" ca="1" si="105"/>
        <v>0</v>
      </c>
      <c r="AA334" t="str">
        <f t="shared" ca="1" si="106"/>
        <v>SPPN</v>
      </c>
      <c r="AB334">
        <f t="shared" ca="1" si="107"/>
        <v>1</v>
      </c>
      <c r="AC334">
        <f t="shared" ca="1" si="108"/>
        <v>0</v>
      </c>
      <c r="AD334" t="str">
        <f t="shared" si="98"/>
        <v>4093RN153</v>
      </c>
      <c r="AE334">
        <f t="shared" ca="1" si="109"/>
        <v>0</v>
      </c>
      <c r="AF334" t="str">
        <f t="shared" ca="1" si="110"/>
        <v/>
      </c>
      <c r="AG334">
        <v>79</v>
      </c>
      <c r="AH334" t="s">
        <v>136</v>
      </c>
      <c r="AI334" t="str">
        <f t="shared" si="99"/>
        <v>Lutheran Home 25</v>
      </c>
      <c r="AJ334" t="str">
        <f t="shared" si="100"/>
        <v>Green Bay</v>
      </c>
      <c r="AK334" t="str">
        <f t="shared" si="101"/>
        <v>WI</v>
      </c>
    </row>
    <row r="335" spans="18:37" x14ac:dyDescent="0.25">
      <c r="R335">
        <v>1</v>
      </c>
      <c r="S335">
        <v>77</v>
      </c>
      <c r="T335">
        <f t="shared" si="97"/>
        <v>129</v>
      </c>
      <c r="U335">
        <f t="shared" si="102"/>
        <v>26053</v>
      </c>
      <c r="V335">
        <f t="shared" ca="1" si="103"/>
        <v>0</v>
      </c>
      <c r="W335">
        <v>80</v>
      </c>
      <c r="X335" t="str">
        <f t="shared" ca="1" si="104"/>
        <v/>
      </c>
      <c r="Y335" t="s">
        <v>9</v>
      </c>
      <c r="Z335">
        <f t="shared" ca="1" si="105"/>
        <v>0</v>
      </c>
      <c r="AA335" t="str">
        <f t="shared" ca="1" si="106"/>
        <v>SPPN</v>
      </c>
      <c r="AB335">
        <f t="shared" ca="1" si="107"/>
        <v>1</v>
      </c>
      <c r="AC335" t="str">
        <f t="shared" ca="1" si="108"/>
        <v/>
      </c>
      <c r="AD335" t="str">
        <f t="shared" si="98"/>
        <v>4093RN153</v>
      </c>
      <c r="AE335">
        <f t="shared" ca="1" si="109"/>
        <v>0</v>
      </c>
      <c r="AF335" t="str">
        <f t="shared" ca="1" si="110"/>
        <v/>
      </c>
      <c r="AG335">
        <v>80</v>
      </c>
      <c r="AH335" t="s">
        <v>136</v>
      </c>
      <c r="AI335" t="str">
        <f t="shared" si="99"/>
        <v>Lutheran Home 25</v>
      </c>
      <c r="AJ335" t="str">
        <f t="shared" si="100"/>
        <v>Green Bay</v>
      </c>
      <c r="AK335" t="str">
        <f t="shared" si="101"/>
        <v>WI</v>
      </c>
    </row>
    <row r="336" spans="18:37" x14ac:dyDescent="0.25">
      <c r="S336">
        <v>78</v>
      </c>
      <c r="T336">
        <f t="shared" si="97"/>
        <v>129</v>
      </c>
      <c r="U336">
        <f t="shared" si="102"/>
        <v>26053</v>
      </c>
      <c r="V336">
        <f t="shared" ca="1" si="103"/>
        <v>0</v>
      </c>
      <c r="W336">
        <v>80</v>
      </c>
      <c r="X336" t="str">
        <f t="shared" ca="1" si="104"/>
        <v/>
      </c>
      <c r="Y336" t="s">
        <v>33</v>
      </c>
      <c r="Z336">
        <f t="shared" ca="1" si="105"/>
        <v>0</v>
      </c>
      <c r="AA336" t="str">
        <f t="shared" ca="1" si="106"/>
        <v>SPPN</v>
      </c>
      <c r="AB336">
        <f t="shared" ca="1" si="107"/>
        <v>1</v>
      </c>
      <c r="AC336" t="str">
        <f t="shared" ca="1" si="108"/>
        <v/>
      </c>
      <c r="AD336" t="str">
        <f t="shared" si="98"/>
        <v>4093RN153</v>
      </c>
      <c r="AE336">
        <f t="shared" ca="1" si="109"/>
        <v>0</v>
      </c>
      <c r="AF336" t="str">
        <f t="shared" ca="1" si="110"/>
        <v/>
      </c>
      <c r="AG336">
        <v>80</v>
      </c>
      <c r="AH336" t="s">
        <v>136</v>
      </c>
      <c r="AI336" t="str">
        <f t="shared" si="99"/>
        <v>Lutheran Home 25</v>
      </c>
      <c r="AJ336" t="str">
        <f t="shared" si="100"/>
        <v>Green Bay</v>
      </c>
      <c r="AK336" t="str">
        <f t="shared" si="101"/>
        <v>WI</v>
      </c>
    </row>
    <row r="337" spans="18:37" x14ac:dyDescent="0.25">
      <c r="S337">
        <v>79</v>
      </c>
      <c r="T337">
        <f t="shared" si="97"/>
        <v>129</v>
      </c>
      <c r="U337">
        <f t="shared" si="102"/>
        <v>26053</v>
      </c>
      <c r="V337">
        <f t="shared" ca="1" si="103"/>
        <v>0</v>
      </c>
      <c r="W337">
        <v>80</v>
      </c>
      <c r="X337" t="str">
        <f t="shared" ca="1" si="104"/>
        <v/>
      </c>
      <c r="Y337" t="s">
        <v>28</v>
      </c>
      <c r="Z337">
        <f t="shared" ca="1" si="105"/>
        <v>0</v>
      </c>
      <c r="AA337" t="str">
        <f t="shared" ca="1" si="106"/>
        <v>SPPN</v>
      </c>
      <c r="AB337">
        <f t="shared" ca="1" si="107"/>
        <v>1</v>
      </c>
      <c r="AC337">
        <f t="shared" ca="1" si="108"/>
        <v>0</v>
      </c>
      <c r="AD337" t="str">
        <f t="shared" si="98"/>
        <v>4093RN153</v>
      </c>
      <c r="AE337">
        <f t="shared" ca="1" si="109"/>
        <v>0</v>
      </c>
      <c r="AF337" t="str">
        <f t="shared" ca="1" si="110"/>
        <v/>
      </c>
      <c r="AG337">
        <v>80</v>
      </c>
      <c r="AH337" t="s">
        <v>136</v>
      </c>
      <c r="AI337" t="str">
        <f t="shared" si="99"/>
        <v>Lutheran Home 25</v>
      </c>
      <c r="AJ337" t="str">
        <f t="shared" si="100"/>
        <v>Green Bay</v>
      </c>
      <c r="AK337" t="str">
        <f t="shared" si="101"/>
        <v>WI</v>
      </c>
    </row>
    <row r="338" spans="18:37" x14ac:dyDescent="0.25">
      <c r="S338">
        <v>80</v>
      </c>
      <c r="T338">
        <f t="shared" si="97"/>
        <v>129</v>
      </c>
      <c r="U338">
        <f t="shared" si="102"/>
        <v>26053</v>
      </c>
      <c r="V338">
        <f t="shared" ca="1" si="103"/>
        <v>0</v>
      </c>
      <c r="W338">
        <v>80</v>
      </c>
      <c r="X338" t="str">
        <f t="shared" ca="1" si="104"/>
        <v/>
      </c>
      <c r="Y338" t="s">
        <v>32</v>
      </c>
      <c r="Z338">
        <f t="shared" ca="1" si="105"/>
        <v>0</v>
      </c>
      <c r="AA338" t="str">
        <f t="shared" ca="1" si="106"/>
        <v>SPPN</v>
      </c>
      <c r="AB338">
        <f t="shared" ca="1" si="107"/>
        <v>1</v>
      </c>
      <c r="AC338">
        <f t="shared" ca="1" si="108"/>
        <v>0</v>
      </c>
      <c r="AD338" t="str">
        <f t="shared" si="98"/>
        <v>4093RN153</v>
      </c>
      <c r="AE338">
        <f t="shared" ca="1" si="109"/>
        <v>0</v>
      </c>
      <c r="AF338" t="str">
        <f t="shared" ca="1" si="110"/>
        <v/>
      </c>
      <c r="AG338">
        <v>80</v>
      </c>
      <c r="AH338" t="s">
        <v>136</v>
      </c>
      <c r="AI338" t="str">
        <f t="shared" si="99"/>
        <v>Lutheran Home 25</v>
      </c>
      <c r="AJ338" t="str">
        <f t="shared" si="100"/>
        <v>Green Bay</v>
      </c>
      <c r="AK338" t="str">
        <f t="shared" si="101"/>
        <v>WI</v>
      </c>
    </row>
    <row r="339" spans="18:37" x14ac:dyDescent="0.25">
      <c r="R339">
        <v>1</v>
      </c>
      <c r="S339">
        <v>81</v>
      </c>
      <c r="T339">
        <f t="shared" ref="T339:T402" si="111">$H$14</f>
        <v>129</v>
      </c>
      <c r="U339">
        <f t="shared" si="102"/>
        <v>26053</v>
      </c>
      <c r="V339">
        <f t="shared" ca="1" si="103"/>
        <v>0</v>
      </c>
      <c r="W339">
        <v>81</v>
      </c>
      <c r="X339" t="str">
        <f t="shared" ca="1" si="104"/>
        <v/>
      </c>
      <c r="Y339" t="s">
        <v>9</v>
      </c>
      <c r="Z339">
        <f t="shared" ca="1" si="105"/>
        <v>0</v>
      </c>
      <c r="AA339" t="str">
        <f t="shared" ca="1" si="106"/>
        <v>SPPN</v>
      </c>
      <c r="AB339">
        <f t="shared" ca="1" si="107"/>
        <v>1</v>
      </c>
      <c r="AC339" t="str">
        <f t="shared" ca="1" si="108"/>
        <v/>
      </c>
      <c r="AD339" t="str">
        <f t="shared" ref="AD339:AD402" si="112">$H$5</f>
        <v>4093RN153</v>
      </c>
      <c r="AE339">
        <f t="shared" ca="1" si="109"/>
        <v>0</v>
      </c>
      <c r="AF339" t="str">
        <f t="shared" ca="1" si="110"/>
        <v/>
      </c>
      <c r="AG339">
        <v>81</v>
      </c>
      <c r="AH339" t="s">
        <v>136</v>
      </c>
      <c r="AI339" t="str">
        <f t="shared" ref="AI339:AI402" si="113">$H$6</f>
        <v>Lutheran Home 25</v>
      </c>
      <c r="AJ339" t="str">
        <f t="shared" ref="AJ339:AJ402" si="114">$H$7</f>
        <v>Green Bay</v>
      </c>
      <c r="AK339" t="str">
        <f t="shared" ref="AK339:AK402" si="115">$H$8</f>
        <v>WI</v>
      </c>
    </row>
    <row r="340" spans="18:37" x14ac:dyDescent="0.25">
      <c r="S340">
        <v>82</v>
      </c>
      <c r="T340">
        <f t="shared" si="111"/>
        <v>129</v>
      </c>
      <c r="U340">
        <f t="shared" ref="U340:U403" si="116">$H$2</f>
        <v>26053</v>
      </c>
      <c r="V340">
        <f t="shared" ref="V340:V403" ca="1" si="117">(OFFSET($B$19,INT((ROW(A322)-1)/4),0))</f>
        <v>0</v>
      </c>
      <c r="W340">
        <v>81</v>
      </c>
      <c r="X340" t="str">
        <f t="shared" ref="X340:X403" ca="1" si="118">IF((OFFSET($J$19,INT((ROW(A322)-1)/4),0))="JE","JE",IF((OFFSET($J$19,INT((ROW(A322)-1)/4),0))="Drilled","JC",""))</f>
        <v/>
      </c>
      <c r="Y340" t="s">
        <v>33</v>
      </c>
      <c r="Z340">
        <f t="shared" ref="Z340:Z403" ca="1" si="119">(OFFSET($F$19,INT((ROW(A322)-1)/4),0))</f>
        <v>0</v>
      </c>
      <c r="AA340" t="str">
        <f t="shared" ref="AA340:AA403" ca="1" si="120">IF((OFFSET($K$19,INT((ROW(A322)-1)/4),0))="Poplar","PAINT",IF((OFFSET($K$19,INT((ROW(A322)-1)/4),0))="Red Oak","SGO",IF((OFFSET($K$19,INT((ROW(A322)-1)/4),0))="Maple","SM","SPPN")))</f>
        <v>SPPN</v>
      </c>
      <c r="AB340">
        <f t="shared" ref="AB340:AB403" ca="1" si="121">(OFFSET($I$19,INT((ROW(A322)-1)/4),0))</f>
        <v>1</v>
      </c>
      <c r="AC340" t="str">
        <f t="shared" ref="AC340:AC403" ca="1" si="122">IF(OR(Y340="L",Y340="R"),(OFFSET($M$19,INT((ROW(A322)-1)/4),0)),IF(Y340="B",IF((OFFSET($A$19,INT((ROW(A322)-1)/4),0))="3 Sided Patio Door",0,(OFFSET($G$19,INT((ROW(A322)-1)/4),0))),(OFFSET($G$19,INT((ROW(A322)-1)/4),0))))</f>
        <v/>
      </c>
      <c r="AD340" t="str">
        <f t="shared" si="112"/>
        <v>4093RN153</v>
      </c>
      <c r="AE340">
        <f t="shared" ref="AE340:AE403" ca="1" si="123">(OFFSET($L$19,INT((ROW(A322)-1)/4),0))</f>
        <v>0</v>
      </c>
      <c r="AF340" t="str">
        <f t="shared" ref="AF340:AF403" ca="1" si="124">IF((OFFSET($A$19,INT((ROW(A322)-1)/4),0))="3 sided Patio door", "Unassemble","")</f>
        <v/>
      </c>
      <c r="AG340">
        <v>81</v>
      </c>
      <c r="AH340" t="s">
        <v>136</v>
      </c>
      <c r="AI340" t="str">
        <f t="shared" si="113"/>
        <v>Lutheran Home 25</v>
      </c>
      <c r="AJ340" t="str">
        <f t="shared" si="114"/>
        <v>Green Bay</v>
      </c>
      <c r="AK340" t="str">
        <f t="shared" si="115"/>
        <v>WI</v>
      </c>
    </row>
    <row r="341" spans="18:37" x14ac:dyDescent="0.25">
      <c r="S341">
        <v>83</v>
      </c>
      <c r="T341">
        <f t="shared" si="111"/>
        <v>129</v>
      </c>
      <c r="U341">
        <f t="shared" si="116"/>
        <v>26053</v>
      </c>
      <c r="V341">
        <f t="shared" ca="1" si="117"/>
        <v>0</v>
      </c>
      <c r="W341">
        <v>81</v>
      </c>
      <c r="X341" t="str">
        <f t="shared" ca="1" si="118"/>
        <v/>
      </c>
      <c r="Y341" t="s">
        <v>28</v>
      </c>
      <c r="Z341">
        <f t="shared" ca="1" si="119"/>
        <v>0</v>
      </c>
      <c r="AA341" t="str">
        <f t="shared" ca="1" si="120"/>
        <v>SPPN</v>
      </c>
      <c r="AB341">
        <f t="shared" ca="1" si="121"/>
        <v>1</v>
      </c>
      <c r="AC341">
        <f t="shared" ca="1" si="122"/>
        <v>0</v>
      </c>
      <c r="AD341" t="str">
        <f t="shared" si="112"/>
        <v>4093RN153</v>
      </c>
      <c r="AE341">
        <f t="shared" ca="1" si="123"/>
        <v>0</v>
      </c>
      <c r="AF341" t="str">
        <f t="shared" ca="1" si="124"/>
        <v/>
      </c>
      <c r="AG341">
        <v>81</v>
      </c>
      <c r="AH341" t="s">
        <v>136</v>
      </c>
      <c r="AI341" t="str">
        <f t="shared" si="113"/>
        <v>Lutheran Home 25</v>
      </c>
      <c r="AJ341" t="str">
        <f t="shared" si="114"/>
        <v>Green Bay</v>
      </c>
      <c r="AK341" t="str">
        <f t="shared" si="115"/>
        <v>WI</v>
      </c>
    </row>
    <row r="342" spans="18:37" x14ac:dyDescent="0.25">
      <c r="S342">
        <v>84</v>
      </c>
      <c r="T342">
        <f t="shared" si="111"/>
        <v>129</v>
      </c>
      <c r="U342">
        <f t="shared" si="116"/>
        <v>26053</v>
      </c>
      <c r="V342">
        <f t="shared" ca="1" si="117"/>
        <v>0</v>
      </c>
      <c r="W342">
        <v>81</v>
      </c>
      <c r="X342" t="str">
        <f t="shared" ca="1" si="118"/>
        <v/>
      </c>
      <c r="Y342" t="s">
        <v>32</v>
      </c>
      <c r="Z342">
        <f t="shared" ca="1" si="119"/>
        <v>0</v>
      </c>
      <c r="AA342" t="str">
        <f t="shared" ca="1" si="120"/>
        <v>SPPN</v>
      </c>
      <c r="AB342">
        <f t="shared" ca="1" si="121"/>
        <v>1</v>
      </c>
      <c r="AC342">
        <f t="shared" ca="1" si="122"/>
        <v>0</v>
      </c>
      <c r="AD342" t="str">
        <f t="shared" si="112"/>
        <v>4093RN153</v>
      </c>
      <c r="AE342">
        <f t="shared" ca="1" si="123"/>
        <v>0</v>
      </c>
      <c r="AF342" t="str">
        <f t="shared" ca="1" si="124"/>
        <v/>
      </c>
      <c r="AG342">
        <v>81</v>
      </c>
      <c r="AH342" t="s">
        <v>136</v>
      </c>
      <c r="AI342" t="str">
        <f t="shared" si="113"/>
        <v>Lutheran Home 25</v>
      </c>
      <c r="AJ342" t="str">
        <f t="shared" si="114"/>
        <v>Green Bay</v>
      </c>
      <c r="AK342" t="str">
        <f t="shared" si="115"/>
        <v>WI</v>
      </c>
    </row>
    <row r="343" spans="18:37" x14ac:dyDescent="0.25">
      <c r="R343">
        <v>1</v>
      </c>
      <c r="S343">
        <v>85</v>
      </c>
      <c r="T343">
        <f t="shared" si="111"/>
        <v>129</v>
      </c>
      <c r="U343">
        <f t="shared" si="116"/>
        <v>26053</v>
      </c>
      <c r="V343">
        <f t="shared" ca="1" si="117"/>
        <v>0</v>
      </c>
      <c r="W343">
        <v>82</v>
      </c>
      <c r="X343" t="str">
        <f t="shared" ca="1" si="118"/>
        <v/>
      </c>
      <c r="Y343" t="s">
        <v>9</v>
      </c>
      <c r="Z343">
        <f t="shared" ca="1" si="119"/>
        <v>0</v>
      </c>
      <c r="AA343" t="str">
        <f t="shared" ca="1" si="120"/>
        <v>SPPN</v>
      </c>
      <c r="AB343">
        <f t="shared" ca="1" si="121"/>
        <v>1</v>
      </c>
      <c r="AC343" t="str">
        <f t="shared" ca="1" si="122"/>
        <v/>
      </c>
      <c r="AD343" t="str">
        <f t="shared" si="112"/>
        <v>4093RN153</v>
      </c>
      <c r="AE343">
        <f t="shared" ca="1" si="123"/>
        <v>0</v>
      </c>
      <c r="AF343" t="str">
        <f t="shared" ca="1" si="124"/>
        <v/>
      </c>
      <c r="AG343">
        <v>82</v>
      </c>
      <c r="AH343" t="s">
        <v>136</v>
      </c>
      <c r="AI343" t="str">
        <f t="shared" si="113"/>
        <v>Lutheran Home 25</v>
      </c>
      <c r="AJ343" t="str">
        <f t="shared" si="114"/>
        <v>Green Bay</v>
      </c>
      <c r="AK343" t="str">
        <f t="shared" si="115"/>
        <v>WI</v>
      </c>
    </row>
    <row r="344" spans="18:37" x14ac:dyDescent="0.25">
      <c r="S344">
        <v>86</v>
      </c>
      <c r="T344">
        <f t="shared" si="111"/>
        <v>129</v>
      </c>
      <c r="U344">
        <f t="shared" si="116"/>
        <v>26053</v>
      </c>
      <c r="V344">
        <f t="shared" ca="1" si="117"/>
        <v>0</v>
      </c>
      <c r="W344">
        <v>82</v>
      </c>
      <c r="X344" t="str">
        <f t="shared" ca="1" si="118"/>
        <v/>
      </c>
      <c r="Y344" t="s">
        <v>33</v>
      </c>
      <c r="Z344">
        <f t="shared" ca="1" si="119"/>
        <v>0</v>
      </c>
      <c r="AA344" t="str">
        <f t="shared" ca="1" si="120"/>
        <v>SPPN</v>
      </c>
      <c r="AB344">
        <f t="shared" ca="1" si="121"/>
        <v>1</v>
      </c>
      <c r="AC344" t="str">
        <f t="shared" ca="1" si="122"/>
        <v/>
      </c>
      <c r="AD344" t="str">
        <f t="shared" si="112"/>
        <v>4093RN153</v>
      </c>
      <c r="AE344">
        <f t="shared" ca="1" si="123"/>
        <v>0</v>
      </c>
      <c r="AF344" t="str">
        <f t="shared" ca="1" si="124"/>
        <v/>
      </c>
      <c r="AG344">
        <v>82</v>
      </c>
      <c r="AH344" t="s">
        <v>136</v>
      </c>
      <c r="AI344" t="str">
        <f t="shared" si="113"/>
        <v>Lutheran Home 25</v>
      </c>
      <c r="AJ344" t="str">
        <f t="shared" si="114"/>
        <v>Green Bay</v>
      </c>
      <c r="AK344" t="str">
        <f t="shared" si="115"/>
        <v>WI</v>
      </c>
    </row>
    <row r="345" spans="18:37" x14ac:dyDescent="0.25">
      <c r="S345">
        <v>87</v>
      </c>
      <c r="T345">
        <f t="shared" si="111"/>
        <v>129</v>
      </c>
      <c r="U345">
        <f t="shared" si="116"/>
        <v>26053</v>
      </c>
      <c r="V345">
        <f t="shared" ca="1" si="117"/>
        <v>0</v>
      </c>
      <c r="W345">
        <v>82</v>
      </c>
      <c r="X345" t="str">
        <f t="shared" ca="1" si="118"/>
        <v/>
      </c>
      <c r="Y345" t="s">
        <v>28</v>
      </c>
      <c r="Z345">
        <f t="shared" ca="1" si="119"/>
        <v>0</v>
      </c>
      <c r="AA345" t="str">
        <f t="shared" ca="1" si="120"/>
        <v>SPPN</v>
      </c>
      <c r="AB345">
        <f t="shared" ca="1" si="121"/>
        <v>1</v>
      </c>
      <c r="AC345">
        <f t="shared" ca="1" si="122"/>
        <v>0</v>
      </c>
      <c r="AD345" t="str">
        <f t="shared" si="112"/>
        <v>4093RN153</v>
      </c>
      <c r="AE345">
        <f t="shared" ca="1" si="123"/>
        <v>0</v>
      </c>
      <c r="AF345" t="str">
        <f t="shared" ca="1" si="124"/>
        <v/>
      </c>
      <c r="AG345">
        <v>82</v>
      </c>
      <c r="AH345" t="s">
        <v>136</v>
      </c>
      <c r="AI345" t="str">
        <f t="shared" si="113"/>
        <v>Lutheran Home 25</v>
      </c>
      <c r="AJ345" t="str">
        <f t="shared" si="114"/>
        <v>Green Bay</v>
      </c>
      <c r="AK345" t="str">
        <f t="shared" si="115"/>
        <v>WI</v>
      </c>
    </row>
    <row r="346" spans="18:37" x14ac:dyDescent="0.25">
      <c r="S346">
        <v>88</v>
      </c>
      <c r="T346">
        <f t="shared" si="111"/>
        <v>129</v>
      </c>
      <c r="U346">
        <f t="shared" si="116"/>
        <v>26053</v>
      </c>
      <c r="V346">
        <f t="shared" ca="1" si="117"/>
        <v>0</v>
      </c>
      <c r="W346">
        <v>82</v>
      </c>
      <c r="X346" t="str">
        <f t="shared" ca="1" si="118"/>
        <v/>
      </c>
      <c r="Y346" t="s">
        <v>32</v>
      </c>
      <c r="Z346">
        <f t="shared" ca="1" si="119"/>
        <v>0</v>
      </c>
      <c r="AA346" t="str">
        <f t="shared" ca="1" si="120"/>
        <v>SPPN</v>
      </c>
      <c r="AB346">
        <f t="shared" ca="1" si="121"/>
        <v>1</v>
      </c>
      <c r="AC346">
        <f t="shared" ca="1" si="122"/>
        <v>0</v>
      </c>
      <c r="AD346" t="str">
        <f t="shared" si="112"/>
        <v>4093RN153</v>
      </c>
      <c r="AE346">
        <f t="shared" ca="1" si="123"/>
        <v>0</v>
      </c>
      <c r="AF346" t="str">
        <f t="shared" ca="1" si="124"/>
        <v/>
      </c>
      <c r="AG346">
        <v>82</v>
      </c>
      <c r="AH346" t="s">
        <v>136</v>
      </c>
      <c r="AI346" t="str">
        <f t="shared" si="113"/>
        <v>Lutheran Home 25</v>
      </c>
      <c r="AJ346" t="str">
        <f t="shared" si="114"/>
        <v>Green Bay</v>
      </c>
      <c r="AK346" t="str">
        <f t="shared" si="115"/>
        <v>WI</v>
      </c>
    </row>
    <row r="347" spans="18:37" x14ac:dyDescent="0.25">
      <c r="R347">
        <v>1</v>
      </c>
      <c r="S347">
        <v>89</v>
      </c>
      <c r="T347">
        <f t="shared" si="111"/>
        <v>129</v>
      </c>
      <c r="U347">
        <f t="shared" si="116"/>
        <v>26053</v>
      </c>
      <c r="V347">
        <f t="shared" ca="1" si="117"/>
        <v>0</v>
      </c>
      <c r="W347">
        <v>83</v>
      </c>
      <c r="X347" t="str">
        <f t="shared" ca="1" si="118"/>
        <v/>
      </c>
      <c r="Y347" t="s">
        <v>9</v>
      </c>
      <c r="Z347">
        <f t="shared" ca="1" si="119"/>
        <v>0</v>
      </c>
      <c r="AA347" t="str">
        <f t="shared" ca="1" si="120"/>
        <v>SPPN</v>
      </c>
      <c r="AB347">
        <f t="shared" ca="1" si="121"/>
        <v>1</v>
      </c>
      <c r="AC347" t="str">
        <f t="shared" ca="1" si="122"/>
        <v/>
      </c>
      <c r="AD347" t="str">
        <f t="shared" si="112"/>
        <v>4093RN153</v>
      </c>
      <c r="AE347">
        <f t="shared" ca="1" si="123"/>
        <v>0</v>
      </c>
      <c r="AF347" t="str">
        <f t="shared" ca="1" si="124"/>
        <v/>
      </c>
      <c r="AG347">
        <v>83</v>
      </c>
      <c r="AH347" t="s">
        <v>136</v>
      </c>
      <c r="AI347" t="str">
        <f t="shared" si="113"/>
        <v>Lutheran Home 25</v>
      </c>
      <c r="AJ347" t="str">
        <f t="shared" si="114"/>
        <v>Green Bay</v>
      </c>
      <c r="AK347" t="str">
        <f t="shared" si="115"/>
        <v>WI</v>
      </c>
    </row>
    <row r="348" spans="18:37" x14ac:dyDescent="0.25">
      <c r="S348">
        <v>90</v>
      </c>
      <c r="T348">
        <f t="shared" si="111"/>
        <v>129</v>
      </c>
      <c r="U348">
        <f t="shared" si="116"/>
        <v>26053</v>
      </c>
      <c r="V348">
        <f t="shared" ca="1" si="117"/>
        <v>0</v>
      </c>
      <c r="W348">
        <v>83</v>
      </c>
      <c r="X348" t="str">
        <f t="shared" ca="1" si="118"/>
        <v/>
      </c>
      <c r="Y348" t="s">
        <v>33</v>
      </c>
      <c r="Z348">
        <f t="shared" ca="1" si="119"/>
        <v>0</v>
      </c>
      <c r="AA348" t="str">
        <f t="shared" ca="1" si="120"/>
        <v>SPPN</v>
      </c>
      <c r="AB348">
        <f t="shared" ca="1" si="121"/>
        <v>1</v>
      </c>
      <c r="AC348" t="str">
        <f t="shared" ca="1" si="122"/>
        <v/>
      </c>
      <c r="AD348" t="str">
        <f t="shared" si="112"/>
        <v>4093RN153</v>
      </c>
      <c r="AE348">
        <f t="shared" ca="1" si="123"/>
        <v>0</v>
      </c>
      <c r="AF348" t="str">
        <f t="shared" ca="1" si="124"/>
        <v/>
      </c>
      <c r="AG348">
        <v>83</v>
      </c>
      <c r="AH348" t="s">
        <v>136</v>
      </c>
      <c r="AI348" t="str">
        <f t="shared" si="113"/>
        <v>Lutheran Home 25</v>
      </c>
      <c r="AJ348" t="str">
        <f t="shared" si="114"/>
        <v>Green Bay</v>
      </c>
      <c r="AK348" t="str">
        <f t="shared" si="115"/>
        <v>WI</v>
      </c>
    </row>
    <row r="349" spans="18:37" x14ac:dyDescent="0.25">
      <c r="S349">
        <v>91</v>
      </c>
      <c r="T349">
        <f t="shared" si="111"/>
        <v>129</v>
      </c>
      <c r="U349">
        <f t="shared" si="116"/>
        <v>26053</v>
      </c>
      <c r="V349">
        <f t="shared" ca="1" si="117"/>
        <v>0</v>
      </c>
      <c r="W349">
        <v>83</v>
      </c>
      <c r="X349" t="str">
        <f t="shared" ca="1" si="118"/>
        <v/>
      </c>
      <c r="Y349" t="s">
        <v>28</v>
      </c>
      <c r="Z349">
        <f t="shared" ca="1" si="119"/>
        <v>0</v>
      </c>
      <c r="AA349" t="str">
        <f t="shared" ca="1" si="120"/>
        <v>SPPN</v>
      </c>
      <c r="AB349">
        <f t="shared" ca="1" si="121"/>
        <v>1</v>
      </c>
      <c r="AC349">
        <f t="shared" ca="1" si="122"/>
        <v>0</v>
      </c>
      <c r="AD349" t="str">
        <f t="shared" si="112"/>
        <v>4093RN153</v>
      </c>
      <c r="AE349">
        <f t="shared" ca="1" si="123"/>
        <v>0</v>
      </c>
      <c r="AF349" t="str">
        <f t="shared" ca="1" si="124"/>
        <v/>
      </c>
      <c r="AG349">
        <v>83</v>
      </c>
      <c r="AH349" t="s">
        <v>136</v>
      </c>
      <c r="AI349" t="str">
        <f t="shared" si="113"/>
        <v>Lutheran Home 25</v>
      </c>
      <c r="AJ349" t="str">
        <f t="shared" si="114"/>
        <v>Green Bay</v>
      </c>
      <c r="AK349" t="str">
        <f t="shared" si="115"/>
        <v>WI</v>
      </c>
    </row>
    <row r="350" spans="18:37" x14ac:dyDescent="0.25">
      <c r="S350">
        <v>92</v>
      </c>
      <c r="T350">
        <f t="shared" si="111"/>
        <v>129</v>
      </c>
      <c r="U350">
        <f t="shared" si="116"/>
        <v>26053</v>
      </c>
      <c r="V350">
        <f t="shared" ca="1" si="117"/>
        <v>0</v>
      </c>
      <c r="W350">
        <v>83</v>
      </c>
      <c r="X350" t="str">
        <f t="shared" ca="1" si="118"/>
        <v/>
      </c>
      <c r="Y350" t="s">
        <v>32</v>
      </c>
      <c r="Z350">
        <f t="shared" ca="1" si="119"/>
        <v>0</v>
      </c>
      <c r="AA350" t="str">
        <f t="shared" ca="1" si="120"/>
        <v>SPPN</v>
      </c>
      <c r="AB350">
        <f t="shared" ca="1" si="121"/>
        <v>1</v>
      </c>
      <c r="AC350">
        <f t="shared" ca="1" si="122"/>
        <v>0</v>
      </c>
      <c r="AD350" t="str">
        <f t="shared" si="112"/>
        <v>4093RN153</v>
      </c>
      <c r="AE350">
        <f t="shared" ca="1" si="123"/>
        <v>0</v>
      </c>
      <c r="AF350" t="str">
        <f t="shared" ca="1" si="124"/>
        <v/>
      </c>
      <c r="AG350">
        <v>83</v>
      </c>
      <c r="AH350" t="s">
        <v>136</v>
      </c>
      <c r="AI350" t="str">
        <f t="shared" si="113"/>
        <v>Lutheran Home 25</v>
      </c>
      <c r="AJ350" t="str">
        <f t="shared" si="114"/>
        <v>Green Bay</v>
      </c>
      <c r="AK350" t="str">
        <f t="shared" si="115"/>
        <v>WI</v>
      </c>
    </row>
    <row r="351" spans="18:37" x14ac:dyDescent="0.25">
      <c r="R351">
        <v>1</v>
      </c>
      <c r="S351">
        <v>93</v>
      </c>
      <c r="T351">
        <f t="shared" si="111"/>
        <v>129</v>
      </c>
      <c r="U351">
        <f t="shared" si="116"/>
        <v>26053</v>
      </c>
      <c r="V351">
        <f t="shared" ca="1" si="117"/>
        <v>0</v>
      </c>
      <c r="W351">
        <v>84</v>
      </c>
      <c r="X351" t="str">
        <f t="shared" ca="1" si="118"/>
        <v/>
      </c>
      <c r="Y351" t="s">
        <v>9</v>
      </c>
      <c r="Z351">
        <f t="shared" ca="1" si="119"/>
        <v>0</v>
      </c>
      <c r="AA351" t="str">
        <f t="shared" ca="1" si="120"/>
        <v>SPPN</v>
      </c>
      <c r="AB351">
        <f t="shared" ca="1" si="121"/>
        <v>1</v>
      </c>
      <c r="AC351" t="str">
        <f t="shared" ca="1" si="122"/>
        <v/>
      </c>
      <c r="AD351" t="str">
        <f t="shared" si="112"/>
        <v>4093RN153</v>
      </c>
      <c r="AE351">
        <f t="shared" ca="1" si="123"/>
        <v>0</v>
      </c>
      <c r="AF351" t="str">
        <f t="shared" ca="1" si="124"/>
        <v/>
      </c>
      <c r="AG351">
        <v>84</v>
      </c>
      <c r="AH351" t="s">
        <v>136</v>
      </c>
      <c r="AI351" t="str">
        <f t="shared" si="113"/>
        <v>Lutheran Home 25</v>
      </c>
      <c r="AJ351" t="str">
        <f t="shared" si="114"/>
        <v>Green Bay</v>
      </c>
      <c r="AK351" t="str">
        <f t="shared" si="115"/>
        <v>WI</v>
      </c>
    </row>
    <row r="352" spans="18:37" x14ac:dyDescent="0.25">
      <c r="S352">
        <v>94</v>
      </c>
      <c r="T352">
        <f t="shared" si="111"/>
        <v>129</v>
      </c>
      <c r="U352">
        <f t="shared" si="116"/>
        <v>26053</v>
      </c>
      <c r="V352">
        <f t="shared" ca="1" si="117"/>
        <v>0</v>
      </c>
      <c r="W352">
        <v>84</v>
      </c>
      <c r="X352" t="str">
        <f t="shared" ca="1" si="118"/>
        <v/>
      </c>
      <c r="Y352" t="s">
        <v>33</v>
      </c>
      <c r="Z352">
        <f t="shared" ca="1" si="119"/>
        <v>0</v>
      </c>
      <c r="AA352" t="str">
        <f t="shared" ca="1" si="120"/>
        <v>SPPN</v>
      </c>
      <c r="AB352">
        <f t="shared" ca="1" si="121"/>
        <v>1</v>
      </c>
      <c r="AC352" t="str">
        <f t="shared" ca="1" si="122"/>
        <v/>
      </c>
      <c r="AD352" t="str">
        <f t="shared" si="112"/>
        <v>4093RN153</v>
      </c>
      <c r="AE352">
        <f t="shared" ca="1" si="123"/>
        <v>0</v>
      </c>
      <c r="AF352" t="str">
        <f t="shared" ca="1" si="124"/>
        <v/>
      </c>
      <c r="AG352">
        <v>84</v>
      </c>
      <c r="AH352" t="s">
        <v>136</v>
      </c>
      <c r="AI352" t="str">
        <f t="shared" si="113"/>
        <v>Lutheran Home 25</v>
      </c>
      <c r="AJ352" t="str">
        <f t="shared" si="114"/>
        <v>Green Bay</v>
      </c>
      <c r="AK352" t="str">
        <f t="shared" si="115"/>
        <v>WI</v>
      </c>
    </row>
    <row r="353" spans="18:37" x14ac:dyDescent="0.25">
      <c r="S353">
        <v>95</v>
      </c>
      <c r="T353">
        <f t="shared" si="111"/>
        <v>129</v>
      </c>
      <c r="U353">
        <f t="shared" si="116"/>
        <v>26053</v>
      </c>
      <c r="V353">
        <f t="shared" ca="1" si="117"/>
        <v>0</v>
      </c>
      <c r="W353">
        <v>84</v>
      </c>
      <c r="X353" t="str">
        <f t="shared" ca="1" si="118"/>
        <v/>
      </c>
      <c r="Y353" t="s">
        <v>28</v>
      </c>
      <c r="Z353">
        <f t="shared" ca="1" si="119"/>
        <v>0</v>
      </c>
      <c r="AA353" t="str">
        <f t="shared" ca="1" si="120"/>
        <v>SPPN</v>
      </c>
      <c r="AB353">
        <f t="shared" ca="1" si="121"/>
        <v>1</v>
      </c>
      <c r="AC353">
        <f t="shared" ca="1" si="122"/>
        <v>0</v>
      </c>
      <c r="AD353" t="str">
        <f t="shared" si="112"/>
        <v>4093RN153</v>
      </c>
      <c r="AE353">
        <f t="shared" ca="1" si="123"/>
        <v>0</v>
      </c>
      <c r="AF353" t="str">
        <f t="shared" ca="1" si="124"/>
        <v/>
      </c>
      <c r="AG353">
        <v>84</v>
      </c>
      <c r="AH353" t="s">
        <v>136</v>
      </c>
      <c r="AI353" t="str">
        <f t="shared" si="113"/>
        <v>Lutheran Home 25</v>
      </c>
      <c r="AJ353" t="str">
        <f t="shared" si="114"/>
        <v>Green Bay</v>
      </c>
      <c r="AK353" t="str">
        <f t="shared" si="115"/>
        <v>WI</v>
      </c>
    </row>
    <row r="354" spans="18:37" x14ac:dyDescent="0.25">
      <c r="S354">
        <v>96</v>
      </c>
      <c r="T354">
        <f t="shared" si="111"/>
        <v>129</v>
      </c>
      <c r="U354">
        <f t="shared" si="116"/>
        <v>26053</v>
      </c>
      <c r="V354">
        <f t="shared" ca="1" si="117"/>
        <v>0</v>
      </c>
      <c r="W354">
        <v>84</v>
      </c>
      <c r="X354" t="str">
        <f t="shared" ca="1" si="118"/>
        <v/>
      </c>
      <c r="Y354" t="s">
        <v>32</v>
      </c>
      <c r="Z354">
        <f t="shared" ca="1" si="119"/>
        <v>0</v>
      </c>
      <c r="AA354" t="str">
        <f t="shared" ca="1" si="120"/>
        <v>SPPN</v>
      </c>
      <c r="AB354">
        <f t="shared" ca="1" si="121"/>
        <v>1</v>
      </c>
      <c r="AC354">
        <f t="shared" ca="1" si="122"/>
        <v>0</v>
      </c>
      <c r="AD354" t="str">
        <f t="shared" si="112"/>
        <v>4093RN153</v>
      </c>
      <c r="AE354">
        <f t="shared" ca="1" si="123"/>
        <v>0</v>
      </c>
      <c r="AF354" t="str">
        <f t="shared" ca="1" si="124"/>
        <v/>
      </c>
      <c r="AG354">
        <v>84</v>
      </c>
      <c r="AH354" t="s">
        <v>136</v>
      </c>
      <c r="AI354" t="str">
        <f t="shared" si="113"/>
        <v>Lutheran Home 25</v>
      </c>
      <c r="AJ354" t="str">
        <f t="shared" si="114"/>
        <v>Green Bay</v>
      </c>
      <c r="AK354" t="str">
        <f t="shared" si="115"/>
        <v>WI</v>
      </c>
    </row>
    <row r="355" spans="18:37" x14ac:dyDescent="0.25">
      <c r="R355">
        <v>1</v>
      </c>
      <c r="S355">
        <v>97</v>
      </c>
      <c r="T355">
        <f t="shared" si="111"/>
        <v>129</v>
      </c>
      <c r="U355">
        <f t="shared" si="116"/>
        <v>26053</v>
      </c>
      <c r="V355">
        <f t="shared" ca="1" si="117"/>
        <v>0</v>
      </c>
      <c r="W355">
        <v>85</v>
      </c>
      <c r="X355" t="str">
        <f t="shared" ca="1" si="118"/>
        <v/>
      </c>
      <c r="Y355" t="s">
        <v>9</v>
      </c>
      <c r="Z355">
        <f t="shared" ca="1" si="119"/>
        <v>0</v>
      </c>
      <c r="AA355" t="str">
        <f t="shared" ca="1" si="120"/>
        <v>SPPN</v>
      </c>
      <c r="AB355">
        <f t="shared" ca="1" si="121"/>
        <v>1</v>
      </c>
      <c r="AC355" t="str">
        <f t="shared" ca="1" si="122"/>
        <v/>
      </c>
      <c r="AD355" t="str">
        <f t="shared" si="112"/>
        <v>4093RN153</v>
      </c>
      <c r="AE355">
        <f t="shared" ca="1" si="123"/>
        <v>0</v>
      </c>
      <c r="AF355" t="str">
        <f t="shared" ca="1" si="124"/>
        <v/>
      </c>
      <c r="AG355">
        <v>85</v>
      </c>
      <c r="AH355" t="s">
        <v>136</v>
      </c>
      <c r="AI355" t="str">
        <f t="shared" si="113"/>
        <v>Lutheran Home 25</v>
      </c>
      <c r="AJ355" t="str">
        <f t="shared" si="114"/>
        <v>Green Bay</v>
      </c>
      <c r="AK355" t="str">
        <f t="shared" si="115"/>
        <v>WI</v>
      </c>
    </row>
    <row r="356" spans="18:37" x14ac:dyDescent="0.25">
      <c r="S356">
        <v>98</v>
      </c>
      <c r="T356">
        <f t="shared" si="111"/>
        <v>129</v>
      </c>
      <c r="U356">
        <f t="shared" si="116"/>
        <v>26053</v>
      </c>
      <c r="V356">
        <f t="shared" ca="1" si="117"/>
        <v>0</v>
      </c>
      <c r="W356">
        <v>85</v>
      </c>
      <c r="X356" t="str">
        <f t="shared" ca="1" si="118"/>
        <v/>
      </c>
      <c r="Y356" t="s">
        <v>33</v>
      </c>
      <c r="Z356">
        <f t="shared" ca="1" si="119"/>
        <v>0</v>
      </c>
      <c r="AA356" t="str">
        <f t="shared" ca="1" si="120"/>
        <v>SPPN</v>
      </c>
      <c r="AB356">
        <f t="shared" ca="1" si="121"/>
        <v>1</v>
      </c>
      <c r="AC356" t="str">
        <f t="shared" ca="1" si="122"/>
        <v/>
      </c>
      <c r="AD356" t="str">
        <f t="shared" si="112"/>
        <v>4093RN153</v>
      </c>
      <c r="AE356">
        <f t="shared" ca="1" si="123"/>
        <v>0</v>
      </c>
      <c r="AF356" t="str">
        <f t="shared" ca="1" si="124"/>
        <v/>
      </c>
      <c r="AG356">
        <v>85</v>
      </c>
      <c r="AH356" t="s">
        <v>136</v>
      </c>
      <c r="AI356" t="str">
        <f t="shared" si="113"/>
        <v>Lutheran Home 25</v>
      </c>
      <c r="AJ356" t="str">
        <f t="shared" si="114"/>
        <v>Green Bay</v>
      </c>
      <c r="AK356" t="str">
        <f t="shared" si="115"/>
        <v>WI</v>
      </c>
    </row>
    <row r="357" spans="18:37" x14ac:dyDescent="0.25">
      <c r="S357">
        <v>99</v>
      </c>
      <c r="T357">
        <f t="shared" si="111"/>
        <v>129</v>
      </c>
      <c r="U357">
        <f t="shared" si="116"/>
        <v>26053</v>
      </c>
      <c r="V357">
        <f t="shared" ca="1" si="117"/>
        <v>0</v>
      </c>
      <c r="W357">
        <v>85</v>
      </c>
      <c r="X357" t="str">
        <f t="shared" ca="1" si="118"/>
        <v/>
      </c>
      <c r="Y357" t="s">
        <v>28</v>
      </c>
      <c r="Z357">
        <f t="shared" ca="1" si="119"/>
        <v>0</v>
      </c>
      <c r="AA357" t="str">
        <f t="shared" ca="1" si="120"/>
        <v>SPPN</v>
      </c>
      <c r="AB357">
        <f t="shared" ca="1" si="121"/>
        <v>1</v>
      </c>
      <c r="AC357">
        <f t="shared" ca="1" si="122"/>
        <v>0</v>
      </c>
      <c r="AD357" t="str">
        <f t="shared" si="112"/>
        <v>4093RN153</v>
      </c>
      <c r="AE357">
        <f t="shared" ca="1" si="123"/>
        <v>0</v>
      </c>
      <c r="AF357" t="str">
        <f t="shared" ca="1" si="124"/>
        <v/>
      </c>
      <c r="AG357">
        <v>85</v>
      </c>
      <c r="AH357" t="s">
        <v>136</v>
      </c>
      <c r="AI357" t="str">
        <f t="shared" si="113"/>
        <v>Lutheran Home 25</v>
      </c>
      <c r="AJ357" t="str">
        <f t="shared" si="114"/>
        <v>Green Bay</v>
      </c>
      <c r="AK357" t="str">
        <f t="shared" si="115"/>
        <v>WI</v>
      </c>
    </row>
    <row r="358" spans="18:37" x14ac:dyDescent="0.25">
      <c r="S358">
        <v>100</v>
      </c>
      <c r="T358">
        <f t="shared" si="111"/>
        <v>129</v>
      </c>
      <c r="U358">
        <f t="shared" si="116"/>
        <v>26053</v>
      </c>
      <c r="V358">
        <f t="shared" ca="1" si="117"/>
        <v>0</v>
      </c>
      <c r="W358">
        <v>85</v>
      </c>
      <c r="X358" t="str">
        <f t="shared" ca="1" si="118"/>
        <v/>
      </c>
      <c r="Y358" t="s">
        <v>32</v>
      </c>
      <c r="Z358">
        <f t="shared" ca="1" si="119"/>
        <v>0</v>
      </c>
      <c r="AA358" t="str">
        <f t="shared" ca="1" si="120"/>
        <v>SPPN</v>
      </c>
      <c r="AB358">
        <f t="shared" ca="1" si="121"/>
        <v>1</v>
      </c>
      <c r="AC358">
        <f t="shared" ca="1" si="122"/>
        <v>0</v>
      </c>
      <c r="AD358" t="str">
        <f t="shared" si="112"/>
        <v>4093RN153</v>
      </c>
      <c r="AE358">
        <f t="shared" ca="1" si="123"/>
        <v>0</v>
      </c>
      <c r="AF358" t="str">
        <f t="shared" ca="1" si="124"/>
        <v/>
      </c>
      <c r="AG358">
        <v>85</v>
      </c>
      <c r="AH358" t="s">
        <v>136</v>
      </c>
      <c r="AI358" t="str">
        <f t="shared" si="113"/>
        <v>Lutheran Home 25</v>
      </c>
      <c r="AJ358" t="str">
        <f t="shared" si="114"/>
        <v>Green Bay</v>
      </c>
      <c r="AK358" t="str">
        <f t="shared" si="115"/>
        <v>WI</v>
      </c>
    </row>
    <row r="359" spans="18:37" x14ac:dyDescent="0.25">
      <c r="R359">
        <v>1</v>
      </c>
      <c r="S359">
        <v>101</v>
      </c>
      <c r="T359">
        <f t="shared" si="111"/>
        <v>129</v>
      </c>
      <c r="U359">
        <f t="shared" si="116"/>
        <v>26053</v>
      </c>
      <c r="V359">
        <f t="shared" ca="1" si="117"/>
        <v>0</v>
      </c>
      <c r="W359">
        <v>86</v>
      </c>
      <c r="X359" t="str">
        <f t="shared" ca="1" si="118"/>
        <v/>
      </c>
      <c r="Y359" t="s">
        <v>9</v>
      </c>
      <c r="Z359">
        <f t="shared" ca="1" si="119"/>
        <v>0</v>
      </c>
      <c r="AA359" t="str">
        <f t="shared" ca="1" si="120"/>
        <v>SPPN</v>
      </c>
      <c r="AB359">
        <f t="shared" ca="1" si="121"/>
        <v>1</v>
      </c>
      <c r="AC359" t="str">
        <f t="shared" ca="1" si="122"/>
        <v/>
      </c>
      <c r="AD359" t="str">
        <f t="shared" si="112"/>
        <v>4093RN153</v>
      </c>
      <c r="AE359">
        <f t="shared" ca="1" si="123"/>
        <v>0</v>
      </c>
      <c r="AF359" t="str">
        <f t="shared" ca="1" si="124"/>
        <v/>
      </c>
      <c r="AG359">
        <v>86</v>
      </c>
      <c r="AH359" t="s">
        <v>136</v>
      </c>
      <c r="AI359" t="str">
        <f t="shared" si="113"/>
        <v>Lutheran Home 25</v>
      </c>
      <c r="AJ359" t="str">
        <f t="shared" si="114"/>
        <v>Green Bay</v>
      </c>
      <c r="AK359" t="str">
        <f t="shared" si="115"/>
        <v>WI</v>
      </c>
    </row>
    <row r="360" spans="18:37" x14ac:dyDescent="0.25">
      <c r="S360">
        <v>102</v>
      </c>
      <c r="T360">
        <f t="shared" si="111"/>
        <v>129</v>
      </c>
      <c r="U360">
        <f t="shared" si="116"/>
        <v>26053</v>
      </c>
      <c r="V360">
        <f t="shared" ca="1" si="117"/>
        <v>0</v>
      </c>
      <c r="W360">
        <v>86</v>
      </c>
      <c r="X360" t="str">
        <f t="shared" ca="1" si="118"/>
        <v/>
      </c>
      <c r="Y360" t="s">
        <v>33</v>
      </c>
      <c r="Z360">
        <f t="shared" ca="1" si="119"/>
        <v>0</v>
      </c>
      <c r="AA360" t="str">
        <f t="shared" ca="1" si="120"/>
        <v>SPPN</v>
      </c>
      <c r="AB360">
        <f t="shared" ca="1" si="121"/>
        <v>1</v>
      </c>
      <c r="AC360" t="str">
        <f t="shared" ca="1" si="122"/>
        <v/>
      </c>
      <c r="AD360" t="str">
        <f t="shared" si="112"/>
        <v>4093RN153</v>
      </c>
      <c r="AE360">
        <f t="shared" ca="1" si="123"/>
        <v>0</v>
      </c>
      <c r="AF360" t="str">
        <f t="shared" ca="1" si="124"/>
        <v/>
      </c>
      <c r="AG360">
        <v>86</v>
      </c>
      <c r="AH360" t="s">
        <v>136</v>
      </c>
      <c r="AI360" t="str">
        <f t="shared" si="113"/>
        <v>Lutheran Home 25</v>
      </c>
      <c r="AJ360" t="str">
        <f t="shared" si="114"/>
        <v>Green Bay</v>
      </c>
      <c r="AK360" t="str">
        <f t="shared" si="115"/>
        <v>WI</v>
      </c>
    </row>
    <row r="361" spans="18:37" x14ac:dyDescent="0.25">
      <c r="S361">
        <v>103</v>
      </c>
      <c r="T361">
        <f t="shared" si="111"/>
        <v>129</v>
      </c>
      <c r="U361">
        <f t="shared" si="116"/>
        <v>26053</v>
      </c>
      <c r="V361">
        <f t="shared" ca="1" si="117"/>
        <v>0</v>
      </c>
      <c r="W361">
        <v>86</v>
      </c>
      <c r="X361" t="str">
        <f t="shared" ca="1" si="118"/>
        <v/>
      </c>
      <c r="Y361" t="s">
        <v>28</v>
      </c>
      <c r="Z361">
        <f t="shared" ca="1" si="119"/>
        <v>0</v>
      </c>
      <c r="AA361" t="str">
        <f t="shared" ca="1" si="120"/>
        <v>SPPN</v>
      </c>
      <c r="AB361">
        <f t="shared" ca="1" si="121"/>
        <v>1</v>
      </c>
      <c r="AC361">
        <f t="shared" ca="1" si="122"/>
        <v>0</v>
      </c>
      <c r="AD361" t="str">
        <f t="shared" si="112"/>
        <v>4093RN153</v>
      </c>
      <c r="AE361">
        <f t="shared" ca="1" si="123"/>
        <v>0</v>
      </c>
      <c r="AF361" t="str">
        <f t="shared" ca="1" si="124"/>
        <v/>
      </c>
      <c r="AG361">
        <v>86</v>
      </c>
      <c r="AH361" t="s">
        <v>136</v>
      </c>
      <c r="AI361" t="str">
        <f t="shared" si="113"/>
        <v>Lutheran Home 25</v>
      </c>
      <c r="AJ361" t="str">
        <f t="shared" si="114"/>
        <v>Green Bay</v>
      </c>
      <c r="AK361" t="str">
        <f t="shared" si="115"/>
        <v>WI</v>
      </c>
    </row>
    <row r="362" spans="18:37" x14ac:dyDescent="0.25">
      <c r="S362">
        <v>104</v>
      </c>
      <c r="T362">
        <f t="shared" si="111"/>
        <v>129</v>
      </c>
      <c r="U362">
        <f t="shared" si="116"/>
        <v>26053</v>
      </c>
      <c r="V362">
        <f t="shared" ca="1" si="117"/>
        <v>0</v>
      </c>
      <c r="W362">
        <v>86</v>
      </c>
      <c r="X362" t="str">
        <f t="shared" ca="1" si="118"/>
        <v/>
      </c>
      <c r="Y362" t="s">
        <v>32</v>
      </c>
      <c r="Z362">
        <f t="shared" ca="1" si="119"/>
        <v>0</v>
      </c>
      <c r="AA362" t="str">
        <f t="shared" ca="1" si="120"/>
        <v>SPPN</v>
      </c>
      <c r="AB362">
        <f t="shared" ca="1" si="121"/>
        <v>1</v>
      </c>
      <c r="AC362">
        <f t="shared" ca="1" si="122"/>
        <v>0</v>
      </c>
      <c r="AD362" t="str">
        <f t="shared" si="112"/>
        <v>4093RN153</v>
      </c>
      <c r="AE362">
        <f t="shared" ca="1" si="123"/>
        <v>0</v>
      </c>
      <c r="AF362" t="str">
        <f t="shared" ca="1" si="124"/>
        <v/>
      </c>
      <c r="AG362">
        <v>86</v>
      </c>
      <c r="AH362" t="s">
        <v>136</v>
      </c>
      <c r="AI362" t="str">
        <f t="shared" si="113"/>
        <v>Lutheran Home 25</v>
      </c>
      <c r="AJ362" t="str">
        <f t="shared" si="114"/>
        <v>Green Bay</v>
      </c>
      <c r="AK362" t="str">
        <f t="shared" si="115"/>
        <v>WI</v>
      </c>
    </row>
    <row r="363" spans="18:37" x14ac:dyDescent="0.25">
      <c r="R363">
        <v>1</v>
      </c>
      <c r="S363">
        <v>105</v>
      </c>
      <c r="T363">
        <f t="shared" si="111"/>
        <v>129</v>
      </c>
      <c r="U363">
        <f t="shared" si="116"/>
        <v>26053</v>
      </c>
      <c r="V363">
        <f t="shared" ca="1" si="117"/>
        <v>0</v>
      </c>
      <c r="W363">
        <v>87</v>
      </c>
      <c r="X363" t="str">
        <f t="shared" ca="1" si="118"/>
        <v/>
      </c>
      <c r="Y363" t="s">
        <v>9</v>
      </c>
      <c r="Z363">
        <f t="shared" ca="1" si="119"/>
        <v>0</v>
      </c>
      <c r="AA363" t="str">
        <f t="shared" ca="1" si="120"/>
        <v>SPPN</v>
      </c>
      <c r="AB363">
        <f t="shared" ca="1" si="121"/>
        <v>1</v>
      </c>
      <c r="AC363" t="str">
        <f t="shared" ca="1" si="122"/>
        <v/>
      </c>
      <c r="AD363" t="str">
        <f t="shared" si="112"/>
        <v>4093RN153</v>
      </c>
      <c r="AE363">
        <f t="shared" ca="1" si="123"/>
        <v>0</v>
      </c>
      <c r="AF363" t="str">
        <f t="shared" ca="1" si="124"/>
        <v/>
      </c>
      <c r="AG363">
        <v>87</v>
      </c>
      <c r="AH363" t="s">
        <v>136</v>
      </c>
      <c r="AI363" t="str">
        <f t="shared" si="113"/>
        <v>Lutheran Home 25</v>
      </c>
      <c r="AJ363" t="str">
        <f t="shared" si="114"/>
        <v>Green Bay</v>
      </c>
      <c r="AK363" t="str">
        <f t="shared" si="115"/>
        <v>WI</v>
      </c>
    </row>
    <row r="364" spans="18:37" x14ac:dyDescent="0.25">
      <c r="S364">
        <v>106</v>
      </c>
      <c r="T364">
        <f t="shared" si="111"/>
        <v>129</v>
      </c>
      <c r="U364">
        <f t="shared" si="116"/>
        <v>26053</v>
      </c>
      <c r="V364">
        <f t="shared" ca="1" si="117"/>
        <v>0</v>
      </c>
      <c r="W364">
        <v>87</v>
      </c>
      <c r="X364" t="str">
        <f t="shared" ca="1" si="118"/>
        <v/>
      </c>
      <c r="Y364" t="s">
        <v>33</v>
      </c>
      <c r="Z364">
        <f t="shared" ca="1" si="119"/>
        <v>0</v>
      </c>
      <c r="AA364" t="str">
        <f t="shared" ca="1" si="120"/>
        <v>SPPN</v>
      </c>
      <c r="AB364">
        <f t="shared" ca="1" si="121"/>
        <v>1</v>
      </c>
      <c r="AC364" t="str">
        <f t="shared" ca="1" si="122"/>
        <v/>
      </c>
      <c r="AD364" t="str">
        <f t="shared" si="112"/>
        <v>4093RN153</v>
      </c>
      <c r="AE364">
        <f t="shared" ca="1" si="123"/>
        <v>0</v>
      </c>
      <c r="AF364" t="str">
        <f t="shared" ca="1" si="124"/>
        <v/>
      </c>
      <c r="AG364">
        <v>87</v>
      </c>
      <c r="AH364" t="s">
        <v>136</v>
      </c>
      <c r="AI364" t="str">
        <f t="shared" si="113"/>
        <v>Lutheran Home 25</v>
      </c>
      <c r="AJ364" t="str">
        <f t="shared" si="114"/>
        <v>Green Bay</v>
      </c>
      <c r="AK364" t="str">
        <f t="shared" si="115"/>
        <v>WI</v>
      </c>
    </row>
    <row r="365" spans="18:37" x14ac:dyDescent="0.25">
      <c r="S365">
        <v>107</v>
      </c>
      <c r="T365">
        <f t="shared" si="111"/>
        <v>129</v>
      </c>
      <c r="U365">
        <f t="shared" si="116"/>
        <v>26053</v>
      </c>
      <c r="V365">
        <f t="shared" ca="1" si="117"/>
        <v>0</v>
      </c>
      <c r="W365">
        <v>87</v>
      </c>
      <c r="X365" t="str">
        <f t="shared" ca="1" si="118"/>
        <v/>
      </c>
      <c r="Y365" t="s">
        <v>28</v>
      </c>
      <c r="Z365">
        <f t="shared" ca="1" si="119"/>
        <v>0</v>
      </c>
      <c r="AA365" t="str">
        <f t="shared" ca="1" si="120"/>
        <v>SPPN</v>
      </c>
      <c r="AB365">
        <f t="shared" ca="1" si="121"/>
        <v>1</v>
      </c>
      <c r="AC365">
        <f t="shared" ca="1" si="122"/>
        <v>0</v>
      </c>
      <c r="AD365" t="str">
        <f t="shared" si="112"/>
        <v>4093RN153</v>
      </c>
      <c r="AE365">
        <f t="shared" ca="1" si="123"/>
        <v>0</v>
      </c>
      <c r="AF365" t="str">
        <f t="shared" ca="1" si="124"/>
        <v/>
      </c>
      <c r="AG365">
        <v>87</v>
      </c>
      <c r="AH365" t="s">
        <v>136</v>
      </c>
      <c r="AI365" t="str">
        <f t="shared" si="113"/>
        <v>Lutheran Home 25</v>
      </c>
      <c r="AJ365" t="str">
        <f t="shared" si="114"/>
        <v>Green Bay</v>
      </c>
      <c r="AK365" t="str">
        <f t="shared" si="115"/>
        <v>WI</v>
      </c>
    </row>
    <row r="366" spans="18:37" x14ac:dyDescent="0.25">
      <c r="S366">
        <v>108</v>
      </c>
      <c r="T366">
        <f t="shared" si="111"/>
        <v>129</v>
      </c>
      <c r="U366">
        <f t="shared" si="116"/>
        <v>26053</v>
      </c>
      <c r="V366">
        <f t="shared" ca="1" si="117"/>
        <v>0</v>
      </c>
      <c r="W366">
        <v>87</v>
      </c>
      <c r="X366" t="str">
        <f t="shared" ca="1" si="118"/>
        <v/>
      </c>
      <c r="Y366" t="s">
        <v>32</v>
      </c>
      <c r="Z366">
        <f t="shared" ca="1" si="119"/>
        <v>0</v>
      </c>
      <c r="AA366" t="str">
        <f t="shared" ca="1" si="120"/>
        <v>SPPN</v>
      </c>
      <c r="AB366">
        <f t="shared" ca="1" si="121"/>
        <v>1</v>
      </c>
      <c r="AC366">
        <f t="shared" ca="1" si="122"/>
        <v>0</v>
      </c>
      <c r="AD366" t="str">
        <f t="shared" si="112"/>
        <v>4093RN153</v>
      </c>
      <c r="AE366">
        <f t="shared" ca="1" si="123"/>
        <v>0</v>
      </c>
      <c r="AF366" t="str">
        <f t="shared" ca="1" si="124"/>
        <v/>
      </c>
      <c r="AG366">
        <v>87</v>
      </c>
      <c r="AH366" t="s">
        <v>136</v>
      </c>
      <c r="AI366" t="str">
        <f t="shared" si="113"/>
        <v>Lutheran Home 25</v>
      </c>
      <c r="AJ366" t="str">
        <f t="shared" si="114"/>
        <v>Green Bay</v>
      </c>
      <c r="AK366" t="str">
        <f t="shared" si="115"/>
        <v>WI</v>
      </c>
    </row>
    <row r="367" spans="18:37" x14ac:dyDescent="0.25">
      <c r="R367">
        <v>1</v>
      </c>
      <c r="S367">
        <v>109</v>
      </c>
      <c r="T367">
        <f t="shared" si="111"/>
        <v>129</v>
      </c>
      <c r="U367">
        <f t="shared" si="116"/>
        <v>26053</v>
      </c>
      <c r="V367">
        <f t="shared" ca="1" si="117"/>
        <v>0</v>
      </c>
      <c r="W367">
        <v>88</v>
      </c>
      <c r="X367" t="str">
        <f t="shared" ca="1" si="118"/>
        <v/>
      </c>
      <c r="Y367" t="s">
        <v>9</v>
      </c>
      <c r="Z367">
        <f t="shared" ca="1" si="119"/>
        <v>0</v>
      </c>
      <c r="AA367" t="str">
        <f t="shared" ca="1" si="120"/>
        <v>SPPN</v>
      </c>
      <c r="AB367">
        <f t="shared" ca="1" si="121"/>
        <v>1</v>
      </c>
      <c r="AC367" t="str">
        <f t="shared" ca="1" si="122"/>
        <v/>
      </c>
      <c r="AD367" t="str">
        <f t="shared" si="112"/>
        <v>4093RN153</v>
      </c>
      <c r="AE367">
        <f t="shared" ca="1" si="123"/>
        <v>0</v>
      </c>
      <c r="AF367" t="str">
        <f t="shared" ca="1" si="124"/>
        <v/>
      </c>
      <c r="AG367">
        <v>88</v>
      </c>
      <c r="AH367" t="s">
        <v>136</v>
      </c>
      <c r="AI367" t="str">
        <f t="shared" si="113"/>
        <v>Lutheran Home 25</v>
      </c>
      <c r="AJ367" t="str">
        <f t="shared" si="114"/>
        <v>Green Bay</v>
      </c>
      <c r="AK367" t="str">
        <f t="shared" si="115"/>
        <v>WI</v>
      </c>
    </row>
    <row r="368" spans="18:37" x14ac:dyDescent="0.25">
      <c r="S368">
        <v>110</v>
      </c>
      <c r="T368">
        <f t="shared" si="111"/>
        <v>129</v>
      </c>
      <c r="U368">
        <f t="shared" si="116"/>
        <v>26053</v>
      </c>
      <c r="V368">
        <f t="shared" ca="1" si="117"/>
        <v>0</v>
      </c>
      <c r="W368">
        <v>88</v>
      </c>
      <c r="X368" t="str">
        <f t="shared" ca="1" si="118"/>
        <v/>
      </c>
      <c r="Y368" t="s">
        <v>33</v>
      </c>
      <c r="Z368">
        <f t="shared" ca="1" si="119"/>
        <v>0</v>
      </c>
      <c r="AA368" t="str">
        <f t="shared" ca="1" si="120"/>
        <v>SPPN</v>
      </c>
      <c r="AB368">
        <f t="shared" ca="1" si="121"/>
        <v>1</v>
      </c>
      <c r="AC368" t="str">
        <f t="shared" ca="1" si="122"/>
        <v/>
      </c>
      <c r="AD368" t="str">
        <f t="shared" si="112"/>
        <v>4093RN153</v>
      </c>
      <c r="AE368">
        <f t="shared" ca="1" si="123"/>
        <v>0</v>
      </c>
      <c r="AF368" t="str">
        <f t="shared" ca="1" si="124"/>
        <v/>
      </c>
      <c r="AG368">
        <v>88</v>
      </c>
      <c r="AH368" t="s">
        <v>136</v>
      </c>
      <c r="AI368" t="str">
        <f t="shared" si="113"/>
        <v>Lutheran Home 25</v>
      </c>
      <c r="AJ368" t="str">
        <f t="shared" si="114"/>
        <v>Green Bay</v>
      </c>
      <c r="AK368" t="str">
        <f t="shared" si="115"/>
        <v>WI</v>
      </c>
    </row>
    <row r="369" spans="18:37" x14ac:dyDescent="0.25">
      <c r="S369">
        <v>111</v>
      </c>
      <c r="T369">
        <f t="shared" si="111"/>
        <v>129</v>
      </c>
      <c r="U369">
        <f t="shared" si="116"/>
        <v>26053</v>
      </c>
      <c r="V369">
        <f t="shared" ca="1" si="117"/>
        <v>0</v>
      </c>
      <c r="W369">
        <v>88</v>
      </c>
      <c r="X369" t="str">
        <f t="shared" ca="1" si="118"/>
        <v/>
      </c>
      <c r="Y369" t="s">
        <v>28</v>
      </c>
      <c r="Z369">
        <f t="shared" ca="1" si="119"/>
        <v>0</v>
      </c>
      <c r="AA369" t="str">
        <f t="shared" ca="1" si="120"/>
        <v>SPPN</v>
      </c>
      <c r="AB369">
        <f t="shared" ca="1" si="121"/>
        <v>1</v>
      </c>
      <c r="AC369">
        <f t="shared" ca="1" si="122"/>
        <v>0</v>
      </c>
      <c r="AD369" t="str">
        <f t="shared" si="112"/>
        <v>4093RN153</v>
      </c>
      <c r="AE369">
        <f t="shared" ca="1" si="123"/>
        <v>0</v>
      </c>
      <c r="AF369" t="str">
        <f t="shared" ca="1" si="124"/>
        <v/>
      </c>
      <c r="AG369">
        <v>88</v>
      </c>
      <c r="AH369" t="s">
        <v>136</v>
      </c>
      <c r="AI369" t="str">
        <f t="shared" si="113"/>
        <v>Lutheran Home 25</v>
      </c>
      <c r="AJ369" t="str">
        <f t="shared" si="114"/>
        <v>Green Bay</v>
      </c>
      <c r="AK369" t="str">
        <f t="shared" si="115"/>
        <v>WI</v>
      </c>
    </row>
    <row r="370" spans="18:37" x14ac:dyDescent="0.25">
      <c r="S370">
        <v>112</v>
      </c>
      <c r="T370">
        <f t="shared" si="111"/>
        <v>129</v>
      </c>
      <c r="U370">
        <f t="shared" si="116"/>
        <v>26053</v>
      </c>
      <c r="V370">
        <f t="shared" ca="1" si="117"/>
        <v>0</v>
      </c>
      <c r="W370">
        <v>88</v>
      </c>
      <c r="X370" t="str">
        <f t="shared" ca="1" si="118"/>
        <v/>
      </c>
      <c r="Y370" t="s">
        <v>32</v>
      </c>
      <c r="Z370">
        <f t="shared" ca="1" si="119"/>
        <v>0</v>
      </c>
      <c r="AA370" t="str">
        <f t="shared" ca="1" si="120"/>
        <v>SPPN</v>
      </c>
      <c r="AB370">
        <f t="shared" ca="1" si="121"/>
        <v>1</v>
      </c>
      <c r="AC370">
        <f t="shared" ca="1" si="122"/>
        <v>0</v>
      </c>
      <c r="AD370" t="str">
        <f t="shared" si="112"/>
        <v>4093RN153</v>
      </c>
      <c r="AE370">
        <f t="shared" ca="1" si="123"/>
        <v>0</v>
      </c>
      <c r="AF370" t="str">
        <f t="shared" ca="1" si="124"/>
        <v/>
      </c>
      <c r="AG370">
        <v>88</v>
      </c>
      <c r="AH370" t="s">
        <v>136</v>
      </c>
      <c r="AI370" t="str">
        <f t="shared" si="113"/>
        <v>Lutheran Home 25</v>
      </c>
      <c r="AJ370" t="str">
        <f t="shared" si="114"/>
        <v>Green Bay</v>
      </c>
      <c r="AK370" t="str">
        <f t="shared" si="115"/>
        <v>WI</v>
      </c>
    </row>
    <row r="371" spans="18:37" x14ac:dyDescent="0.25">
      <c r="R371">
        <v>1</v>
      </c>
      <c r="S371">
        <v>113</v>
      </c>
      <c r="T371">
        <f t="shared" si="111"/>
        <v>129</v>
      </c>
      <c r="U371">
        <f t="shared" si="116"/>
        <v>26053</v>
      </c>
      <c r="V371">
        <f t="shared" ca="1" si="117"/>
        <v>0</v>
      </c>
      <c r="W371">
        <v>89</v>
      </c>
      <c r="X371" t="str">
        <f t="shared" ca="1" si="118"/>
        <v/>
      </c>
      <c r="Y371" t="s">
        <v>9</v>
      </c>
      <c r="Z371">
        <f t="shared" ca="1" si="119"/>
        <v>0</v>
      </c>
      <c r="AA371" t="str">
        <f t="shared" ca="1" si="120"/>
        <v>SPPN</v>
      </c>
      <c r="AB371">
        <f t="shared" ca="1" si="121"/>
        <v>1</v>
      </c>
      <c r="AC371" t="str">
        <f t="shared" ca="1" si="122"/>
        <v/>
      </c>
      <c r="AD371" t="str">
        <f t="shared" si="112"/>
        <v>4093RN153</v>
      </c>
      <c r="AE371">
        <f t="shared" ca="1" si="123"/>
        <v>0</v>
      </c>
      <c r="AF371" t="str">
        <f t="shared" ca="1" si="124"/>
        <v/>
      </c>
      <c r="AG371">
        <v>89</v>
      </c>
      <c r="AH371" t="s">
        <v>136</v>
      </c>
      <c r="AI371" t="str">
        <f t="shared" si="113"/>
        <v>Lutheran Home 25</v>
      </c>
      <c r="AJ371" t="str">
        <f t="shared" si="114"/>
        <v>Green Bay</v>
      </c>
      <c r="AK371" t="str">
        <f t="shared" si="115"/>
        <v>WI</v>
      </c>
    </row>
    <row r="372" spans="18:37" x14ac:dyDescent="0.25">
      <c r="S372">
        <v>114</v>
      </c>
      <c r="T372">
        <f t="shared" si="111"/>
        <v>129</v>
      </c>
      <c r="U372">
        <f t="shared" si="116"/>
        <v>26053</v>
      </c>
      <c r="V372">
        <f t="shared" ca="1" si="117"/>
        <v>0</v>
      </c>
      <c r="W372">
        <v>89</v>
      </c>
      <c r="X372" t="str">
        <f t="shared" ca="1" si="118"/>
        <v/>
      </c>
      <c r="Y372" t="s">
        <v>33</v>
      </c>
      <c r="Z372">
        <f t="shared" ca="1" si="119"/>
        <v>0</v>
      </c>
      <c r="AA372" t="str">
        <f t="shared" ca="1" si="120"/>
        <v>SPPN</v>
      </c>
      <c r="AB372">
        <f t="shared" ca="1" si="121"/>
        <v>1</v>
      </c>
      <c r="AC372" t="str">
        <f t="shared" ca="1" si="122"/>
        <v/>
      </c>
      <c r="AD372" t="str">
        <f t="shared" si="112"/>
        <v>4093RN153</v>
      </c>
      <c r="AE372">
        <f t="shared" ca="1" si="123"/>
        <v>0</v>
      </c>
      <c r="AF372" t="str">
        <f t="shared" ca="1" si="124"/>
        <v/>
      </c>
      <c r="AG372">
        <v>89</v>
      </c>
      <c r="AH372" t="s">
        <v>136</v>
      </c>
      <c r="AI372" t="str">
        <f t="shared" si="113"/>
        <v>Lutheran Home 25</v>
      </c>
      <c r="AJ372" t="str">
        <f t="shared" si="114"/>
        <v>Green Bay</v>
      </c>
      <c r="AK372" t="str">
        <f t="shared" si="115"/>
        <v>WI</v>
      </c>
    </row>
    <row r="373" spans="18:37" x14ac:dyDescent="0.25">
      <c r="S373">
        <v>115</v>
      </c>
      <c r="T373">
        <f t="shared" si="111"/>
        <v>129</v>
      </c>
      <c r="U373">
        <f t="shared" si="116"/>
        <v>26053</v>
      </c>
      <c r="V373">
        <f t="shared" ca="1" si="117"/>
        <v>0</v>
      </c>
      <c r="W373">
        <v>89</v>
      </c>
      <c r="X373" t="str">
        <f t="shared" ca="1" si="118"/>
        <v/>
      </c>
      <c r="Y373" t="s">
        <v>28</v>
      </c>
      <c r="Z373">
        <f t="shared" ca="1" si="119"/>
        <v>0</v>
      </c>
      <c r="AA373" t="str">
        <f t="shared" ca="1" si="120"/>
        <v>SPPN</v>
      </c>
      <c r="AB373">
        <f t="shared" ca="1" si="121"/>
        <v>1</v>
      </c>
      <c r="AC373">
        <f t="shared" ca="1" si="122"/>
        <v>0</v>
      </c>
      <c r="AD373" t="str">
        <f t="shared" si="112"/>
        <v>4093RN153</v>
      </c>
      <c r="AE373">
        <f t="shared" ca="1" si="123"/>
        <v>0</v>
      </c>
      <c r="AF373" t="str">
        <f t="shared" ca="1" si="124"/>
        <v/>
      </c>
      <c r="AG373">
        <v>89</v>
      </c>
      <c r="AH373" t="s">
        <v>136</v>
      </c>
      <c r="AI373" t="str">
        <f t="shared" si="113"/>
        <v>Lutheran Home 25</v>
      </c>
      <c r="AJ373" t="str">
        <f t="shared" si="114"/>
        <v>Green Bay</v>
      </c>
      <c r="AK373" t="str">
        <f t="shared" si="115"/>
        <v>WI</v>
      </c>
    </row>
    <row r="374" spans="18:37" x14ac:dyDescent="0.25">
      <c r="S374">
        <v>116</v>
      </c>
      <c r="T374">
        <f t="shared" si="111"/>
        <v>129</v>
      </c>
      <c r="U374">
        <f t="shared" si="116"/>
        <v>26053</v>
      </c>
      <c r="V374">
        <f t="shared" ca="1" si="117"/>
        <v>0</v>
      </c>
      <c r="W374">
        <v>89</v>
      </c>
      <c r="X374" t="str">
        <f t="shared" ca="1" si="118"/>
        <v/>
      </c>
      <c r="Y374" t="s">
        <v>32</v>
      </c>
      <c r="Z374">
        <f t="shared" ca="1" si="119"/>
        <v>0</v>
      </c>
      <c r="AA374" t="str">
        <f t="shared" ca="1" si="120"/>
        <v>SPPN</v>
      </c>
      <c r="AB374">
        <f t="shared" ca="1" si="121"/>
        <v>1</v>
      </c>
      <c r="AC374">
        <f t="shared" ca="1" si="122"/>
        <v>0</v>
      </c>
      <c r="AD374" t="str">
        <f t="shared" si="112"/>
        <v>4093RN153</v>
      </c>
      <c r="AE374">
        <f t="shared" ca="1" si="123"/>
        <v>0</v>
      </c>
      <c r="AF374" t="str">
        <f t="shared" ca="1" si="124"/>
        <v/>
      </c>
      <c r="AG374">
        <v>89</v>
      </c>
      <c r="AH374" t="s">
        <v>136</v>
      </c>
      <c r="AI374" t="str">
        <f t="shared" si="113"/>
        <v>Lutheran Home 25</v>
      </c>
      <c r="AJ374" t="str">
        <f t="shared" si="114"/>
        <v>Green Bay</v>
      </c>
      <c r="AK374" t="str">
        <f t="shared" si="115"/>
        <v>WI</v>
      </c>
    </row>
    <row r="375" spans="18:37" x14ac:dyDescent="0.25">
      <c r="R375">
        <v>1</v>
      </c>
      <c r="S375">
        <v>117</v>
      </c>
      <c r="T375">
        <f t="shared" si="111"/>
        <v>129</v>
      </c>
      <c r="U375">
        <f t="shared" si="116"/>
        <v>26053</v>
      </c>
      <c r="V375">
        <f t="shared" ca="1" si="117"/>
        <v>0</v>
      </c>
      <c r="W375">
        <v>90</v>
      </c>
      <c r="X375" t="str">
        <f t="shared" ca="1" si="118"/>
        <v/>
      </c>
      <c r="Y375" t="s">
        <v>9</v>
      </c>
      <c r="Z375">
        <f t="shared" ca="1" si="119"/>
        <v>0</v>
      </c>
      <c r="AA375" t="str">
        <f t="shared" ca="1" si="120"/>
        <v>SPPN</v>
      </c>
      <c r="AB375">
        <f t="shared" ca="1" si="121"/>
        <v>1</v>
      </c>
      <c r="AC375" t="str">
        <f t="shared" ca="1" si="122"/>
        <v/>
      </c>
      <c r="AD375" t="str">
        <f t="shared" si="112"/>
        <v>4093RN153</v>
      </c>
      <c r="AE375">
        <f t="shared" ca="1" si="123"/>
        <v>0</v>
      </c>
      <c r="AF375" t="str">
        <f t="shared" ca="1" si="124"/>
        <v/>
      </c>
      <c r="AG375">
        <v>90</v>
      </c>
      <c r="AH375" t="s">
        <v>136</v>
      </c>
      <c r="AI375" t="str">
        <f t="shared" si="113"/>
        <v>Lutheran Home 25</v>
      </c>
      <c r="AJ375" t="str">
        <f t="shared" si="114"/>
        <v>Green Bay</v>
      </c>
      <c r="AK375" t="str">
        <f t="shared" si="115"/>
        <v>WI</v>
      </c>
    </row>
    <row r="376" spans="18:37" x14ac:dyDescent="0.25">
      <c r="S376">
        <v>118</v>
      </c>
      <c r="T376">
        <f t="shared" si="111"/>
        <v>129</v>
      </c>
      <c r="U376">
        <f t="shared" si="116"/>
        <v>26053</v>
      </c>
      <c r="V376">
        <f t="shared" ca="1" si="117"/>
        <v>0</v>
      </c>
      <c r="W376">
        <v>90</v>
      </c>
      <c r="X376" t="str">
        <f t="shared" ca="1" si="118"/>
        <v/>
      </c>
      <c r="Y376" t="s">
        <v>33</v>
      </c>
      <c r="Z376">
        <f t="shared" ca="1" si="119"/>
        <v>0</v>
      </c>
      <c r="AA376" t="str">
        <f t="shared" ca="1" si="120"/>
        <v>SPPN</v>
      </c>
      <c r="AB376">
        <f t="shared" ca="1" si="121"/>
        <v>1</v>
      </c>
      <c r="AC376" t="str">
        <f t="shared" ca="1" si="122"/>
        <v/>
      </c>
      <c r="AD376" t="str">
        <f t="shared" si="112"/>
        <v>4093RN153</v>
      </c>
      <c r="AE376">
        <f t="shared" ca="1" si="123"/>
        <v>0</v>
      </c>
      <c r="AF376" t="str">
        <f t="shared" ca="1" si="124"/>
        <v/>
      </c>
      <c r="AG376">
        <v>90</v>
      </c>
      <c r="AH376" t="s">
        <v>136</v>
      </c>
      <c r="AI376" t="str">
        <f t="shared" si="113"/>
        <v>Lutheran Home 25</v>
      </c>
      <c r="AJ376" t="str">
        <f t="shared" si="114"/>
        <v>Green Bay</v>
      </c>
      <c r="AK376" t="str">
        <f t="shared" si="115"/>
        <v>WI</v>
      </c>
    </row>
    <row r="377" spans="18:37" x14ac:dyDescent="0.25">
      <c r="S377">
        <v>119</v>
      </c>
      <c r="T377">
        <f t="shared" si="111"/>
        <v>129</v>
      </c>
      <c r="U377">
        <f t="shared" si="116"/>
        <v>26053</v>
      </c>
      <c r="V377">
        <f t="shared" ca="1" si="117"/>
        <v>0</v>
      </c>
      <c r="W377">
        <v>90</v>
      </c>
      <c r="X377" t="str">
        <f t="shared" ca="1" si="118"/>
        <v/>
      </c>
      <c r="Y377" t="s">
        <v>28</v>
      </c>
      <c r="Z377">
        <f t="shared" ca="1" si="119"/>
        <v>0</v>
      </c>
      <c r="AA377" t="str">
        <f t="shared" ca="1" si="120"/>
        <v>SPPN</v>
      </c>
      <c r="AB377">
        <f t="shared" ca="1" si="121"/>
        <v>1</v>
      </c>
      <c r="AC377">
        <f t="shared" ca="1" si="122"/>
        <v>0</v>
      </c>
      <c r="AD377" t="str">
        <f t="shared" si="112"/>
        <v>4093RN153</v>
      </c>
      <c r="AE377">
        <f t="shared" ca="1" si="123"/>
        <v>0</v>
      </c>
      <c r="AF377" t="str">
        <f t="shared" ca="1" si="124"/>
        <v/>
      </c>
      <c r="AG377">
        <v>90</v>
      </c>
      <c r="AH377" t="s">
        <v>136</v>
      </c>
      <c r="AI377" t="str">
        <f t="shared" si="113"/>
        <v>Lutheran Home 25</v>
      </c>
      <c r="AJ377" t="str">
        <f t="shared" si="114"/>
        <v>Green Bay</v>
      </c>
      <c r="AK377" t="str">
        <f t="shared" si="115"/>
        <v>WI</v>
      </c>
    </row>
    <row r="378" spans="18:37" x14ac:dyDescent="0.25">
      <c r="S378">
        <v>120</v>
      </c>
      <c r="T378">
        <f t="shared" si="111"/>
        <v>129</v>
      </c>
      <c r="U378">
        <f t="shared" si="116"/>
        <v>26053</v>
      </c>
      <c r="V378">
        <f t="shared" ca="1" si="117"/>
        <v>0</v>
      </c>
      <c r="W378">
        <v>90</v>
      </c>
      <c r="X378" t="str">
        <f t="shared" ca="1" si="118"/>
        <v/>
      </c>
      <c r="Y378" t="s">
        <v>32</v>
      </c>
      <c r="Z378">
        <f t="shared" ca="1" si="119"/>
        <v>0</v>
      </c>
      <c r="AA378" t="str">
        <f t="shared" ca="1" si="120"/>
        <v>SPPN</v>
      </c>
      <c r="AB378">
        <f t="shared" ca="1" si="121"/>
        <v>1</v>
      </c>
      <c r="AC378">
        <f t="shared" ca="1" si="122"/>
        <v>0</v>
      </c>
      <c r="AD378" t="str">
        <f t="shared" si="112"/>
        <v>4093RN153</v>
      </c>
      <c r="AE378">
        <f t="shared" ca="1" si="123"/>
        <v>0</v>
      </c>
      <c r="AF378" t="str">
        <f t="shared" ca="1" si="124"/>
        <v/>
      </c>
      <c r="AG378">
        <v>90</v>
      </c>
      <c r="AH378" t="s">
        <v>136</v>
      </c>
      <c r="AI378" t="str">
        <f t="shared" si="113"/>
        <v>Lutheran Home 25</v>
      </c>
      <c r="AJ378" t="str">
        <f t="shared" si="114"/>
        <v>Green Bay</v>
      </c>
      <c r="AK378" t="str">
        <f t="shared" si="115"/>
        <v>WI</v>
      </c>
    </row>
    <row r="379" spans="18:37" x14ac:dyDescent="0.25">
      <c r="R379">
        <v>1</v>
      </c>
      <c r="S379">
        <v>121</v>
      </c>
      <c r="T379">
        <f t="shared" si="111"/>
        <v>129</v>
      </c>
      <c r="U379">
        <f t="shared" si="116"/>
        <v>26053</v>
      </c>
      <c r="V379">
        <f t="shared" ca="1" si="117"/>
        <v>0</v>
      </c>
      <c r="W379">
        <v>91</v>
      </c>
      <c r="X379" t="str">
        <f t="shared" ca="1" si="118"/>
        <v/>
      </c>
      <c r="Y379" t="s">
        <v>9</v>
      </c>
      <c r="Z379">
        <f t="shared" ca="1" si="119"/>
        <v>0</v>
      </c>
      <c r="AA379" t="str">
        <f t="shared" ca="1" si="120"/>
        <v>SPPN</v>
      </c>
      <c r="AB379">
        <f t="shared" ca="1" si="121"/>
        <v>1</v>
      </c>
      <c r="AC379" t="str">
        <f t="shared" ca="1" si="122"/>
        <v/>
      </c>
      <c r="AD379" t="str">
        <f t="shared" si="112"/>
        <v>4093RN153</v>
      </c>
      <c r="AE379">
        <f t="shared" ca="1" si="123"/>
        <v>0</v>
      </c>
      <c r="AF379" t="str">
        <f t="shared" ca="1" si="124"/>
        <v/>
      </c>
      <c r="AG379">
        <v>91</v>
      </c>
      <c r="AH379" t="s">
        <v>136</v>
      </c>
      <c r="AI379" t="str">
        <f t="shared" si="113"/>
        <v>Lutheran Home 25</v>
      </c>
      <c r="AJ379" t="str">
        <f t="shared" si="114"/>
        <v>Green Bay</v>
      </c>
      <c r="AK379" t="str">
        <f t="shared" si="115"/>
        <v>WI</v>
      </c>
    </row>
    <row r="380" spans="18:37" x14ac:dyDescent="0.25">
      <c r="S380">
        <v>122</v>
      </c>
      <c r="T380">
        <f t="shared" si="111"/>
        <v>129</v>
      </c>
      <c r="U380">
        <f t="shared" si="116"/>
        <v>26053</v>
      </c>
      <c r="V380">
        <f t="shared" ca="1" si="117"/>
        <v>0</v>
      </c>
      <c r="W380">
        <v>91</v>
      </c>
      <c r="X380" t="str">
        <f t="shared" ca="1" si="118"/>
        <v/>
      </c>
      <c r="Y380" t="s">
        <v>33</v>
      </c>
      <c r="Z380">
        <f t="shared" ca="1" si="119"/>
        <v>0</v>
      </c>
      <c r="AA380" t="str">
        <f t="shared" ca="1" si="120"/>
        <v>SPPN</v>
      </c>
      <c r="AB380">
        <f t="shared" ca="1" si="121"/>
        <v>1</v>
      </c>
      <c r="AC380" t="str">
        <f t="shared" ca="1" si="122"/>
        <v/>
      </c>
      <c r="AD380" t="str">
        <f t="shared" si="112"/>
        <v>4093RN153</v>
      </c>
      <c r="AE380">
        <f t="shared" ca="1" si="123"/>
        <v>0</v>
      </c>
      <c r="AF380" t="str">
        <f t="shared" ca="1" si="124"/>
        <v/>
      </c>
      <c r="AG380">
        <v>91</v>
      </c>
      <c r="AH380" t="s">
        <v>136</v>
      </c>
      <c r="AI380" t="str">
        <f t="shared" si="113"/>
        <v>Lutheran Home 25</v>
      </c>
      <c r="AJ380" t="str">
        <f t="shared" si="114"/>
        <v>Green Bay</v>
      </c>
      <c r="AK380" t="str">
        <f t="shared" si="115"/>
        <v>WI</v>
      </c>
    </row>
    <row r="381" spans="18:37" x14ac:dyDescent="0.25">
      <c r="S381">
        <v>123</v>
      </c>
      <c r="T381">
        <f t="shared" si="111"/>
        <v>129</v>
      </c>
      <c r="U381">
        <f t="shared" si="116"/>
        <v>26053</v>
      </c>
      <c r="V381">
        <f t="shared" ca="1" si="117"/>
        <v>0</v>
      </c>
      <c r="W381">
        <v>91</v>
      </c>
      <c r="X381" t="str">
        <f t="shared" ca="1" si="118"/>
        <v/>
      </c>
      <c r="Y381" t="s">
        <v>28</v>
      </c>
      <c r="Z381">
        <f t="shared" ca="1" si="119"/>
        <v>0</v>
      </c>
      <c r="AA381" t="str">
        <f t="shared" ca="1" si="120"/>
        <v>SPPN</v>
      </c>
      <c r="AB381">
        <f t="shared" ca="1" si="121"/>
        <v>1</v>
      </c>
      <c r="AC381">
        <f t="shared" ca="1" si="122"/>
        <v>0</v>
      </c>
      <c r="AD381" t="str">
        <f t="shared" si="112"/>
        <v>4093RN153</v>
      </c>
      <c r="AE381">
        <f t="shared" ca="1" si="123"/>
        <v>0</v>
      </c>
      <c r="AF381" t="str">
        <f t="shared" ca="1" si="124"/>
        <v/>
      </c>
      <c r="AG381">
        <v>91</v>
      </c>
      <c r="AH381" t="s">
        <v>136</v>
      </c>
      <c r="AI381" t="str">
        <f t="shared" si="113"/>
        <v>Lutheran Home 25</v>
      </c>
      <c r="AJ381" t="str">
        <f t="shared" si="114"/>
        <v>Green Bay</v>
      </c>
      <c r="AK381" t="str">
        <f t="shared" si="115"/>
        <v>WI</v>
      </c>
    </row>
    <row r="382" spans="18:37" x14ac:dyDescent="0.25">
      <c r="S382">
        <v>124</v>
      </c>
      <c r="T382">
        <f t="shared" si="111"/>
        <v>129</v>
      </c>
      <c r="U382">
        <f t="shared" si="116"/>
        <v>26053</v>
      </c>
      <c r="V382">
        <f t="shared" ca="1" si="117"/>
        <v>0</v>
      </c>
      <c r="W382">
        <v>91</v>
      </c>
      <c r="X382" t="str">
        <f t="shared" ca="1" si="118"/>
        <v/>
      </c>
      <c r="Y382" t="s">
        <v>32</v>
      </c>
      <c r="Z382">
        <f t="shared" ca="1" si="119"/>
        <v>0</v>
      </c>
      <c r="AA382" t="str">
        <f t="shared" ca="1" si="120"/>
        <v>SPPN</v>
      </c>
      <c r="AB382">
        <f t="shared" ca="1" si="121"/>
        <v>1</v>
      </c>
      <c r="AC382">
        <f t="shared" ca="1" si="122"/>
        <v>0</v>
      </c>
      <c r="AD382" t="str">
        <f t="shared" si="112"/>
        <v>4093RN153</v>
      </c>
      <c r="AE382">
        <f t="shared" ca="1" si="123"/>
        <v>0</v>
      </c>
      <c r="AF382" t="str">
        <f t="shared" ca="1" si="124"/>
        <v/>
      </c>
      <c r="AG382">
        <v>91</v>
      </c>
      <c r="AH382" t="s">
        <v>136</v>
      </c>
      <c r="AI382" t="str">
        <f t="shared" si="113"/>
        <v>Lutheran Home 25</v>
      </c>
      <c r="AJ382" t="str">
        <f t="shared" si="114"/>
        <v>Green Bay</v>
      </c>
      <c r="AK382" t="str">
        <f t="shared" si="115"/>
        <v>WI</v>
      </c>
    </row>
    <row r="383" spans="18:37" x14ac:dyDescent="0.25">
      <c r="R383">
        <v>1</v>
      </c>
      <c r="S383">
        <v>125</v>
      </c>
      <c r="T383">
        <f t="shared" si="111"/>
        <v>129</v>
      </c>
      <c r="U383">
        <f t="shared" si="116"/>
        <v>26053</v>
      </c>
      <c r="V383">
        <f t="shared" ca="1" si="117"/>
        <v>0</v>
      </c>
      <c r="W383">
        <v>92</v>
      </c>
      <c r="X383" t="str">
        <f t="shared" ca="1" si="118"/>
        <v/>
      </c>
      <c r="Y383" t="s">
        <v>9</v>
      </c>
      <c r="Z383">
        <f t="shared" ca="1" si="119"/>
        <v>0</v>
      </c>
      <c r="AA383" t="str">
        <f t="shared" ca="1" si="120"/>
        <v>SPPN</v>
      </c>
      <c r="AB383">
        <f t="shared" ca="1" si="121"/>
        <v>1</v>
      </c>
      <c r="AC383" t="str">
        <f t="shared" ca="1" si="122"/>
        <v/>
      </c>
      <c r="AD383" t="str">
        <f t="shared" si="112"/>
        <v>4093RN153</v>
      </c>
      <c r="AE383">
        <f t="shared" ca="1" si="123"/>
        <v>0</v>
      </c>
      <c r="AF383" t="str">
        <f t="shared" ca="1" si="124"/>
        <v/>
      </c>
      <c r="AG383">
        <v>92</v>
      </c>
      <c r="AH383" t="s">
        <v>136</v>
      </c>
      <c r="AI383" t="str">
        <f t="shared" si="113"/>
        <v>Lutheran Home 25</v>
      </c>
      <c r="AJ383" t="str">
        <f t="shared" si="114"/>
        <v>Green Bay</v>
      </c>
      <c r="AK383" t="str">
        <f t="shared" si="115"/>
        <v>WI</v>
      </c>
    </row>
    <row r="384" spans="18:37" x14ac:dyDescent="0.25">
      <c r="S384">
        <v>126</v>
      </c>
      <c r="T384">
        <f t="shared" si="111"/>
        <v>129</v>
      </c>
      <c r="U384">
        <f t="shared" si="116"/>
        <v>26053</v>
      </c>
      <c r="V384">
        <f t="shared" ca="1" si="117"/>
        <v>0</v>
      </c>
      <c r="W384">
        <v>92</v>
      </c>
      <c r="X384" t="str">
        <f t="shared" ca="1" si="118"/>
        <v/>
      </c>
      <c r="Y384" t="s">
        <v>33</v>
      </c>
      <c r="Z384">
        <f t="shared" ca="1" si="119"/>
        <v>0</v>
      </c>
      <c r="AA384" t="str">
        <f t="shared" ca="1" si="120"/>
        <v>SPPN</v>
      </c>
      <c r="AB384">
        <f t="shared" ca="1" si="121"/>
        <v>1</v>
      </c>
      <c r="AC384" t="str">
        <f t="shared" ca="1" si="122"/>
        <v/>
      </c>
      <c r="AD384" t="str">
        <f t="shared" si="112"/>
        <v>4093RN153</v>
      </c>
      <c r="AE384">
        <f t="shared" ca="1" si="123"/>
        <v>0</v>
      </c>
      <c r="AF384" t="str">
        <f t="shared" ca="1" si="124"/>
        <v/>
      </c>
      <c r="AG384">
        <v>92</v>
      </c>
      <c r="AH384" t="s">
        <v>136</v>
      </c>
      <c r="AI384" t="str">
        <f t="shared" si="113"/>
        <v>Lutheran Home 25</v>
      </c>
      <c r="AJ384" t="str">
        <f t="shared" si="114"/>
        <v>Green Bay</v>
      </c>
      <c r="AK384" t="str">
        <f t="shared" si="115"/>
        <v>WI</v>
      </c>
    </row>
    <row r="385" spans="18:37" x14ac:dyDescent="0.25">
      <c r="S385">
        <v>127</v>
      </c>
      <c r="T385">
        <f t="shared" si="111"/>
        <v>129</v>
      </c>
      <c r="U385">
        <f t="shared" si="116"/>
        <v>26053</v>
      </c>
      <c r="V385">
        <f t="shared" ca="1" si="117"/>
        <v>0</v>
      </c>
      <c r="W385">
        <v>92</v>
      </c>
      <c r="X385" t="str">
        <f t="shared" ca="1" si="118"/>
        <v/>
      </c>
      <c r="Y385" t="s">
        <v>28</v>
      </c>
      <c r="Z385">
        <f t="shared" ca="1" si="119"/>
        <v>0</v>
      </c>
      <c r="AA385" t="str">
        <f t="shared" ca="1" si="120"/>
        <v>SPPN</v>
      </c>
      <c r="AB385">
        <f t="shared" ca="1" si="121"/>
        <v>1</v>
      </c>
      <c r="AC385">
        <f t="shared" ca="1" si="122"/>
        <v>0</v>
      </c>
      <c r="AD385" t="str">
        <f t="shared" si="112"/>
        <v>4093RN153</v>
      </c>
      <c r="AE385">
        <f t="shared" ca="1" si="123"/>
        <v>0</v>
      </c>
      <c r="AF385" t="str">
        <f t="shared" ca="1" si="124"/>
        <v/>
      </c>
      <c r="AG385">
        <v>92</v>
      </c>
      <c r="AH385" t="s">
        <v>136</v>
      </c>
      <c r="AI385" t="str">
        <f t="shared" si="113"/>
        <v>Lutheran Home 25</v>
      </c>
      <c r="AJ385" t="str">
        <f t="shared" si="114"/>
        <v>Green Bay</v>
      </c>
      <c r="AK385" t="str">
        <f t="shared" si="115"/>
        <v>WI</v>
      </c>
    </row>
    <row r="386" spans="18:37" x14ac:dyDescent="0.25">
      <c r="S386">
        <v>128</v>
      </c>
      <c r="T386">
        <f t="shared" si="111"/>
        <v>129</v>
      </c>
      <c r="U386">
        <f t="shared" si="116"/>
        <v>26053</v>
      </c>
      <c r="V386">
        <f t="shared" ca="1" si="117"/>
        <v>0</v>
      </c>
      <c r="W386">
        <v>92</v>
      </c>
      <c r="X386" t="str">
        <f t="shared" ca="1" si="118"/>
        <v/>
      </c>
      <c r="Y386" t="s">
        <v>32</v>
      </c>
      <c r="Z386">
        <f t="shared" ca="1" si="119"/>
        <v>0</v>
      </c>
      <c r="AA386" t="str">
        <f t="shared" ca="1" si="120"/>
        <v>SPPN</v>
      </c>
      <c r="AB386">
        <f t="shared" ca="1" si="121"/>
        <v>1</v>
      </c>
      <c r="AC386">
        <f t="shared" ca="1" si="122"/>
        <v>0</v>
      </c>
      <c r="AD386" t="str">
        <f t="shared" si="112"/>
        <v>4093RN153</v>
      </c>
      <c r="AE386">
        <f t="shared" ca="1" si="123"/>
        <v>0</v>
      </c>
      <c r="AF386" t="str">
        <f t="shared" ca="1" si="124"/>
        <v/>
      </c>
      <c r="AG386">
        <v>92</v>
      </c>
      <c r="AH386" t="s">
        <v>136</v>
      </c>
      <c r="AI386" t="str">
        <f t="shared" si="113"/>
        <v>Lutheran Home 25</v>
      </c>
      <c r="AJ386" t="str">
        <f t="shared" si="114"/>
        <v>Green Bay</v>
      </c>
      <c r="AK386" t="str">
        <f t="shared" si="115"/>
        <v>WI</v>
      </c>
    </row>
    <row r="387" spans="18:37" x14ac:dyDescent="0.25">
      <c r="R387">
        <v>1</v>
      </c>
      <c r="S387">
        <v>129</v>
      </c>
      <c r="T387">
        <f t="shared" si="111"/>
        <v>129</v>
      </c>
      <c r="U387">
        <f t="shared" si="116"/>
        <v>26053</v>
      </c>
      <c r="V387">
        <f t="shared" ca="1" si="117"/>
        <v>0</v>
      </c>
      <c r="W387">
        <v>93</v>
      </c>
      <c r="X387" t="str">
        <f t="shared" ca="1" si="118"/>
        <v/>
      </c>
      <c r="Y387" t="s">
        <v>9</v>
      </c>
      <c r="Z387">
        <f t="shared" ca="1" si="119"/>
        <v>0</v>
      </c>
      <c r="AA387" t="str">
        <f t="shared" ca="1" si="120"/>
        <v>SPPN</v>
      </c>
      <c r="AB387">
        <f t="shared" ca="1" si="121"/>
        <v>1</v>
      </c>
      <c r="AC387" t="str">
        <f t="shared" ca="1" si="122"/>
        <v/>
      </c>
      <c r="AD387" t="str">
        <f t="shared" si="112"/>
        <v>4093RN153</v>
      </c>
      <c r="AE387">
        <f t="shared" ca="1" si="123"/>
        <v>0</v>
      </c>
      <c r="AF387" t="str">
        <f t="shared" ca="1" si="124"/>
        <v/>
      </c>
      <c r="AG387">
        <v>93</v>
      </c>
      <c r="AH387" t="s">
        <v>136</v>
      </c>
      <c r="AI387" t="str">
        <f t="shared" si="113"/>
        <v>Lutheran Home 25</v>
      </c>
      <c r="AJ387" t="str">
        <f t="shared" si="114"/>
        <v>Green Bay</v>
      </c>
      <c r="AK387" t="str">
        <f t="shared" si="115"/>
        <v>WI</v>
      </c>
    </row>
    <row r="388" spans="18:37" x14ac:dyDescent="0.25">
      <c r="S388">
        <v>130</v>
      </c>
      <c r="T388">
        <f t="shared" si="111"/>
        <v>129</v>
      </c>
      <c r="U388">
        <f t="shared" si="116"/>
        <v>26053</v>
      </c>
      <c r="V388">
        <f t="shared" ca="1" si="117"/>
        <v>0</v>
      </c>
      <c r="W388">
        <v>93</v>
      </c>
      <c r="X388" t="str">
        <f t="shared" ca="1" si="118"/>
        <v/>
      </c>
      <c r="Y388" t="s">
        <v>33</v>
      </c>
      <c r="Z388">
        <f t="shared" ca="1" si="119"/>
        <v>0</v>
      </c>
      <c r="AA388" t="str">
        <f t="shared" ca="1" si="120"/>
        <v>SPPN</v>
      </c>
      <c r="AB388">
        <f t="shared" ca="1" si="121"/>
        <v>1</v>
      </c>
      <c r="AC388" t="str">
        <f t="shared" ca="1" si="122"/>
        <v/>
      </c>
      <c r="AD388" t="str">
        <f t="shared" si="112"/>
        <v>4093RN153</v>
      </c>
      <c r="AE388">
        <f t="shared" ca="1" si="123"/>
        <v>0</v>
      </c>
      <c r="AF388" t="str">
        <f t="shared" ca="1" si="124"/>
        <v/>
      </c>
      <c r="AG388">
        <v>93</v>
      </c>
      <c r="AH388" t="s">
        <v>136</v>
      </c>
      <c r="AI388" t="str">
        <f t="shared" si="113"/>
        <v>Lutheran Home 25</v>
      </c>
      <c r="AJ388" t="str">
        <f t="shared" si="114"/>
        <v>Green Bay</v>
      </c>
      <c r="AK388" t="str">
        <f t="shared" si="115"/>
        <v>WI</v>
      </c>
    </row>
    <row r="389" spans="18:37" x14ac:dyDescent="0.25">
      <c r="S389">
        <v>131</v>
      </c>
      <c r="T389">
        <f t="shared" si="111"/>
        <v>129</v>
      </c>
      <c r="U389">
        <f t="shared" si="116"/>
        <v>26053</v>
      </c>
      <c r="V389">
        <f t="shared" ca="1" si="117"/>
        <v>0</v>
      </c>
      <c r="W389">
        <v>93</v>
      </c>
      <c r="X389" t="str">
        <f t="shared" ca="1" si="118"/>
        <v/>
      </c>
      <c r="Y389" t="s">
        <v>28</v>
      </c>
      <c r="Z389">
        <f t="shared" ca="1" si="119"/>
        <v>0</v>
      </c>
      <c r="AA389" t="str">
        <f t="shared" ca="1" si="120"/>
        <v>SPPN</v>
      </c>
      <c r="AB389">
        <f t="shared" ca="1" si="121"/>
        <v>1</v>
      </c>
      <c r="AC389">
        <f t="shared" ca="1" si="122"/>
        <v>0</v>
      </c>
      <c r="AD389" t="str">
        <f t="shared" si="112"/>
        <v>4093RN153</v>
      </c>
      <c r="AE389">
        <f t="shared" ca="1" si="123"/>
        <v>0</v>
      </c>
      <c r="AF389" t="str">
        <f t="shared" ca="1" si="124"/>
        <v/>
      </c>
      <c r="AG389">
        <v>93</v>
      </c>
      <c r="AH389" t="s">
        <v>136</v>
      </c>
      <c r="AI389" t="str">
        <f t="shared" si="113"/>
        <v>Lutheran Home 25</v>
      </c>
      <c r="AJ389" t="str">
        <f t="shared" si="114"/>
        <v>Green Bay</v>
      </c>
      <c r="AK389" t="str">
        <f t="shared" si="115"/>
        <v>WI</v>
      </c>
    </row>
    <row r="390" spans="18:37" x14ac:dyDescent="0.25">
      <c r="S390">
        <v>132</v>
      </c>
      <c r="T390">
        <f t="shared" si="111"/>
        <v>129</v>
      </c>
      <c r="U390">
        <f t="shared" si="116"/>
        <v>26053</v>
      </c>
      <c r="V390">
        <f t="shared" ca="1" si="117"/>
        <v>0</v>
      </c>
      <c r="W390">
        <v>93</v>
      </c>
      <c r="X390" t="str">
        <f t="shared" ca="1" si="118"/>
        <v/>
      </c>
      <c r="Y390" t="s">
        <v>32</v>
      </c>
      <c r="Z390">
        <f t="shared" ca="1" si="119"/>
        <v>0</v>
      </c>
      <c r="AA390" t="str">
        <f t="shared" ca="1" si="120"/>
        <v>SPPN</v>
      </c>
      <c r="AB390">
        <f t="shared" ca="1" si="121"/>
        <v>1</v>
      </c>
      <c r="AC390">
        <f t="shared" ca="1" si="122"/>
        <v>0</v>
      </c>
      <c r="AD390" t="str">
        <f t="shared" si="112"/>
        <v>4093RN153</v>
      </c>
      <c r="AE390">
        <f t="shared" ca="1" si="123"/>
        <v>0</v>
      </c>
      <c r="AF390" t="str">
        <f t="shared" ca="1" si="124"/>
        <v/>
      </c>
      <c r="AG390">
        <v>93</v>
      </c>
      <c r="AH390" t="s">
        <v>136</v>
      </c>
      <c r="AI390" t="str">
        <f t="shared" si="113"/>
        <v>Lutheran Home 25</v>
      </c>
      <c r="AJ390" t="str">
        <f t="shared" si="114"/>
        <v>Green Bay</v>
      </c>
      <c r="AK390" t="str">
        <f t="shared" si="115"/>
        <v>WI</v>
      </c>
    </row>
    <row r="391" spans="18:37" x14ac:dyDescent="0.25">
      <c r="R391">
        <v>1</v>
      </c>
      <c r="S391">
        <v>133</v>
      </c>
      <c r="T391">
        <f t="shared" si="111"/>
        <v>129</v>
      </c>
      <c r="U391">
        <f t="shared" si="116"/>
        <v>26053</v>
      </c>
      <c r="V391">
        <f t="shared" ca="1" si="117"/>
        <v>0</v>
      </c>
      <c r="W391">
        <v>94</v>
      </c>
      <c r="X391" t="str">
        <f t="shared" ca="1" si="118"/>
        <v/>
      </c>
      <c r="Y391" t="s">
        <v>9</v>
      </c>
      <c r="Z391">
        <f t="shared" ca="1" si="119"/>
        <v>0</v>
      </c>
      <c r="AA391" t="str">
        <f t="shared" ca="1" si="120"/>
        <v>SPPN</v>
      </c>
      <c r="AB391">
        <f t="shared" ca="1" si="121"/>
        <v>1</v>
      </c>
      <c r="AC391" t="str">
        <f t="shared" ca="1" si="122"/>
        <v/>
      </c>
      <c r="AD391" t="str">
        <f t="shared" si="112"/>
        <v>4093RN153</v>
      </c>
      <c r="AE391">
        <f t="shared" ca="1" si="123"/>
        <v>0</v>
      </c>
      <c r="AF391" t="str">
        <f t="shared" ca="1" si="124"/>
        <v/>
      </c>
      <c r="AG391">
        <v>94</v>
      </c>
      <c r="AH391" t="s">
        <v>136</v>
      </c>
      <c r="AI391" t="str">
        <f t="shared" si="113"/>
        <v>Lutheran Home 25</v>
      </c>
      <c r="AJ391" t="str">
        <f t="shared" si="114"/>
        <v>Green Bay</v>
      </c>
      <c r="AK391" t="str">
        <f t="shared" si="115"/>
        <v>WI</v>
      </c>
    </row>
    <row r="392" spans="18:37" x14ac:dyDescent="0.25">
      <c r="S392">
        <v>134</v>
      </c>
      <c r="T392">
        <f t="shared" si="111"/>
        <v>129</v>
      </c>
      <c r="U392">
        <f t="shared" si="116"/>
        <v>26053</v>
      </c>
      <c r="V392">
        <f t="shared" ca="1" si="117"/>
        <v>0</v>
      </c>
      <c r="W392">
        <v>94</v>
      </c>
      <c r="X392" t="str">
        <f t="shared" ca="1" si="118"/>
        <v/>
      </c>
      <c r="Y392" t="s">
        <v>33</v>
      </c>
      <c r="Z392">
        <f t="shared" ca="1" si="119"/>
        <v>0</v>
      </c>
      <c r="AA392" t="str">
        <f t="shared" ca="1" si="120"/>
        <v>SPPN</v>
      </c>
      <c r="AB392">
        <f t="shared" ca="1" si="121"/>
        <v>1</v>
      </c>
      <c r="AC392" t="str">
        <f t="shared" ca="1" si="122"/>
        <v/>
      </c>
      <c r="AD392" t="str">
        <f t="shared" si="112"/>
        <v>4093RN153</v>
      </c>
      <c r="AE392">
        <f t="shared" ca="1" si="123"/>
        <v>0</v>
      </c>
      <c r="AF392" t="str">
        <f t="shared" ca="1" si="124"/>
        <v/>
      </c>
      <c r="AG392">
        <v>94</v>
      </c>
      <c r="AH392" t="s">
        <v>136</v>
      </c>
      <c r="AI392" t="str">
        <f t="shared" si="113"/>
        <v>Lutheran Home 25</v>
      </c>
      <c r="AJ392" t="str">
        <f t="shared" si="114"/>
        <v>Green Bay</v>
      </c>
      <c r="AK392" t="str">
        <f t="shared" si="115"/>
        <v>WI</v>
      </c>
    </row>
    <row r="393" spans="18:37" x14ac:dyDescent="0.25">
      <c r="S393">
        <v>135</v>
      </c>
      <c r="T393">
        <f t="shared" si="111"/>
        <v>129</v>
      </c>
      <c r="U393">
        <f t="shared" si="116"/>
        <v>26053</v>
      </c>
      <c r="V393">
        <f t="shared" ca="1" si="117"/>
        <v>0</v>
      </c>
      <c r="W393">
        <v>94</v>
      </c>
      <c r="X393" t="str">
        <f t="shared" ca="1" si="118"/>
        <v/>
      </c>
      <c r="Y393" t="s">
        <v>28</v>
      </c>
      <c r="Z393">
        <f t="shared" ca="1" si="119"/>
        <v>0</v>
      </c>
      <c r="AA393" t="str">
        <f t="shared" ca="1" si="120"/>
        <v>SPPN</v>
      </c>
      <c r="AB393">
        <f t="shared" ca="1" si="121"/>
        <v>1</v>
      </c>
      <c r="AC393">
        <f t="shared" ca="1" si="122"/>
        <v>0</v>
      </c>
      <c r="AD393" t="str">
        <f t="shared" si="112"/>
        <v>4093RN153</v>
      </c>
      <c r="AE393">
        <f t="shared" ca="1" si="123"/>
        <v>0</v>
      </c>
      <c r="AF393" t="str">
        <f t="shared" ca="1" si="124"/>
        <v/>
      </c>
      <c r="AG393">
        <v>94</v>
      </c>
      <c r="AH393" t="s">
        <v>136</v>
      </c>
      <c r="AI393" t="str">
        <f t="shared" si="113"/>
        <v>Lutheran Home 25</v>
      </c>
      <c r="AJ393" t="str">
        <f t="shared" si="114"/>
        <v>Green Bay</v>
      </c>
      <c r="AK393" t="str">
        <f t="shared" si="115"/>
        <v>WI</v>
      </c>
    </row>
    <row r="394" spans="18:37" x14ac:dyDescent="0.25">
      <c r="S394">
        <v>136</v>
      </c>
      <c r="T394">
        <f t="shared" si="111"/>
        <v>129</v>
      </c>
      <c r="U394">
        <f t="shared" si="116"/>
        <v>26053</v>
      </c>
      <c r="V394">
        <f t="shared" ca="1" si="117"/>
        <v>0</v>
      </c>
      <c r="W394">
        <v>94</v>
      </c>
      <c r="X394" t="str">
        <f t="shared" ca="1" si="118"/>
        <v/>
      </c>
      <c r="Y394" t="s">
        <v>32</v>
      </c>
      <c r="Z394">
        <f t="shared" ca="1" si="119"/>
        <v>0</v>
      </c>
      <c r="AA394" t="str">
        <f t="shared" ca="1" si="120"/>
        <v>SPPN</v>
      </c>
      <c r="AB394">
        <f t="shared" ca="1" si="121"/>
        <v>1</v>
      </c>
      <c r="AC394">
        <f t="shared" ca="1" si="122"/>
        <v>0</v>
      </c>
      <c r="AD394" t="str">
        <f t="shared" si="112"/>
        <v>4093RN153</v>
      </c>
      <c r="AE394">
        <f t="shared" ca="1" si="123"/>
        <v>0</v>
      </c>
      <c r="AF394" t="str">
        <f t="shared" ca="1" si="124"/>
        <v/>
      </c>
      <c r="AG394">
        <v>94</v>
      </c>
      <c r="AH394" t="s">
        <v>136</v>
      </c>
      <c r="AI394" t="str">
        <f t="shared" si="113"/>
        <v>Lutheran Home 25</v>
      </c>
      <c r="AJ394" t="str">
        <f t="shared" si="114"/>
        <v>Green Bay</v>
      </c>
      <c r="AK394" t="str">
        <f t="shared" si="115"/>
        <v>WI</v>
      </c>
    </row>
    <row r="395" spans="18:37" x14ac:dyDescent="0.25">
      <c r="R395">
        <v>1</v>
      </c>
      <c r="S395">
        <v>137</v>
      </c>
      <c r="T395">
        <f t="shared" si="111"/>
        <v>129</v>
      </c>
      <c r="U395">
        <f t="shared" si="116"/>
        <v>26053</v>
      </c>
      <c r="V395">
        <f t="shared" ca="1" si="117"/>
        <v>0</v>
      </c>
      <c r="W395">
        <v>95</v>
      </c>
      <c r="X395" t="str">
        <f t="shared" ca="1" si="118"/>
        <v/>
      </c>
      <c r="Y395" t="s">
        <v>9</v>
      </c>
      <c r="Z395">
        <f t="shared" ca="1" si="119"/>
        <v>0</v>
      </c>
      <c r="AA395" t="str">
        <f t="shared" ca="1" si="120"/>
        <v>SPPN</v>
      </c>
      <c r="AB395">
        <f t="shared" ca="1" si="121"/>
        <v>1</v>
      </c>
      <c r="AC395" t="str">
        <f t="shared" ca="1" si="122"/>
        <v/>
      </c>
      <c r="AD395" t="str">
        <f t="shared" si="112"/>
        <v>4093RN153</v>
      </c>
      <c r="AE395">
        <f t="shared" ca="1" si="123"/>
        <v>0</v>
      </c>
      <c r="AF395" t="str">
        <f t="shared" ca="1" si="124"/>
        <v/>
      </c>
      <c r="AG395">
        <v>95</v>
      </c>
      <c r="AH395" t="s">
        <v>136</v>
      </c>
      <c r="AI395" t="str">
        <f t="shared" si="113"/>
        <v>Lutheran Home 25</v>
      </c>
      <c r="AJ395" t="str">
        <f t="shared" si="114"/>
        <v>Green Bay</v>
      </c>
      <c r="AK395" t="str">
        <f t="shared" si="115"/>
        <v>WI</v>
      </c>
    </row>
    <row r="396" spans="18:37" x14ac:dyDescent="0.25">
      <c r="S396">
        <v>138</v>
      </c>
      <c r="T396">
        <f t="shared" si="111"/>
        <v>129</v>
      </c>
      <c r="U396">
        <f t="shared" si="116"/>
        <v>26053</v>
      </c>
      <c r="V396">
        <f t="shared" ca="1" si="117"/>
        <v>0</v>
      </c>
      <c r="W396">
        <v>95</v>
      </c>
      <c r="X396" t="str">
        <f t="shared" ca="1" si="118"/>
        <v/>
      </c>
      <c r="Y396" t="s">
        <v>33</v>
      </c>
      <c r="Z396">
        <f t="shared" ca="1" si="119"/>
        <v>0</v>
      </c>
      <c r="AA396" t="str">
        <f t="shared" ca="1" si="120"/>
        <v>SPPN</v>
      </c>
      <c r="AB396">
        <f t="shared" ca="1" si="121"/>
        <v>1</v>
      </c>
      <c r="AC396" t="str">
        <f t="shared" ca="1" si="122"/>
        <v/>
      </c>
      <c r="AD396" t="str">
        <f t="shared" si="112"/>
        <v>4093RN153</v>
      </c>
      <c r="AE396">
        <f t="shared" ca="1" si="123"/>
        <v>0</v>
      </c>
      <c r="AF396" t="str">
        <f t="shared" ca="1" si="124"/>
        <v/>
      </c>
      <c r="AG396">
        <v>95</v>
      </c>
      <c r="AH396" t="s">
        <v>136</v>
      </c>
      <c r="AI396" t="str">
        <f t="shared" si="113"/>
        <v>Lutheran Home 25</v>
      </c>
      <c r="AJ396" t="str">
        <f t="shared" si="114"/>
        <v>Green Bay</v>
      </c>
      <c r="AK396" t="str">
        <f t="shared" si="115"/>
        <v>WI</v>
      </c>
    </row>
    <row r="397" spans="18:37" x14ac:dyDescent="0.25">
      <c r="S397">
        <v>139</v>
      </c>
      <c r="T397">
        <f t="shared" si="111"/>
        <v>129</v>
      </c>
      <c r="U397">
        <f t="shared" si="116"/>
        <v>26053</v>
      </c>
      <c r="V397">
        <f t="shared" ca="1" si="117"/>
        <v>0</v>
      </c>
      <c r="W397">
        <v>95</v>
      </c>
      <c r="X397" t="str">
        <f t="shared" ca="1" si="118"/>
        <v/>
      </c>
      <c r="Y397" t="s">
        <v>28</v>
      </c>
      <c r="Z397">
        <f t="shared" ca="1" si="119"/>
        <v>0</v>
      </c>
      <c r="AA397" t="str">
        <f t="shared" ca="1" si="120"/>
        <v>SPPN</v>
      </c>
      <c r="AB397">
        <f t="shared" ca="1" si="121"/>
        <v>1</v>
      </c>
      <c r="AC397">
        <f t="shared" ca="1" si="122"/>
        <v>0</v>
      </c>
      <c r="AD397" t="str">
        <f t="shared" si="112"/>
        <v>4093RN153</v>
      </c>
      <c r="AE397">
        <f t="shared" ca="1" si="123"/>
        <v>0</v>
      </c>
      <c r="AF397" t="str">
        <f t="shared" ca="1" si="124"/>
        <v/>
      </c>
      <c r="AG397">
        <v>95</v>
      </c>
      <c r="AH397" t="s">
        <v>136</v>
      </c>
      <c r="AI397" t="str">
        <f t="shared" si="113"/>
        <v>Lutheran Home 25</v>
      </c>
      <c r="AJ397" t="str">
        <f t="shared" si="114"/>
        <v>Green Bay</v>
      </c>
      <c r="AK397" t="str">
        <f t="shared" si="115"/>
        <v>WI</v>
      </c>
    </row>
    <row r="398" spans="18:37" x14ac:dyDescent="0.25">
      <c r="S398">
        <v>140</v>
      </c>
      <c r="T398">
        <f t="shared" si="111"/>
        <v>129</v>
      </c>
      <c r="U398">
        <f t="shared" si="116"/>
        <v>26053</v>
      </c>
      <c r="V398">
        <f t="shared" ca="1" si="117"/>
        <v>0</v>
      </c>
      <c r="W398">
        <v>95</v>
      </c>
      <c r="X398" t="str">
        <f t="shared" ca="1" si="118"/>
        <v/>
      </c>
      <c r="Y398" t="s">
        <v>32</v>
      </c>
      <c r="Z398">
        <f t="shared" ca="1" si="119"/>
        <v>0</v>
      </c>
      <c r="AA398" t="str">
        <f t="shared" ca="1" si="120"/>
        <v>SPPN</v>
      </c>
      <c r="AB398">
        <f t="shared" ca="1" si="121"/>
        <v>1</v>
      </c>
      <c r="AC398">
        <f t="shared" ca="1" si="122"/>
        <v>0</v>
      </c>
      <c r="AD398" t="str">
        <f t="shared" si="112"/>
        <v>4093RN153</v>
      </c>
      <c r="AE398">
        <f t="shared" ca="1" si="123"/>
        <v>0</v>
      </c>
      <c r="AF398" t="str">
        <f t="shared" ca="1" si="124"/>
        <v/>
      </c>
      <c r="AG398">
        <v>95</v>
      </c>
      <c r="AH398" t="s">
        <v>136</v>
      </c>
      <c r="AI398" t="str">
        <f t="shared" si="113"/>
        <v>Lutheran Home 25</v>
      </c>
      <c r="AJ398" t="str">
        <f t="shared" si="114"/>
        <v>Green Bay</v>
      </c>
      <c r="AK398" t="str">
        <f t="shared" si="115"/>
        <v>WI</v>
      </c>
    </row>
    <row r="399" spans="18:37" x14ac:dyDescent="0.25">
      <c r="R399">
        <v>1</v>
      </c>
      <c r="S399">
        <v>141</v>
      </c>
      <c r="T399">
        <f t="shared" si="111"/>
        <v>129</v>
      </c>
      <c r="U399">
        <f t="shared" si="116"/>
        <v>26053</v>
      </c>
      <c r="V399">
        <f t="shared" ca="1" si="117"/>
        <v>0</v>
      </c>
      <c r="W399">
        <v>96</v>
      </c>
      <c r="X399" t="str">
        <f t="shared" ca="1" si="118"/>
        <v/>
      </c>
      <c r="Y399" t="s">
        <v>9</v>
      </c>
      <c r="Z399">
        <f t="shared" ca="1" si="119"/>
        <v>0</v>
      </c>
      <c r="AA399" t="str">
        <f t="shared" ca="1" si="120"/>
        <v>SPPN</v>
      </c>
      <c r="AB399">
        <f t="shared" ca="1" si="121"/>
        <v>1</v>
      </c>
      <c r="AC399" t="str">
        <f t="shared" ca="1" si="122"/>
        <v/>
      </c>
      <c r="AD399" t="str">
        <f t="shared" si="112"/>
        <v>4093RN153</v>
      </c>
      <c r="AE399">
        <f t="shared" ca="1" si="123"/>
        <v>0</v>
      </c>
      <c r="AF399" t="str">
        <f t="shared" ca="1" si="124"/>
        <v/>
      </c>
      <c r="AG399">
        <v>96</v>
      </c>
      <c r="AH399" t="s">
        <v>136</v>
      </c>
      <c r="AI399" t="str">
        <f t="shared" si="113"/>
        <v>Lutheran Home 25</v>
      </c>
      <c r="AJ399" t="str">
        <f t="shared" si="114"/>
        <v>Green Bay</v>
      </c>
      <c r="AK399" t="str">
        <f t="shared" si="115"/>
        <v>WI</v>
      </c>
    </row>
    <row r="400" spans="18:37" x14ac:dyDescent="0.25">
      <c r="S400">
        <v>142</v>
      </c>
      <c r="T400">
        <f t="shared" si="111"/>
        <v>129</v>
      </c>
      <c r="U400">
        <f t="shared" si="116"/>
        <v>26053</v>
      </c>
      <c r="V400">
        <f t="shared" ca="1" si="117"/>
        <v>0</v>
      </c>
      <c r="W400">
        <v>96</v>
      </c>
      <c r="X400" t="str">
        <f t="shared" ca="1" si="118"/>
        <v/>
      </c>
      <c r="Y400" t="s">
        <v>33</v>
      </c>
      <c r="Z400">
        <f t="shared" ca="1" si="119"/>
        <v>0</v>
      </c>
      <c r="AA400" t="str">
        <f t="shared" ca="1" si="120"/>
        <v>SPPN</v>
      </c>
      <c r="AB400">
        <f t="shared" ca="1" si="121"/>
        <v>1</v>
      </c>
      <c r="AC400" t="str">
        <f t="shared" ca="1" si="122"/>
        <v/>
      </c>
      <c r="AD400" t="str">
        <f t="shared" si="112"/>
        <v>4093RN153</v>
      </c>
      <c r="AE400">
        <f t="shared" ca="1" si="123"/>
        <v>0</v>
      </c>
      <c r="AF400" t="str">
        <f t="shared" ca="1" si="124"/>
        <v/>
      </c>
      <c r="AG400">
        <v>96</v>
      </c>
      <c r="AH400" t="s">
        <v>136</v>
      </c>
      <c r="AI400" t="str">
        <f t="shared" si="113"/>
        <v>Lutheran Home 25</v>
      </c>
      <c r="AJ400" t="str">
        <f t="shared" si="114"/>
        <v>Green Bay</v>
      </c>
      <c r="AK400" t="str">
        <f t="shared" si="115"/>
        <v>WI</v>
      </c>
    </row>
    <row r="401" spans="18:37" x14ac:dyDescent="0.25">
      <c r="S401">
        <v>143</v>
      </c>
      <c r="T401">
        <f t="shared" si="111"/>
        <v>129</v>
      </c>
      <c r="U401">
        <f t="shared" si="116"/>
        <v>26053</v>
      </c>
      <c r="V401">
        <f t="shared" ca="1" si="117"/>
        <v>0</v>
      </c>
      <c r="W401">
        <v>96</v>
      </c>
      <c r="X401" t="str">
        <f t="shared" ca="1" si="118"/>
        <v/>
      </c>
      <c r="Y401" t="s">
        <v>28</v>
      </c>
      <c r="Z401">
        <f t="shared" ca="1" si="119"/>
        <v>0</v>
      </c>
      <c r="AA401" t="str">
        <f t="shared" ca="1" si="120"/>
        <v>SPPN</v>
      </c>
      <c r="AB401">
        <f t="shared" ca="1" si="121"/>
        <v>1</v>
      </c>
      <c r="AC401">
        <f t="shared" ca="1" si="122"/>
        <v>0</v>
      </c>
      <c r="AD401" t="str">
        <f t="shared" si="112"/>
        <v>4093RN153</v>
      </c>
      <c r="AE401">
        <f t="shared" ca="1" si="123"/>
        <v>0</v>
      </c>
      <c r="AF401" t="str">
        <f t="shared" ca="1" si="124"/>
        <v/>
      </c>
      <c r="AG401">
        <v>96</v>
      </c>
      <c r="AH401" t="s">
        <v>136</v>
      </c>
      <c r="AI401" t="str">
        <f t="shared" si="113"/>
        <v>Lutheran Home 25</v>
      </c>
      <c r="AJ401" t="str">
        <f t="shared" si="114"/>
        <v>Green Bay</v>
      </c>
      <c r="AK401" t="str">
        <f t="shared" si="115"/>
        <v>WI</v>
      </c>
    </row>
    <row r="402" spans="18:37" x14ac:dyDescent="0.25">
      <c r="S402">
        <v>144</v>
      </c>
      <c r="T402">
        <f t="shared" si="111"/>
        <v>129</v>
      </c>
      <c r="U402">
        <f t="shared" si="116"/>
        <v>26053</v>
      </c>
      <c r="V402">
        <f t="shared" ca="1" si="117"/>
        <v>0</v>
      </c>
      <c r="W402">
        <v>96</v>
      </c>
      <c r="X402" t="str">
        <f t="shared" ca="1" si="118"/>
        <v/>
      </c>
      <c r="Y402" t="s">
        <v>32</v>
      </c>
      <c r="Z402">
        <f t="shared" ca="1" si="119"/>
        <v>0</v>
      </c>
      <c r="AA402" t="str">
        <f t="shared" ca="1" si="120"/>
        <v>SPPN</v>
      </c>
      <c r="AB402">
        <f t="shared" ca="1" si="121"/>
        <v>1</v>
      </c>
      <c r="AC402">
        <f t="shared" ca="1" si="122"/>
        <v>0</v>
      </c>
      <c r="AD402" t="str">
        <f t="shared" si="112"/>
        <v>4093RN153</v>
      </c>
      <c r="AE402">
        <f t="shared" ca="1" si="123"/>
        <v>0</v>
      </c>
      <c r="AF402" t="str">
        <f t="shared" ca="1" si="124"/>
        <v/>
      </c>
      <c r="AG402">
        <v>96</v>
      </c>
      <c r="AH402" t="s">
        <v>136</v>
      </c>
      <c r="AI402" t="str">
        <f t="shared" si="113"/>
        <v>Lutheran Home 25</v>
      </c>
      <c r="AJ402" t="str">
        <f t="shared" si="114"/>
        <v>Green Bay</v>
      </c>
      <c r="AK402" t="str">
        <f t="shared" si="115"/>
        <v>WI</v>
      </c>
    </row>
    <row r="403" spans="18:37" x14ac:dyDescent="0.25">
      <c r="R403">
        <v>1</v>
      </c>
      <c r="S403">
        <v>145</v>
      </c>
      <c r="T403">
        <f t="shared" ref="T403:T466" si="125">$H$14</f>
        <v>129</v>
      </c>
      <c r="U403">
        <f t="shared" si="116"/>
        <v>26053</v>
      </c>
      <c r="V403">
        <f t="shared" ca="1" si="117"/>
        <v>0</v>
      </c>
      <c r="W403">
        <v>97</v>
      </c>
      <c r="X403" t="str">
        <f t="shared" ca="1" si="118"/>
        <v/>
      </c>
      <c r="Y403" t="s">
        <v>9</v>
      </c>
      <c r="Z403">
        <f t="shared" ca="1" si="119"/>
        <v>0</v>
      </c>
      <c r="AA403" t="str">
        <f t="shared" ca="1" si="120"/>
        <v>SPPN</v>
      </c>
      <c r="AB403">
        <f t="shared" ca="1" si="121"/>
        <v>1</v>
      </c>
      <c r="AC403" t="str">
        <f t="shared" ca="1" si="122"/>
        <v/>
      </c>
      <c r="AD403" t="str">
        <f t="shared" ref="AD403:AD466" si="126">$H$5</f>
        <v>4093RN153</v>
      </c>
      <c r="AE403">
        <f t="shared" ca="1" si="123"/>
        <v>0</v>
      </c>
      <c r="AF403" t="str">
        <f t="shared" ca="1" si="124"/>
        <v/>
      </c>
      <c r="AG403">
        <v>97</v>
      </c>
      <c r="AH403" t="s">
        <v>136</v>
      </c>
      <c r="AI403" t="str">
        <f t="shared" ref="AI403:AI466" si="127">$H$6</f>
        <v>Lutheran Home 25</v>
      </c>
      <c r="AJ403" t="str">
        <f t="shared" ref="AJ403:AJ466" si="128">$H$7</f>
        <v>Green Bay</v>
      </c>
      <c r="AK403" t="str">
        <f t="shared" ref="AK403:AK466" si="129">$H$8</f>
        <v>WI</v>
      </c>
    </row>
    <row r="404" spans="18:37" x14ac:dyDescent="0.25">
      <c r="S404">
        <v>146</v>
      </c>
      <c r="T404">
        <f t="shared" si="125"/>
        <v>129</v>
      </c>
      <c r="U404">
        <f t="shared" ref="U404:U467" si="130">$H$2</f>
        <v>26053</v>
      </c>
      <c r="V404">
        <f t="shared" ref="V404:V467" ca="1" si="131">(OFFSET($B$19,INT((ROW(A386)-1)/4),0))</f>
        <v>0</v>
      </c>
      <c r="W404">
        <v>97</v>
      </c>
      <c r="X404" t="str">
        <f t="shared" ref="X404:X467" ca="1" si="132">IF((OFFSET($J$19,INT((ROW(A386)-1)/4),0))="JE","JE",IF((OFFSET($J$19,INT((ROW(A386)-1)/4),0))="Drilled","JC",""))</f>
        <v/>
      </c>
      <c r="Y404" t="s">
        <v>33</v>
      </c>
      <c r="Z404">
        <f t="shared" ref="Z404:Z467" ca="1" si="133">(OFFSET($F$19,INT((ROW(A386)-1)/4),0))</f>
        <v>0</v>
      </c>
      <c r="AA404" t="str">
        <f t="shared" ref="AA404:AA467" ca="1" si="134">IF((OFFSET($K$19,INT((ROW(A386)-1)/4),0))="Poplar","PAINT",IF((OFFSET($K$19,INT((ROW(A386)-1)/4),0))="Red Oak","SGO",IF((OFFSET($K$19,INT((ROW(A386)-1)/4),0))="Maple","SM","SPPN")))</f>
        <v>SPPN</v>
      </c>
      <c r="AB404">
        <f t="shared" ref="AB404:AB467" ca="1" si="135">(OFFSET($I$19,INT((ROW(A386)-1)/4),0))</f>
        <v>1</v>
      </c>
      <c r="AC404" t="str">
        <f t="shared" ref="AC404:AC467" ca="1" si="136">IF(OR(Y404="L",Y404="R"),(OFFSET($M$19,INT((ROW(A386)-1)/4),0)),IF(Y404="B",IF((OFFSET($A$19,INT((ROW(A386)-1)/4),0))="3 Sided Patio Door",0,(OFFSET($G$19,INT((ROW(A386)-1)/4),0))),(OFFSET($G$19,INT((ROW(A386)-1)/4),0))))</f>
        <v/>
      </c>
      <c r="AD404" t="str">
        <f t="shared" si="126"/>
        <v>4093RN153</v>
      </c>
      <c r="AE404">
        <f t="shared" ref="AE404:AE467" ca="1" si="137">(OFFSET($L$19,INT((ROW(A386)-1)/4),0))</f>
        <v>0</v>
      </c>
      <c r="AF404" t="str">
        <f t="shared" ref="AF404:AF467" ca="1" si="138">IF((OFFSET($A$19,INT((ROW(A386)-1)/4),0))="3 sided Patio door", "Unassemble","")</f>
        <v/>
      </c>
      <c r="AG404">
        <v>97</v>
      </c>
      <c r="AH404" t="s">
        <v>136</v>
      </c>
      <c r="AI404" t="str">
        <f t="shared" si="127"/>
        <v>Lutheran Home 25</v>
      </c>
      <c r="AJ404" t="str">
        <f t="shared" si="128"/>
        <v>Green Bay</v>
      </c>
      <c r="AK404" t="str">
        <f t="shared" si="129"/>
        <v>WI</v>
      </c>
    </row>
    <row r="405" spans="18:37" x14ac:dyDescent="0.25">
      <c r="S405">
        <v>147</v>
      </c>
      <c r="T405">
        <f t="shared" si="125"/>
        <v>129</v>
      </c>
      <c r="U405">
        <f t="shared" si="130"/>
        <v>26053</v>
      </c>
      <c r="V405">
        <f t="shared" ca="1" si="131"/>
        <v>0</v>
      </c>
      <c r="W405">
        <v>97</v>
      </c>
      <c r="X405" t="str">
        <f t="shared" ca="1" si="132"/>
        <v/>
      </c>
      <c r="Y405" t="s">
        <v>28</v>
      </c>
      <c r="Z405">
        <f t="shared" ca="1" si="133"/>
        <v>0</v>
      </c>
      <c r="AA405" t="str">
        <f t="shared" ca="1" si="134"/>
        <v>SPPN</v>
      </c>
      <c r="AB405">
        <f t="shared" ca="1" si="135"/>
        <v>1</v>
      </c>
      <c r="AC405">
        <f t="shared" ca="1" si="136"/>
        <v>0</v>
      </c>
      <c r="AD405" t="str">
        <f t="shared" si="126"/>
        <v>4093RN153</v>
      </c>
      <c r="AE405">
        <f t="shared" ca="1" si="137"/>
        <v>0</v>
      </c>
      <c r="AF405" t="str">
        <f t="shared" ca="1" si="138"/>
        <v/>
      </c>
      <c r="AG405">
        <v>97</v>
      </c>
      <c r="AH405" t="s">
        <v>136</v>
      </c>
      <c r="AI405" t="str">
        <f t="shared" si="127"/>
        <v>Lutheran Home 25</v>
      </c>
      <c r="AJ405" t="str">
        <f t="shared" si="128"/>
        <v>Green Bay</v>
      </c>
      <c r="AK405" t="str">
        <f t="shared" si="129"/>
        <v>WI</v>
      </c>
    </row>
    <row r="406" spans="18:37" x14ac:dyDescent="0.25">
      <c r="S406">
        <v>148</v>
      </c>
      <c r="T406">
        <f t="shared" si="125"/>
        <v>129</v>
      </c>
      <c r="U406">
        <f t="shared" si="130"/>
        <v>26053</v>
      </c>
      <c r="V406">
        <f t="shared" ca="1" si="131"/>
        <v>0</v>
      </c>
      <c r="W406">
        <v>97</v>
      </c>
      <c r="X406" t="str">
        <f t="shared" ca="1" si="132"/>
        <v/>
      </c>
      <c r="Y406" t="s">
        <v>32</v>
      </c>
      <c r="Z406">
        <f t="shared" ca="1" si="133"/>
        <v>0</v>
      </c>
      <c r="AA406" t="str">
        <f t="shared" ca="1" si="134"/>
        <v>SPPN</v>
      </c>
      <c r="AB406">
        <f t="shared" ca="1" si="135"/>
        <v>1</v>
      </c>
      <c r="AC406">
        <f t="shared" ca="1" si="136"/>
        <v>0</v>
      </c>
      <c r="AD406" t="str">
        <f t="shared" si="126"/>
        <v>4093RN153</v>
      </c>
      <c r="AE406">
        <f t="shared" ca="1" si="137"/>
        <v>0</v>
      </c>
      <c r="AF406" t="str">
        <f t="shared" ca="1" si="138"/>
        <v/>
      </c>
      <c r="AG406">
        <v>97</v>
      </c>
      <c r="AH406" t="s">
        <v>136</v>
      </c>
      <c r="AI406" t="str">
        <f t="shared" si="127"/>
        <v>Lutheran Home 25</v>
      </c>
      <c r="AJ406" t="str">
        <f t="shared" si="128"/>
        <v>Green Bay</v>
      </c>
      <c r="AK406" t="str">
        <f t="shared" si="129"/>
        <v>WI</v>
      </c>
    </row>
    <row r="407" spans="18:37" x14ac:dyDescent="0.25">
      <c r="R407">
        <v>1</v>
      </c>
      <c r="S407">
        <v>149</v>
      </c>
      <c r="T407">
        <f t="shared" si="125"/>
        <v>129</v>
      </c>
      <c r="U407">
        <f t="shared" si="130"/>
        <v>26053</v>
      </c>
      <c r="V407">
        <f t="shared" ca="1" si="131"/>
        <v>0</v>
      </c>
      <c r="W407">
        <v>98</v>
      </c>
      <c r="X407" t="str">
        <f t="shared" ca="1" si="132"/>
        <v/>
      </c>
      <c r="Y407" t="s">
        <v>9</v>
      </c>
      <c r="Z407">
        <f t="shared" ca="1" si="133"/>
        <v>0</v>
      </c>
      <c r="AA407" t="str">
        <f t="shared" ca="1" si="134"/>
        <v>SPPN</v>
      </c>
      <c r="AB407">
        <f t="shared" ca="1" si="135"/>
        <v>1</v>
      </c>
      <c r="AC407" t="str">
        <f t="shared" ca="1" si="136"/>
        <v/>
      </c>
      <c r="AD407" t="str">
        <f t="shared" si="126"/>
        <v>4093RN153</v>
      </c>
      <c r="AE407">
        <f t="shared" ca="1" si="137"/>
        <v>0</v>
      </c>
      <c r="AF407" t="str">
        <f t="shared" ca="1" si="138"/>
        <v/>
      </c>
      <c r="AG407">
        <v>98</v>
      </c>
      <c r="AH407" t="s">
        <v>136</v>
      </c>
      <c r="AI407" t="str">
        <f t="shared" si="127"/>
        <v>Lutheran Home 25</v>
      </c>
      <c r="AJ407" t="str">
        <f t="shared" si="128"/>
        <v>Green Bay</v>
      </c>
      <c r="AK407" t="str">
        <f t="shared" si="129"/>
        <v>WI</v>
      </c>
    </row>
    <row r="408" spans="18:37" x14ac:dyDescent="0.25">
      <c r="S408">
        <v>150</v>
      </c>
      <c r="T408">
        <f t="shared" si="125"/>
        <v>129</v>
      </c>
      <c r="U408">
        <f t="shared" si="130"/>
        <v>26053</v>
      </c>
      <c r="V408">
        <f t="shared" ca="1" si="131"/>
        <v>0</v>
      </c>
      <c r="W408">
        <v>98</v>
      </c>
      <c r="X408" t="str">
        <f t="shared" ca="1" si="132"/>
        <v/>
      </c>
      <c r="Y408" t="s">
        <v>33</v>
      </c>
      <c r="Z408">
        <f t="shared" ca="1" si="133"/>
        <v>0</v>
      </c>
      <c r="AA408" t="str">
        <f t="shared" ca="1" si="134"/>
        <v>SPPN</v>
      </c>
      <c r="AB408">
        <f t="shared" ca="1" si="135"/>
        <v>1</v>
      </c>
      <c r="AC408" t="str">
        <f t="shared" ca="1" si="136"/>
        <v/>
      </c>
      <c r="AD408" t="str">
        <f t="shared" si="126"/>
        <v>4093RN153</v>
      </c>
      <c r="AE408">
        <f t="shared" ca="1" si="137"/>
        <v>0</v>
      </c>
      <c r="AF408" t="str">
        <f t="shared" ca="1" si="138"/>
        <v/>
      </c>
      <c r="AG408">
        <v>98</v>
      </c>
      <c r="AH408" t="s">
        <v>136</v>
      </c>
      <c r="AI408" t="str">
        <f t="shared" si="127"/>
        <v>Lutheran Home 25</v>
      </c>
      <c r="AJ408" t="str">
        <f t="shared" si="128"/>
        <v>Green Bay</v>
      </c>
      <c r="AK408" t="str">
        <f t="shared" si="129"/>
        <v>WI</v>
      </c>
    </row>
    <row r="409" spans="18:37" x14ac:dyDescent="0.25">
      <c r="S409">
        <v>151</v>
      </c>
      <c r="T409">
        <f t="shared" si="125"/>
        <v>129</v>
      </c>
      <c r="U409">
        <f t="shared" si="130"/>
        <v>26053</v>
      </c>
      <c r="V409">
        <f t="shared" ca="1" si="131"/>
        <v>0</v>
      </c>
      <c r="W409">
        <v>98</v>
      </c>
      <c r="X409" t="str">
        <f t="shared" ca="1" si="132"/>
        <v/>
      </c>
      <c r="Y409" t="s">
        <v>28</v>
      </c>
      <c r="Z409">
        <f t="shared" ca="1" si="133"/>
        <v>0</v>
      </c>
      <c r="AA409" t="str">
        <f t="shared" ca="1" si="134"/>
        <v>SPPN</v>
      </c>
      <c r="AB409">
        <f t="shared" ca="1" si="135"/>
        <v>1</v>
      </c>
      <c r="AC409">
        <f t="shared" ca="1" si="136"/>
        <v>0</v>
      </c>
      <c r="AD409" t="str">
        <f t="shared" si="126"/>
        <v>4093RN153</v>
      </c>
      <c r="AE409">
        <f t="shared" ca="1" si="137"/>
        <v>0</v>
      </c>
      <c r="AF409" t="str">
        <f t="shared" ca="1" si="138"/>
        <v/>
      </c>
      <c r="AG409">
        <v>98</v>
      </c>
      <c r="AH409" t="s">
        <v>136</v>
      </c>
      <c r="AI409" t="str">
        <f t="shared" si="127"/>
        <v>Lutheran Home 25</v>
      </c>
      <c r="AJ409" t="str">
        <f t="shared" si="128"/>
        <v>Green Bay</v>
      </c>
      <c r="AK409" t="str">
        <f t="shared" si="129"/>
        <v>WI</v>
      </c>
    </row>
    <row r="410" spans="18:37" x14ac:dyDescent="0.25">
      <c r="S410">
        <v>152</v>
      </c>
      <c r="T410">
        <f t="shared" si="125"/>
        <v>129</v>
      </c>
      <c r="U410">
        <f t="shared" si="130"/>
        <v>26053</v>
      </c>
      <c r="V410">
        <f t="shared" ca="1" si="131"/>
        <v>0</v>
      </c>
      <c r="W410">
        <v>98</v>
      </c>
      <c r="X410" t="str">
        <f t="shared" ca="1" si="132"/>
        <v/>
      </c>
      <c r="Y410" t="s">
        <v>32</v>
      </c>
      <c r="Z410">
        <f t="shared" ca="1" si="133"/>
        <v>0</v>
      </c>
      <c r="AA410" t="str">
        <f t="shared" ca="1" si="134"/>
        <v>SPPN</v>
      </c>
      <c r="AB410">
        <f t="shared" ca="1" si="135"/>
        <v>1</v>
      </c>
      <c r="AC410">
        <f t="shared" ca="1" si="136"/>
        <v>0</v>
      </c>
      <c r="AD410" t="str">
        <f t="shared" si="126"/>
        <v>4093RN153</v>
      </c>
      <c r="AE410">
        <f t="shared" ca="1" si="137"/>
        <v>0</v>
      </c>
      <c r="AF410" t="str">
        <f t="shared" ca="1" si="138"/>
        <v/>
      </c>
      <c r="AG410">
        <v>98</v>
      </c>
      <c r="AH410" t="s">
        <v>136</v>
      </c>
      <c r="AI410" t="str">
        <f t="shared" si="127"/>
        <v>Lutheran Home 25</v>
      </c>
      <c r="AJ410" t="str">
        <f t="shared" si="128"/>
        <v>Green Bay</v>
      </c>
      <c r="AK410" t="str">
        <f t="shared" si="129"/>
        <v>WI</v>
      </c>
    </row>
    <row r="411" spans="18:37" x14ac:dyDescent="0.25">
      <c r="R411">
        <v>1</v>
      </c>
      <c r="S411">
        <v>153</v>
      </c>
      <c r="T411">
        <f t="shared" si="125"/>
        <v>129</v>
      </c>
      <c r="U411">
        <f t="shared" si="130"/>
        <v>26053</v>
      </c>
      <c r="V411">
        <f t="shared" ca="1" si="131"/>
        <v>0</v>
      </c>
      <c r="W411">
        <v>99</v>
      </c>
      <c r="X411" t="str">
        <f t="shared" ca="1" si="132"/>
        <v/>
      </c>
      <c r="Y411" t="s">
        <v>9</v>
      </c>
      <c r="Z411">
        <f t="shared" ca="1" si="133"/>
        <v>0</v>
      </c>
      <c r="AA411" t="str">
        <f t="shared" ca="1" si="134"/>
        <v>SPPN</v>
      </c>
      <c r="AB411">
        <f t="shared" ca="1" si="135"/>
        <v>1</v>
      </c>
      <c r="AC411" t="str">
        <f t="shared" ca="1" si="136"/>
        <v/>
      </c>
      <c r="AD411" t="str">
        <f t="shared" si="126"/>
        <v>4093RN153</v>
      </c>
      <c r="AE411">
        <f t="shared" ca="1" si="137"/>
        <v>0</v>
      </c>
      <c r="AF411" t="str">
        <f t="shared" ca="1" si="138"/>
        <v/>
      </c>
      <c r="AG411">
        <v>99</v>
      </c>
      <c r="AH411" t="s">
        <v>136</v>
      </c>
      <c r="AI411" t="str">
        <f t="shared" si="127"/>
        <v>Lutheran Home 25</v>
      </c>
      <c r="AJ411" t="str">
        <f t="shared" si="128"/>
        <v>Green Bay</v>
      </c>
      <c r="AK411" t="str">
        <f t="shared" si="129"/>
        <v>WI</v>
      </c>
    </row>
    <row r="412" spans="18:37" x14ac:dyDescent="0.25">
      <c r="S412">
        <v>154</v>
      </c>
      <c r="T412">
        <f t="shared" si="125"/>
        <v>129</v>
      </c>
      <c r="U412">
        <f t="shared" si="130"/>
        <v>26053</v>
      </c>
      <c r="V412">
        <f t="shared" ca="1" si="131"/>
        <v>0</v>
      </c>
      <c r="W412">
        <v>99</v>
      </c>
      <c r="X412" t="str">
        <f t="shared" ca="1" si="132"/>
        <v/>
      </c>
      <c r="Y412" t="s">
        <v>33</v>
      </c>
      <c r="Z412">
        <f t="shared" ca="1" si="133"/>
        <v>0</v>
      </c>
      <c r="AA412" t="str">
        <f t="shared" ca="1" si="134"/>
        <v>SPPN</v>
      </c>
      <c r="AB412">
        <f t="shared" ca="1" si="135"/>
        <v>1</v>
      </c>
      <c r="AC412" t="str">
        <f t="shared" ca="1" si="136"/>
        <v/>
      </c>
      <c r="AD412" t="str">
        <f t="shared" si="126"/>
        <v>4093RN153</v>
      </c>
      <c r="AE412">
        <f t="shared" ca="1" si="137"/>
        <v>0</v>
      </c>
      <c r="AF412" t="str">
        <f t="shared" ca="1" si="138"/>
        <v/>
      </c>
      <c r="AG412">
        <v>99</v>
      </c>
      <c r="AH412" t="s">
        <v>136</v>
      </c>
      <c r="AI412" t="str">
        <f t="shared" si="127"/>
        <v>Lutheran Home 25</v>
      </c>
      <c r="AJ412" t="str">
        <f t="shared" si="128"/>
        <v>Green Bay</v>
      </c>
      <c r="AK412" t="str">
        <f t="shared" si="129"/>
        <v>WI</v>
      </c>
    </row>
    <row r="413" spans="18:37" x14ac:dyDescent="0.25">
      <c r="S413">
        <v>155</v>
      </c>
      <c r="T413">
        <f t="shared" si="125"/>
        <v>129</v>
      </c>
      <c r="U413">
        <f t="shared" si="130"/>
        <v>26053</v>
      </c>
      <c r="V413">
        <f t="shared" ca="1" si="131"/>
        <v>0</v>
      </c>
      <c r="W413">
        <v>99</v>
      </c>
      <c r="X413" t="str">
        <f t="shared" ca="1" si="132"/>
        <v/>
      </c>
      <c r="Y413" t="s">
        <v>28</v>
      </c>
      <c r="Z413">
        <f t="shared" ca="1" si="133"/>
        <v>0</v>
      </c>
      <c r="AA413" t="str">
        <f t="shared" ca="1" si="134"/>
        <v>SPPN</v>
      </c>
      <c r="AB413">
        <f t="shared" ca="1" si="135"/>
        <v>1</v>
      </c>
      <c r="AC413">
        <f t="shared" ca="1" si="136"/>
        <v>0</v>
      </c>
      <c r="AD413" t="str">
        <f t="shared" si="126"/>
        <v>4093RN153</v>
      </c>
      <c r="AE413">
        <f t="shared" ca="1" si="137"/>
        <v>0</v>
      </c>
      <c r="AF413" t="str">
        <f t="shared" ca="1" si="138"/>
        <v/>
      </c>
      <c r="AG413">
        <v>99</v>
      </c>
      <c r="AH413" t="s">
        <v>136</v>
      </c>
      <c r="AI413" t="str">
        <f t="shared" si="127"/>
        <v>Lutheran Home 25</v>
      </c>
      <c r="AJ413" t="str">
        <f t="shared" si="128"/>
        <v>Green Bay</v>
      </c>
      <c r="AK413" t="str">
        <f t="shared" si="129"/>
        <v>WI</v>
      </c>
    </row>
    <row r="414" spans="18:37" x14ac:dyDescent="0.25">
      <c r="S414">
        <v>156</v>
      </c>
      <c r="T414">
        <f t="shared" si="125"/>
        <v>129</v>
      </c>
      <c r="U414">
        <f t="shared" si="130"/>
        <v>26053</v>
      </c>
      <c r="V414">
        <f t="shared" ca="1" si="131"/>
        <v>0</v>
      </c>
      <c r="W414">
        <v>99</v>
      </c>
      <c r="X414" t="str">
        <f t="shared" ca="1" si="132"/>
        <v/>
      </c>
      <c r="Y414" t="s">
        <v>32</v>
      </c>
      <c r="Z414">
        <f t="shared" ca="1" si="133"/>
        <v>0</v>
      </c>
      <c r="AA414" t="str">
        <f t="shared" ca="1" si="134"/>
        <v>SPPN</v>
      </c>
      <c r="AB414">
        <f t="shared" ca="1" si="135"/>
        <v>1</v>
      </c>
      <c r="AC414">
        <f t="shared" ca="1" si="136"/>
        <v>0</v>
      </c>
      <c r="AD414" t="str">
        <f t="shared" si="126"/>
        <v>4093RN153</v>
      </c>
      <c r="AE414">
        <f t="shared" ca="1" si="137"/>
        <v>0</v>
      </c>
      <c r="AF414" t="str">
        <f t="shared" ca="1" si="138"/>
        <v/>
      </c>
      <c r="AG414">
        <v>99</v>
      </c>
      <c r="AH414" t="s">
        <v>136</v>
      </c>
      <c r="AI414" t="str">
        <f t="shared" si="127"/>
        <v>Lutheran Home 25</v>
      </c>
      <c r="AJ414" t="str">
        <f t="shared" si="128"/>
        <v>Green Bay</v>
      </c>
      <c r="AK414" t="str">
        <f t="shared" si="129"/>
        <v>WI</v>
      </c>
    </row>
    <row r="415" spans="18:37" x14ac:dyDescent="0.25">
      <c r="R415">
        <v>1</v>
      </c>
      <c r="S415">
        <v>157</v>
      </c>
      <c r="T415">
        <f t="shared" si="125"/>
        <v>129</v>
      </c>
      <c r="U415">
        <f t="shared" si="130"/>
        <v>26053</v>
      </c>
      <c r="V415">
        <f t="shared" ca="1" si="131"/>
        <v>0</v>
      </c>
      <c r="W415">
        <v>100</v>
      </c>
      <c r="X415" t="str">
        <f t="shared" ca="1" si="132"/>
        <v/>
      </c>
      <c r="Y415" t="s">
        <v>9</v>
      </c>
      <c r="Z415">
        <f t="shared" ca="1" si="133"/>
        <v>0</v>
      </c>
      <c r="AA415" t="str">
        <f t="shared" ca="1" si="134"/>
        <v>SPPN</v>
      </c>
      <c r="AB415">
        <f t="shared" ca="1" si="135"/>
        <v>1</v>
      </c>
      <c r="AC415" t="str">
        <f t="shared" ca="1" si="136"/>
        <v/>
      </c>
      <c r="AD415" t="str">
        <f t="shared" si="126"/>
        <v>4093RN153</v>
      </c>
      <c r="AE415">
        <f t="shared" ca="1" si="137"/>
        <v>0</v>
      </c>
      <c r="AF415" t="str">
        <f t="shared" ca="1" si="138"/>
        <v/>
      </c>
      <c r="AG415">
        <v>100</v>
      </c>
      <c r="AH415" t="s">
        <v>136</v>
      </c>
      <c r="AI415" t="str">
        <f t="shared" si="127"/>
        <v>Lutheran Home 25</v>
      </c>
      <c r="AJ415" t="str">
        <f t="shared" si="128"/>
        <v>Green Bay</v>
      </c>
      <c r="AK415" t="str">
        <f t="shared" si="129"/>
        <v>WI</v>
      </c>
    </row>
    <row r="416" spans="18:37" x14ac:dyDescent="0.25">
      <c r="S416">
        <v>158</v>
      </c>
      <c r="T416">
        <f t="shared" si="125"/>
        <v>129</v>
      </c>
      <c r="U416">
        <f t="shared" si="130"/>
        <v>26053</v>
      </c>
      <c r="V416">
        <f t="shared" ca="1" si="131"/>
        <v>0</v>
      </c>
      <c r="W416">
        <v>100</v>
      </c>
      <c r="X416" t="str">
        <f t="shared" ca="1" si="132"/>
        <v/>
      </c>
      <c r="Y416" t="s">
        <v>33</v>
      </c>
      <c r="Z416">
        <f t="shared" ca="1" si="133"/>
        <v>0</v>
      </c>
      <c r="AA416" t="str">
        <f t="shared" ca="1" si="134"/>
        <v>SPPN</v>
      </c>
      <c r="AB416">
        <f t="shared" ca="1" si="135"/>
        <v>1</v>
      </c>
      <c r="AC416" t="str">
        <f t="shared" ca="1" si="136"/>
        <v/>
      </c>
      <c r="AD416" t="str">
        <f t="shared" si="126"/>
        <v>4093RN153</v>
      </c>
      <c r="AE416">
        <f t="shared" ca="1" si="137"/>
        <v>0</v>
      </c>
      <c r="AF416" t="str">
        <f t="shared" ca="1" si="138"/>
        <v/>
      </c>
      <c r="AG416">
        <v>100</v>
      </c>
      <c r="AH416" t="s">
        <v>136</v>
      </c>
      <c r="AI416" t="str">
        <f t="shared" si="127"/>
        <v>Lutheran Home 25</v>
      </c>
      <c r="AJ416" t="str">
        <f t="shared" si="128"/>
        <v>Green Bay</v>
      </c>
      <c r="AK416" t="str">
        <f t="shared" si="129"/>
        <v>WI</v>
      </c>
    </row>
    <row r="417" spans="18:37" x14ac:dyDescent="0.25">
      <c r="S417">
        <v>159</v>
      </c>
      <c r="T417">
        <f t="shared" si="125"/>
        <v>129</v>
      </c>
      <c r="U417">
        <f t="shared" si="130"/>
        <v>26053</v>
      </c>
      <c r="V417">
        <f t="shared" ca="1" si="131"/>
        <v>0</v>
      </c>
      <c r="W417">
        <v>100</v>
      </c>
      <c r="X417" t="str">
        <f t="shared" ca="1" si="132"/>
        <v/>
      </c>
      <c r="Y417" t="s">
        <v>28</v>
      </c>
      <c r="Z417">
        <f t="shared" ca="1" si="133"/>
        <v>0</v>
      </c>
      <c r="AA417" t="str">
        <f t="shared" ca="1" si="134"/>
        <v>SPPN</v>
      </c>
      <c r="AB417">
        <f t="shared" ca="1" si="135"/>
        <v>1</v>
      </c>
      <c r="AC417">
        <f t="shared" ca="1" si="136"/>
        <v>0</v>
      </c>
      <c r="AD417" t="str">
        <f t="shared" si="126"/>
        <v>4093RN153</v>
      </c>
      <c r="AE417">
        <f t="shared" ca="1" si="137"/>
        <v>0</v>
      </c>
      <c r="AF417" t="str">
        <f t="shared" ca="1" si="138"/>
        <v/>
      </c>
      <c r="AG417">
        <v>100</v>
      </c>
      <c r="AH417" t="s">
        <v>136</v>
      </c>
      <c r="AI417" t="str">
        <f t="shared" si="127"/>
        <v>Lutheran Home 25</v>
      </c>
      <c r="AJ417" t="str">
        <f t="shared" si="128"/>
        <v>Green Bay</v>
      </c>
      <c r="AK417" t="str">
        <f t="shared" si="129"/>
        <v>WI</v>
      </c>
    </row>
    <row r="418" spans="18:37" x14ac:dyDescent="0.25">
      <c r="S418">
        <v>160</v>
      </c>
      <c r="T418">
        <f t="shared" si="125"/>
        <v>129</v>
      </c>
      <c r="U418">
        <f t="shared" si="130"/>
        <v>26053</v>
      </c>
      <c r="V418">
        <f t="shared" ca="1" si="131"/>
        <v>0</v>
      </c>
      <c r="W418">
        <v>100</v>
      </c>
      <c r="X418" t="str">
        <f t="shared" ca="1" si="132"/>
        <v/>
      </c>
      <c r="Y418" t="s">
        <v>32</v>
      </c>
      <c r="Z418">
        <f t="shared" ca="1" si="133"/>
        <v>0</v>
      </c>
      <c r="AA418" t="str">
        <f t="shared" ca="1" si="134"/>
        <v>SPPN</v>
      </c>
      <c r="AB418">
        <f t="shared" ca="1" si="135"/>
        <v>1</v>
      </c>
      <c r="AC418">
        <f t="shared" ca="1" si="136"/>
        <v>0</v>
      </c>
      <c r="AD418" t="str">
        <f t="shared" si="126"/>
        <v>4093RN153</v>
      </c>
      <c r="AE418">
        <f t="shared" ca="1" si="137"/>
        <v>0</v>
      </c>
      <c r="AF418" t="str">
        <f t="shared" ca="1" si="138"/>
        <v/>
      </c>
      <c r="AG418">
        <v>100</v>
      </c>
      <c r="AH418" t="s">
        <v>136</v>
      </c>
      <c r="AI418" t="str">
        <f t="shared" si="127"/>
        <v>Lutheran Home 25</v>
      </c>
      <c r="AJ418" t="str">
        <f t="shared" si="128"/>
        <v>Green Bay</v>
      </c>
      <c r="AK418" t="str">
        <f t="shared" si="129"/>
        <v>WI</v>
      </c>
    </row>
    <row r="419" spans="18:37" x14ac:dyDescent="0.25">
      <c r="R419">
        <v>1</v>
      </c>
      <c r="S419">
        <v>161</v>
      </c>
      <c r="T419">
        <f t="shared" si="125"/>
        <v>129</v>
      </c>
      <c r="U419">
        <f t="shared" si="130"/>
        <v>26053</v>
      </c>
      <c r="V419">
        <f t="shared" ca="1" si="131"/>
        <v>0</v>
      </c>
      <c r="W419">
        <v>101</v>
      </c>
      <c r="X419" t="str">
        <f t="shared" ca="1" si="132"/>
        <v/>
      </c>
      <c r="Y419" t="s">
        <v>9</v>
      </c>
      <c r="Z419">
        <f t="shared" ca="1" si="133"/>
        <v>0</v>
      </c>
      <c r="AA419" t="str">
        <f t="shared" ca="1" si="134"/>
        <v>SPPN</v>
      </c>
      <c r="AB419">
        <f t="shared" ca="1" si="135"/>
        <v>1</v>
      </c>
      <c r="AC419" t="str">
        <f t="shared" ca="1" si="136"/>
        <v/>
      </c>
      <c r="AD419" t="str">
        <f t="shared" si="126"/>
        <v>4093RN153</v>
      </c>
      <c r="AE419">
        <f t="shared" ca="1" si="137"/>
        <v>0</v>
      </c>
      <c r="AF419" t="str">
        <f t="shared" ca="1" si="138"/>
        <v/>
      </c>
      <c r="AG419">
        <v>101</v>
      </c>
      <c r="AH419" t="s">
        <v>136</v>
      </c>
      <c r="AI419" t="str">
        <f t="shared" si="127"/>
        <v>Lutheran Home 25</v>
      </c>
      <c r="AJ419" t="str">
        <f t="shared" si="128"/>
        <v>Green Bay</v>
      </c>
      <c r="AK419" t="str">
        <f t="shared" si="129"/>
        <v>WI</v>
      </c>
    </row>
    <row r="420" spans="18:37" x14ac:dyDescent="0.25">
      <c r="S420">
        <v>162</v>
      </c>
      <c r="T420">
        <f t="shared" si="125"/>
        <v>129</v>
      </c>
      <c r="U420">
        <f t="shared" si="130"/>
        <v>26053</v>
      </c>
      <c r="V420">
        <f t="shared" ca="1" si="131"/>
        <v>0</v>
      </c>
      <c r="W420">
        <v>101</v>
      </c>
      <c r="X420" t="str">
        <f t="shared" ca="1" si="132"/>
        <v/>
      </c>
      <c r="Y420" t="s">
        <v>33</v>
      </c>
      <c r="Z420">
        <f t="shared" ca="1" si="133"/>
        <v>0</v>
      </c>
      <c r="AA420" t="str">
        <f t="shared" ca="1" si="134"/>
        <v>SPPN</v>
      </c>
      <c r="AB420">
        <f t="shared" ca="1" si="135"/>
        <v>1</v>
      </c>
      <c r="AC420" t="str">
        <f t="shared" ca="1" si="136"/>
        <v/>
      </c>
      <c r="AD420" t="str">
        <f t="shared" si="126"/>
        <v>4093RN153</v>
      </c>
      <c r="AE420">
        <f t="shared" ca="1" si="137"/>
        <v>0</v>
      </c>
      <c r="AF420" t="str">
        <f t="shared" ca="1" si="138"/>
        <v/>
      </c>
      <c r="AG420">
        <v>101</v>
      </c>
      <c r="AH420" t="s">
        <v>136</v>
      </c>
      <c r="AI420" t="str">
        <f t="shared" si="127"/>
        <v>Lutheran Home 25</v>
      </c>
      <c r="AJ420" t="str">
        <f t="shared" si="128"/>
        <v>Green Bay</v>
      </c>
      <c r="AK420" t="str">
        <f t="shared" si="129"/>
        <v>WI</v>
      </c>
    </row>
    <row r="421" spans="18:37" x14ac:dyDescent="0.25">
      <c r="S421">
        <v>163</v>
      </c>
      <c r="T421">
        <f t="shared" si="125"/>
        <v>129</v>
      </c>
      <c r="U421">
        <f t="shared" si="130"/>
        <v>26053</v>
      </c>
      <c r="V421">
        <f t="shared" ca="1" si="131"/>
        <v>0</v>
      </c>
      <c r="W421">
        <v>101</v>
      </c>
      <c r="X421" t="str">
        <f t="shared" ca="1" si="132"/>
        <v/>
      </c>
      <c r="Y421" t="s">
        <v>28</v>
      </c>
      <c r="Z421">
        <f t="shared" ca="1" si="133"/>
        <v>0</v>
      </c>
      <c r="AA421" t="str">
        <f t="shared" ca="1" si="134"/>
        <v>SPPN</v>
      </c>
      <c r="AB421">
        <f t="shared" ca="1" si="135"/>
        <v>1</v>
      </c>
      <c r="AC421">
        <f t="shared" ca="1" si="136"/>
        <v>0</v>
      </c>
      <c r="AD421" t="str">
        <f t="shared" si="126"/>
        <v>4093RN153</v>
      </c>
      <c r="AE421">
        <f t="shared" ca="1" si="137"/>
        <v>0</v>
      </c>
      <c r="AF421" t="str">
        <f t="shared" ca="1" si="138"/>
        <v/>
      </c>
      <c r="AG421">
        <v>101</v>
      </c>
      <c r="AH421" t="s">
        <v>136</v>
      </c>
      <c r="AI421" t="str">
        <f t="shared" si="127"/>
        <v>Lutheran Home 25</v>
      </c>
      <c r="AJ421" t="str">
        <f t="shared" si="128"/>
        <v>Green Bay</v>
      </c>
      <c r="AK421" t="str">
        <f t="shared" si="129"/>
        <v>WI</v>
      </c>
    </row>
    <row r="422" spans="18:37" x14ac:dyDescent="0.25">
      <c r="S422">
        <v>164</v>
      </c>
      <c r="T422">
        <f t="shared" si="125"/>
        <v>129</v>
      </c>
      <c r="U422">
        <f t="shared" si="130"/>
        <v>26053</v>
      </c>
      <c r="V422">
        <f t="shared" ca="1" si="131"/>
        <v>0</v>
      </c>
      <c r="W422">
        <v>101</v>
      </c>
      <c r="X422" t="str">
        <f t="shared" ca="1" si="132"/>
        <v/>
      </c>
      <c r="Y422" t="s">
        <v>32</v>
      </c>
      <c r="Z422">
        <f t="shared" ca="1" si="133"/>
        <v>0</v>
      </c>
      <c r="AA422" t="str">
        <f t="shared" ca="1" si="134"/>
        <v>SPPN</v>
      </c>
      <c r="AB422">
        <f t="shared" ca="1" si="135"/>
        <v>1</v>
      </c>
      <c r="AC422">
        <f t="shared" ca="1" si="136"/>
        <v>0</v>
      </c>
      <c r="AD422" t="str">
        <f t="shared" si="126"/>
        <v>4093RN153</v>
      </c>
      <c r="AE422">
        <f t="shared" ca="1" si="137"/>
        <v>0</v>
      </c>
      <c r="AF422" t="str">
        <f t="shared" ca="1" si="138"/>
        <v/>
      </c>
      <c r="AG422">
        <v>101</v>
      </c>
      <c r="AH422" t="s">
        <v>136</v>
      </c>
      <c r="AI422" t="str">
        <f t="shared" si="127"/>
        <v>Lutheran Home 25</v>
      </c>
      <c r="AJ422" t="str">
        <f t="shared" si="128"/>
        <v>Green Bay</v>
      </c>
      <c r="AK422" t="str">
        <f t="shared" si="129"/>
        <v>WI</v>
      </c>
    </row>
    <row r="423" spans="18:37" x14ac:dyDescent="0.25">
      <c r="R423">
        <v>1</v>
      </c>
      <c r="S423">
        <v>165</v>
      </c>
      <c r="T423">
        <f t="shared" si="125"/>
        <v>129</v>
      </c>
      <c r="U423">
        <f t="shared" si="130"/>
        <v>26053</v>
      </c>
      <c r="V423">
        <f t="shared" ca="1" si="131"/>
        <v>0</v>
      </c>
      <c r="W423">
        <v>102</v>
      </c>
      <c r="X423" t="str">
        <f t="shared" ca="1" si="132"/>
        <v/>
      </c>
      <c r="Y423" t="s">
        <v>9</v>
      </c>
      <c r="Z423">
        <f t="shared" ca="1" si="133"/>
        <v>0</v>
      </c>
      <c r="AA423" t="str">
        <f t="shared" ca="1" si="134"/>
        <v>SPPN</v>
      </c>
      <c r="AB423">
        <f t="shared" ca="1" si="135"/>
        <v>1</v>
      </c>
      <c r="AC423" t="str">
        <f t="shared" ca="1" si="136"/>
        <v/>
      </c>
      <c r="AD423" t="str">
        <f t="shared" si="126"/>
        <v>4093RN153</v>
      </c>
      <c r="AE423">
        <f t="shared" ca="1" si="137"/>
        <v>0</v>
      </c>
      <c r="AF423" t="str">
        <f t="shared" ca="1" si="138"/>
        <v/>
      </c>
      <c r="AG423">
        <v>102</v>
      </c>
      <c r="AH423" t="s">
        <v>136</v>
      </c>
      <c r="AI423" t="str">
        <f t="shared" si="127"/>
        <v>Lutheran Home 25</v>
      </c>
      <c r="AJ423" t="str">
        <f t="shared" si="128"/>
        <v>Green Bay</v>
      </c>
      <c r="AK423" t="str">
        <f t="shared" si="129"/>
        <v>WI</v>
      </c>
    </row>
    <row r="424" spans="18:37" x14ac:dyDescent="0.25">
      <c r="S424">
        <v>166</v>
      </c>
      <c r="T424">
        <f t="shared" si="125"/>
        <v>129</v>
      </c>
      <c r="U424">
        <f t="shared" si="130"/>
        <v>26053</v>
      </c>
      <c r="V424">
        <f t="shared" ca="1" si="131"/>
        <v>0</v>
      </c>
      <c r="W424">
        <v>102</v>
      </c>
      <c r="X424" t="str">
        <f t="shared" ca="1" si="132"/>
        <v/>
      </c>
      <c r="Y424" t="s">
        <v>33</v>
      </c>
      <c r="Z424">
        <f t="shared" ca="1" si="133"/>
        <v>0</v>
      </c>
      <c r="AA424" t="str">
        <f t="shared" ca="1" si="134"/>
        <v>SPPN</v>
      </c>
      <c r="AB424">
        <f t="shared" ca="1" si="135"/>
        <v>1</v>
      </c>
      <c r="AC424" t="str">
        <f t="shared" ca="1" si="136"/>
        <v/>
      </c>
      <c r="AD424" t="str">
        <f t="shared" si="126"/>
        <v>4093RN153</v>
      </c>
      <c r="AE424">
        <f t="shared" ca="1" si="137"/>
        <v>0</v>
      </c>
      <c r="AF424" t="str">
        <f t="shared" ca="1" si="138"/>
        <v/>
      </c>
      <c r="AG424">
        <v>102</v>
      </c>
      <c r="AH424" t="s">
        <v>136</v>
      </c>
      <c r="AI424" t="str">
        <f t="shared" si="127"/>
        <v>Lutheran Home 25</v>
      </c>
      <c r="AJ424" t="str">
        <f t="shared" si="128"/>
        <v>Green Bay</v>
      </c>
      <c r="AK424" t="str">
        <f t="shared" si="129"/>
        <v>WI</v>
      </c>
    </row>
    <row r="425" spans="18:37" x14ac:dyDescent="0.25">
      <c r="S425">
        <v>167</v>
      </c>
      <c r="T425">
        <f t="shared" si="125"/>
        <v>129</v>
      </c>
      <c r="U425">
        <f t="shared" si="130"/>
        <v>26053</v>
      </c>
      <c r="V425">
        <f t="shared" ca="1" si="131"/>
        <v>0</v>
      </c>
      <c r="W425">
        <v>102</v>
      </c>
      <c r="X425" t="str">
        <f t="shared" ca="1" si="132"/>
        <v/>
      </c>
      <c r="Y425" t="s">
        <v>28</v>
      </c>
      <c r="Z425">
        <f t="shared" ca="1" si="133"/>
        <v>0</v>
      </c>
      <c r="AA425" t="str">
        <f t="shared" ca="1" si="134"/>
        <v>SPPN</v>
      </c>
      <c r="AB425">
        <f t="shared" ca="1" si="135"/>
        <v>1</v>
      </c>
      <c r="AC425">
        <f t="shared" ca="1" si="136"/>
        <v>0</v>
      </c>
      <c r="AD425" t="str">
        <f t="shared" si="126"/>
        <v>4093RN153</v>
      </c>
      <c r="AE425">
        <f t="shared" ca="1" si="137"/>
        <v>0</v>
      </c>
      <c r="AF425" t="str">
        <f t="shared" ca="1" si="138"/>
        <v/>
      </c>
      <c r="AG425">
        <v>102</v>
      </c>
      <c r="AH425" t="s">
        <v>136</v>
      </c>
      <c r="AI425" t="str">
        <f t="shared" si="127"/>
        <v>Lutheran Home 25</v>
      </c>
      <c r="AJ425" t="str">
        <f t="shared" si="128"/>
        <v>Green Bay</v>
      </c>
      <c r="AK425" t="str">
        <f t="shared" si="129"/>
        <v>WI</v>
      </c>
    </row>
    <row r="426" spans="18:37" x14ac:dyDescent="0.25">
      <c r="S426">
        <v>168</v>
      </c>
      <c r="T426">
        <f t="shared" si="125"/>
        <v>129</v>
      </c>
      <c r="U426">
        <f t="shared" si="130"/>
        <v>26053</v>
      </c>
      <c r="V426">
        <f t="shared" ca="1" si="131"/>
        <v>0</v>
      </c>
      <c r="W426">
        <v>102</v>
      </c>
      <c r="X426" t="str">
        <f t="shared" ca="1" si="132"/>
        <v/>
      </c>
      <c r="Y426" t="s">
        <v>32</v>
      </c>
      <c r="Z426">
        <f t="shared" ca="1" si="133"/>
        <v>0</v>
      </c>
      <c r="AA426" t="str">
        <f t="shared" ca="1" si="134"/>
        <v>SPPN</v>
      </c>
      <c r="AB426">
        <f t="shared" ca="1" si="135"/>
        <v>1</v>
      </c>
      <c r="AC426">
        <f t="shared" ca="1" si="136"/>
        <v>0</v>
      </c>
      <c r="AD426" t="str">
        <f t="shared" si="126"/>
        <v>4093RN153</v>
      </c>
      <c r="AE426">
        <f t="shared" ca="1" si="137"/>
        <v>0</v>
      </c>
      <c r="AF426" t="str">
        <f t="shared" ca="1" si="138"/>
        <v/>
      </c>
      <c r="AG426">
        <v>102</v>
      </c>
      <c r="AH426" t="s">
        <v>136</v>
      </c>
      <c r="AI426" t="str">
        <f t="shared" si="127"/>
        <v>Lutheran Home 25</v>
      </c>
      <c r="AJ426" t="str">
        <f t="shared" si="128"/>
        <v>Green Bay</v>
      </c>
      <c r="AK426" t="str">
        <f t="shared" si="129"/>
        <v>WI</v>
      </c>
    </row>
    <row r="427" spans="18:37" x14ac:dyDescent="0.25">
      <c r="R427">
        <v>1</v>
      </c>
      <c r="S427">
        <v>169</v>
      </c>
      <c r="T427">
        <f t="shared" si="125"/>
        <v>129</v>
      </c>
      <c r="U427">
        <f t="shared" si="130"/>
        <v>26053</v>
      </c>
      <c r="V427">
        <f t="shared" ca="1" si="131"/>
        <v>0</v>
      </c>
      <c r="W427">
        <v>103</v>
      </c>
      <c r="X427" t="str">
        <f t="shared" ca="1" si="132"/>
        <v/>
      </c>
      <c r="Y427" t="s">
        <v>9</v>
      </c>
      <c r="Z427">
        <f t="shared" ca="1" si="133"/>
        <v>0</v>
      </c>
      <c r="AA427" t="str">
        <f t="shared" ca="1" si="134"/>
        <v>SPPN</v>
      </c>
      <c r="AB427">
        <f t="shared" ca="1" si="135"/>
        <v>1</v>
      </c>
      <c r="AC427" t="str">
        <f t="shared" ca="1" si="136"/>
        <v/>
      </c>
      <c r="AD427" t="str">
        <f t="shared" si="126"/>
        <v>4093RN153</v>
      </c>
      <c r="AE427">
        <f t="shared" ca="1" si="137"/>
        <v>0</v>
      </c>
      <c r="AF427" t="str">
        <f t="shared" ca="1" si="138"/>
        <v/>
      </c>
      <c r="AG427">
        <v>103</v>
      </c>
      <c r="AH427" t="s">
        <v>136</v>
      </c>
      <c r="AI427" t="str">
        <f t="shared" si="127"/>
        <v>Lutheran Home 25</v>
      </c>
      <c r="AJ427" t="str">
        <f t="shared" si="128"/>
        <v>Green Bay</v>
      </c>
      <c r="AK427" t="str">
        <f t="shared" si="129"/>
        <v>WI</v>
      </c>
    </row>
    <row r="428" spans="18:37" x14ac:dyDescent="0.25">
      <c r="S428">
        <v>170</v>
      </c>
      <c r="T428">
        <f t="shared" si="125"/>
        <v>129</v>
      </c>
      <c r="U428">
        <f t="shared" si="130"/>
        <v>26053</v>
      </c>
      <c r="V428">
        <f t="shared" ca="1" si="131"/>
        <v>0</v>
      </c>
      <c r="W428">
        <v>103</v>
      </c>
      <c r="X428" t="str">
        <f t="shared" ca="1" si="132"/>
        <v/>
      </c>
      <c r="Y428" t="s">
        <v>33</v>
      </c>
      <c r="Z428">
        <f t="shared" ca="1" si="133"/>
        <v>0</v>
      </c>
      <c r="AA428" t="str">
        <f t="shared" ca="1" si="134"/>
        <v>SPPN</v>
      </c>
      <c r="AB428">
        <f t="shared" ca="1" si="135"/>
        <v>1</v>
      </c>
      <c r="AC428" t="str">
        <f t="shared" ca="1" si="136"/>
        <v/>
      </c>
      <c r="AD428" t="str">
        <f t="shared" si="126"/>
        <v>4093RN153</v>
      </c>
      <c r="AE428">
        <f t="shared" ca="1" si="137"/>
        <v>0</v>
      </c>
      <c r="AF428" t="str">
        <f t="shared" ca="1" si="138"/>
        <v/>
      </c>
      <c r="AG428">
        <v>103</v>
      </c>
      <c r="AH428" t="s">
        <v>136</v>
      </c>
      <c r="AI428" t="str">
        <f t="shared" si="127"/>
        <v>Lutheran Home 25</v>
      </c>
      <c r="AJ428" t="str">
        <f t="shared" si="128"/>
        <v>Green Bay</v>
      </c>
      <c r="AK428" t="str">
        <f t="shared" si="129"/>
        <v>WI</v>
      </c>
    </row>
    <row r="429" spans="18:37" x14ac:dyDescent="0.25">
      <c r="S429">
        <v>171</v>
      </c>
      <c r="T429">
        <f t="shared" si="125"/>
        <v>129</v>
      </c>
      <c r="U429">
        <f t="shared" si="130"/>
        <v>26053</v>
      </c>
      <c r="V429">
        <f t="shared" ca="1" si="131"/>
        <v>0</v>
      </c>
      <c r="W429">
        <v>103</v>
      </c>
      <c r="X429" t="str">
        <f t="shared" ca="1" si="132"/>
        <v/>
      </c>
      <c r="Y429" t="s">
        <v>28</v>
      </c>
      <c r="Z429">
        <f t="shared" ca="1" si="133"/>
        <v>0</v>
      </c>
      <c r="AA429" t="str">
        <f t="shared" ca="1" si="134"/>
        <v>SPPN</v>
      </c>
      <c r="AB429">
        <f t="shared" ca="1" si="135"/>
        <v>1</v>
      </c>
      <c r="AC429">
        <f t="shared" ca="1" si="136"/>
        <v>0</v>
      </c>
      <c r="AD429" t="str">
        <f t="shared" si="126"/>
        <v>4093RN153</v>
      </c>
      <c r="AE429">
        <f t="shared" ca="1" si="137"/>
        <v>0</v>
      </c>
      <c r="AF429" t="str">
        <f t="shared" ca="1" si="138"/>
        <v/>
      </c>
      <c r="AG429">
        <v>103</v>
      </c>
      <c r="AH429" t="s">
        <v>136</v>
      </c>
      <c r="AI429" t="str">
        <f t="shared" si="127"/>
        <v>Lutheran Home 25</v>
      </c>
      <c r="AJ429" t="str">
        <f t="shared" si="128"/>
        <v>Green Bay</v>
      </c>
      <c r="AK429" t="str">
        <f t="shared" si="129"/>
        <v>WI</v>
      </c>
    </row>
    <row r="430" spans="18:37" x14ac:dyDescent="0.25">
      <c r="S430">
        <v>172</v>
      </c>
      <c r="T430">
        <f t="shared" si="125"/>
        <v>129</v>
      </c>
      <c r="U430">
        <f t="shared" si="130"/>
        <v>26053</v>
      </c>
      <c r="V430">
        <f t="shared" ca="1" si="131"/>
        <v>0</v>
      </c>
      <c r="W430">
        <v>103</v>
      </c>
      <c r="X430" t="str">
        <f t="shared" ca="1" si="132"/>
        <v/>
      </c>
      <c r="Y430" t="s">
        <v>32</v>
      </c>
      <c r="Z430">
        <f t="shared" ca="1" si="133"/>
        <v>0</v>
      </c>
      <c r="AA430" t="str">
        <f t="shared" ca="1" si="134"/>
        <v>SPPN</v>
      </c>
      <c r="AB430">
        <f t="shared" ca="1" si="135"/>
        <v>1</v>
      </c>
      <c r="AC430">
        <f t="shared" ca="1" si="136"/>
        <v>0</v>
      </c>
      <c r="AD430" t="str">
        <f t="shared" si="126"/>
        <v>4093RN153</v>
      </c>
      <c r="AE430">
        <f t="shared" ca="1" si="137"/>
        <v>0</v>
      </c>
      <c r="AF430" t="str">
        <f t="shared" ca="1" si="138"/>
        <v/>
      </c>
      <c r="AG430">
        <v>103</v>
      </c>
      <c r="AH430" t="s">
        <v>136</v>
      </c>
      <c r="AI430" t="str">
        <f t="shared" si="127"/>
        <v>Lutheran Home 25</v>
      </c>
      <c r="AJ430" t="str">
        <f t="shared" si="128"/>
        <v>Green Bay</v>
      </c>
      <c r="AK430" t="str">
        <f t="shared" si="129"/>
        <v>WI</v>
      </c>
    </row>
    <row r="431" spans="18:37" x14ac:dyDescent="0.25">
      <c r="R431">
        <v>1</v>
      </c>
      <c r="S431">
        <v>173</v>
      </c>
      <c r="T431">
        <f t="shared" si="125"/>
        <v>129</v>
      </c>
      <c r="U431">
        <f t="shared" si="130"/>
        <v>26053</v>
      </c>
      <c r="V431">
        <f t="shared" ca="1" si="131"/>
        <v>0</v>
      </c>
      <c r="W431">
        <v>104</v>
      </c>
      <c r="X431" t="str">
        <f t="shared" ca="1" si="132"/>
        <v/>
      </c>
      <c r="Y431" t="s">
        <v>9</v>
      </c>
      <c r="Z431">
        <f t="shared" ca="1" si="133"/>
        <v>0</v>
      </c>
      <c r="AA431" t="str">
        <f t="shared" ca="1" si="134"/>
        <v>SPPN</v>
      </c>
      <c r="AB431">
        <f t="shared" ca="1" si="135"/>
        <v>1</v>
      </c>
      <c r="AC431" t="str">
        <f t="shared" ca="1" si="136"/>
        <v/>
      </c>
      <c r="AD431" t="str">
        <f t="shared" si="126"/>
        <v>4093RN153</v>
      </c>
      <c r="AE431">
        <f t="shared" ca="1" si="137"/>
        <v>0</v>
      </c>
      <c r="AF431" t="str">
        <f t="shared" ca="1" si="138"/>
        <v/>
      </c>
      <c r="AG431">
        <v>104</v>
      </c>
      <c r="AH431" t="s">
        <v>136</v>
      </c>
      <c r="AI431" t="str">
        <f t="shared" si="127"/>
        <v>Lutheran Home 25</v>
      </c>
      <c r="AJ431" t="str">
        <f t="shared" si="128"/>
        <v>Green Bay</v>
      </c>
      <c r="AK431" t="str">
        <f t="shared" si="129"/>
        <v>WI</v>
      </c>
    </row>
    <row r="432" spans="18:37" x14ac:dyDescent="0.25">
      <c r="S432">
        <v>174</v>
      </c>
      <c r="T432">
        <f t="shared" si="125"/>
        <v>129</v>
      </c>
      <c r="U432">
        <f t="shared" si="130"/>
        <v>26053</v>
      </c>
      <c r="V432">
        <f t="shared" ca="1" si="131"/>
        <v>0</v>
      </c>
      <c r="W432">
        <v>104</v>
      </c>
      <c r="X432" t="str">
        <f t="shared" ca="1" si="132"/>
        <v/>
      </c>
      <c r="Y432" t="s">
        <v>33</v>
      </c>
      <c r="Z432">
        <f t="shared" ca="1" si="133"/>
        <v>0</v>
      </c>
      <c r="AA432" t="str">
        <f t="shared" ca="1" si="134"/>
        <v>SPPN</v>
      </c>
      <c r="AB432">
        <f t="shared" ca="1" si="135"/>
        <v>1</v>
      </c>
      <c r="AC432" t="str">
        <f t="shared" ca="1" si="136"/>
        <v/>
      </c>
      <c r="AD432" t="str">
        <f t="shared" si="126"/>
        <v>4093RN153</v>
      </c>
      <c r="AE432">
        <f t="shared" ca="1" si="137"/>
        <v>0</v>
      </c>
      <c r="AF432" t="str">
        <f t="shared" ca="1" si="138"/>
        <v/>
      </c>
      <c r="AG432">
        <v>104</v>
      </c>
      <c r="AH432" t="s">
        <v>136</v>
      </c>
      <c r="AI432" t="str">
        <f t="shared" si="127"/>
        <v>Lutheran Home 25</v>
      </c>
      <c r="AJ432" t="str">
        <f t="shared" si="128"/>
        <v>Green Bay</v>
      </c>
      <c r="AK432" t="str">
        <f t="shared" si="129"/>
        <v>WI</v>
      </c>
    </row>
    <row r="433" spans="18:37" x14ac:dyDescent="0.25">
      <c r="S433">
        <v>175</v>
      </c>
      <c r="T433">
        <f t="shared" si="125"/>
        <v>129</v>
      </c>
      <c r="U433">
        <f t="shared" si="130"/>
        <v>26053</v>
      </c>
      <c r="V433">
        <f t="shared" ca="1" si="131"/>
        <v>0</v>
      </c>
      <c r="W433">
        <v>104</v>
      </c>
      <c r="X433" t="str">
        <f t="shared" ca="1" si="132"/>
        <v/>
      </c>
      <c r="Y433" t="s">
        <v>28</v>
      </c>
      <c r="Z433">
        <f t="shared" ca="1" si="133"/>
        <v>0</v>
      </c>
      <c r="AA433" t="str">
        <f t="shared" ca="1" si="134"/>
        <v>SPPN</v>
      </c>
      <c r="AB433">
        <f t="shared" ca="1" si="135"/>
        <v>1</v>
      </c>
      <c r="AC433">
        <f t="shared" ca="1" si="136"/>
        <v>0</v>
      </c>
      <c r="AD433" t="str">
        <f t="shared" si="126"/>
        <v>4093RN153</v>
      </c>
      <c r="AE433">
        <f t="shared" ca="1" si="137"/>
        <v>0</v>
      </c>
      <c r="AF433" t="str">
        <f t="shared" ca="1" si="138"/>
        <v/>
      </c>
      <c r="AG433">
        <v>104</v>
      </c>
      <c r="AH433" t="s">
        <v>136</v>
      </c>
      <c r="AI433" t="str">
        <f t="shared" si="127"/>
        <v>Lutheran Home 25</v>
      </c>
      <c r="AJ433" t="str">
        <f t="shared" si="128"/>
        <v>Green Bay</v>
      </c>
      <c r="AK433" t="str">
        <f t="shared" si="129"/>
        <v>WI</v>
      </c>
    </row>
    <row r="434" spans="18:37" x14ac:dyDescent="0.25">
      <c r="S434">
        <v>176</v>
      </c>
      <c r="T434">
        <f t="shared" si="125"/>
        <v>129</v>
      </c>
      <c r="U434">
        <f t="shared" si="130"/>
        <v>26053</v>
      </c>
      <c r="V434">
        <f t="shared" ca="1" si="131"/>
        <v>0</v>
      </c>
      <c r="W434">
        <v>104</v>
      </c>
      <c r="X434" t="str">
        <f t="shared" ca="1" si="132"/>
        <v/>
      </c>
      <c r="Y434" t="s">
        <v>32</v>
      </c>
      <c r="Z434">
        <f t="shared" ca="1" si="133"/>
        <v>0</v>
      </c>
      <c r="AA434" t="str">
        <f t="shared" ca="1" si="134"/>
        <v>SPPN</v>
      </c>
      <c r="AB434">
        <f t="shared" ca="1" si="135"/>
        <v>1</v>
      </c>
      <c r="AC434">
        <f t="shared" ca="1" si="136"/>
        <v>0</v>
      </c>
      <c r="AD434" t="str">
        <f t="shared" si="126"/>
        <v>4093RN153</v>
      </c>
      <c r="AE434">
        <f t="shared" ca="1" si="137"/>
        <v>0</v>
      </c>
      <c r="AF434" t="str">
        <f t="shared" ca="1" si="138"/>
        <v/>
      </c>
      <c r="AG434">
        <v>104</v>
      </c>
      <c r="AH434" t="s">
        <v>136</v>
      </c>
      <c r="AI434" t="str">
        <f t="shared" si="127"/>
        <v>Lutheran Home 25</v>
      </c>
      <c r="AJ434" t="str">
        <f t="shared" si="128"/>
        <v>Green Bay</v>
      </c>
      <c r="AK434" t="str">
        <f t="shared" si="129"/>
        <v>WI</v>
      </c>
    </row>
    <row r="435" spans="18:37" x14ac:dyDescent="0.25">
      <c r="R435">
        <v>1</v>
      </c>
      <c r="S435">
        <v>177</v>
      </c>
      <c r="T435">
        <f t="shared" si="125"/>
        <v>129</v>
      </c>
      <c r="U435">
        <f t="shared" si="130"/>
        <v>26053</v>
      </c>
      <c r="V435">
        <f t="shared" ca="1" si="131"/>
        <v>0</v>
      </c>
      <c r="W435">
        <v>105</v>
      </c>
      <c r="X435" t="str">
        <f t="shared" ca="1" si="132"/>
        <v/>
      </c>
      <c r="Y435" t="s">
        <v>9</v>
      </c>
      <c r="Z435">
        <f t="shared" ca="1" si="133"/>
        <v>0</v>
      </c>
      <c r="AA435" t="str">
        <f t="shared" ca="1" si="134"/>
        <v>SPPN</v>
      </c>
      <c r="AB435">
        <f t="shared" ca="1" si="135"/>
        <v>1</v>
      </c>
      <c r="AC435" t="str">
        <f t="shared" ca="1" si="136"/>
        <v/>
      </c>
      <c r="AD435" t="str">
        <f t="shared" si="126"/>
        <v>4093RN153</v>
      </c>
      <c r="AE435">
        <f t="shared" ca="1" si="137"/>
        <v>0</v>
      </c>
      <c r="AF435" t="str">
        <f t="shared" ca="1" si="138"/>
        <v/>
      </c>
      <c r="AG435">
        <v>105</v>
      </c>
      <c r="AH435" t="s">
        <v>136</v>
      </c>
      <c r="AI435" t="str">
        <f t="shared" si="127"/>
        <v>Lutheran Home 25</v>
      </c>
      <c r="AJ435" t="str">
        <f t="shared" si="128"/>
        <v>Green Bay</v>
      </c>
      <c r="AK435" t="str">
        <f t="shared" si="129"/>
        <v>WI</v>
      </c>
    </row>
    <row r="436" spans="18:37" x14ac:dyDescent="0.25">
      <c r="S436">
        <v>178</v>
      </c>
      <c r="T436">
        <f t="shared" si="125"/>
        <v>129</v>
      </c>
      <c r="U436">
        <f t="shared" si="130"/>
        <v>26053</v>
      </c>
      <c r="V436">
        <f t="shared" ca="1" si="131"/>
        <v>0</v>
      </c>
      <c r="W436">
        <v>105</v>
      </c>
      <c r="X436" t="str">
        <f t="shared" ca="1" si="132"/>
        <v/>
      </c>
      <c r="Y436" t="s">
        <v>33</v>
      </c>
      <c r="Z436">
        <f t="shared" ca="1" si="133"/>
        <v>0</v>
      </c>
      <c r="AA436" t="str">
        <f t="shared" ca="1" si="134"/>
        <v>SPPN</v>
      </c>
      <c r="AB436">
        <f t="shared" ca="1" si="135"/>
        <v>1</v>
      </c>
      <c r="AC436" t="str">
        <f t="shared" ca="1" si="136"/>
        <v/>
      </c>
      <c r="AD436" t="str">
        <f t="shared" si="126"/>
        <v>4093RN153</v>
      </c>
      <c r="AE436">
        <f t="shared" ca="1" si="137"/>
        <v>0</v>
      </c>
      <c r="AF436" t="str">
        <f t="shared" ca="1" si="138"/>
        <v/>
      </c>
      <c r="AG436">
        <v>105</v>
      </c>
      <c r="AH436" t="s">
        <v>136</v>
      </c>
      <c r="AI436" t="str">
        <f t="shared" si="127"/>
        <v>Lutheran Home 25</v>
      </c>
      <c r="AJ436" t="str">
        <f t="shared" si="128"/>
        <v>Green Bay</v>
      </c>
      <c r="AK436" t="str">
        <f t="shared" si="129"/>
        <v>WI</v>
      </c>
    </row>
    <row r="437" spans="18:37" x14ac:dyDescent="0.25">
      <c r="S437">
        <v>179</v>
      </c>
      <c r="T437">
        <f t="shared" si="125"/>
        <v>129</v>
      </c>
      <c r="U437">
        <f t="shared" si="130"/>
        <v>26053</v>
      </c>
      <c r="V437">
        <f t="shared" ca="1" si="131"/>
        <v>0</v>
      </c>
      <c r="W437">
        <v>105</v>
      </c>
      <c r="X437" t="str">
        <f t="shared" ca="1" si="132"/>
        <v/>
      </c>
      <c r="Y437" t="s">
        <v>28</v>
      </c>
      <c r="Z437">
        <f t="shared" ca="1" si="133"/>
        <v>0</v>
      </c>
      <c r="AA437" t="str">
        <f t="shared" ca="1" si="134"/>
        <v>SPPN</v>
      </c>
      <c r="AB437">
        <f t="shared" ca="1" si="135"/>
        <v>1</v>
      </c>
      <c r="AC437">
        <f t="shared" ca="1" si="136"/>
        <v>0</v>
      </c>
      <c r="AD437" t="str">
        <f t="shared" si="126"/>
        <v>4093RN153</v>
      </c>
      <c r="AE437">
        <f t="shared" ca="1" si="137"/>
        <v>0</v>
      </c>
      <c r="AF437" t="str">
        <f t="shared" ca="1" si="138"/>
        <v/>
      </c>
      <c r="AG437">
        <v>105</v>
      </c>
      <c r="AH437" t="s">
        <v>136</v>
      </c>
      <c r="AI437" t="str">
        <f t="shared" si="127"/>
        <v>Lutheran Home 25</v>
      </c>
      <c r="AJ437" t="str">
        <f t="shared" si="128"/>
        <v>Green Bay</v>
      </c>
      <c r="AK437" t="str">
        <f t="shared" si="129"/>
        <v>WI</v>
      </c>
    </row>
    <row r="438" spans="18:37" x14ac:dyDescent="0.25">
      <c r="S438">
        <v>180</v>
      </c>
      <c r="T438">
        <f t="shared" si="125"/>
        <v>129</v>
      </c>
      <c r="U438">
        <f t="shared" si="130"/>
        <v>26053</v>
      </c>
      <c r="V438">
        <f t="shared" ca="1" si="131"/>
        <v>0</v>
      </c>
      <c r="W438">
        <v>105</v>
      </c>
      <c r="X438" t="str">
        <f t="shared" ca="1" si="132"/>
        <v/>
      </c>
      <c r="Y438" t="s">
        <v>32</v>
      </c>
      <c r="Z438">
        <f t="shared" ca="1" si="133"/>
        <v>0</v>
      </c>
      <c r="AA438" t="str">
        <f t="shared" ca="1" si="134"/>
        <v>SPPN</v>
      </c>
      <c r="AB438">
        <f t="shared" ca="1" si="135"/>
        <v>1</v>
      </c>
      <c r="AC438">
        <f t="shared" ca="1" si="136"/>
        <v>0</v>
      </c>
      <c r="AD438" t="str">
        <f t="shared" si="126"/>
        <v>4093RN153</v>
      </c>
      <c r="AE438">
        <f t="shared" ca="1" si="137"/>
        <v>0</v>
      </c>
      <c r="AF438" t="str">
        <f t="shared" ca="1" si="138"/>
        <v/>
      </c>
      <c r="AG438">
        <v>105</v>
      </c>
      <c r="AH438" t="s">
        <v>136</v>
      </c>
      <c r="AI438" t="str">
        <f t="shared" si="127"/>
        <v>Lutheran Home 25</v>
      </c>
      <c r="AJ438" t="str">
        <f t="shared" si="128"/>
        <v>Green Bay</v>
      </c>
      <c r="AK438" t="str">
        <f t="shared" si="129"/>
        <v>WI</v>
      </c>
    </row>
    <row r="439" spans="18:37" x14ac:dyDescent="0.25">
      <c r="R439">
        <v>1</v>
      </c>
      <c r="S439">
        <v>181</v>
      </c>
      <c r="T439">
        <f t="shared" si="125"/>
        <v>129</v>
      </c>
      <c r="U439">
        <f t="shared" si="130"/>
        <v>26053</v>
      </c>
      <c r="V439">
        <f t="shared" ca="1" si="131"/>
        <v>0</v>
      </c>
      <c r="W439">
        <v>106</v>
      </c>
      <c r="X439" t="str">
        <f t="shared" ca="1" si="132"/>
        <v/>
      </c>
      <c r="Y439" t="s">
        <v>9</v>
      </c>
      <c r="Z439">
        <f t="shared" ca="1" si="133"/>
        <v>0</v>
      </c>
      <c r="AA439" t="str">
        <f t="shared" ca="1" si="134"/>
        <v>SPPN</v>
      </c>
      <c r="AB439">
        <f t="shared" ca="1" si="135"/>
        <v>1</v>
      </c>
      <c r="AC439" t="str">
        <f t="shared" ca="1" si="136"/>
        <v/>
      </c>
      <c r="AD439" t="str">
        <f t="shared" si="126"/>
        <v>4093RN153</v>
      </c>
      <c r="AE439">
        <f t="shared" ca="1" si="137"/>
        <v>0</v>
      </c>
      <c r="AF439" t="str">
        <f t="shared" ca="1" si="138"/>
        <v/>
      </c>
      <c r="AG439">
        <v>106</v>
      </c>
      <c r="AH439" t="s">
        <v>136</v>
      </c>
      <c r="AI439" t="str">
        <f t="shared" si="127"/>
        <v>Lutheran Home 25</v>
      </c>
      <c r="AJ439" t="str">
        <f t="shared" si="128"/>
        <v>Green Bay</v>
      </c>
      <c r="AK439" t="str">
        <f t="shared" si="129"/>
        <v>WI</v>
      </c>
    </row>
    <row r="440" spans="18:37" x14ac:dyDescent="0.25">
      <c r="S440">
        <v>182</v>
      </c>
      <c r="T440">
        <f t="shared" si="125"/>
        <v>129</v>
      </c>
      <c r="U440">
        <f t="shared" si="130"/>
        <v>26053</v>
      </c>
      <c r="V440">
        <f t="shared" ca="1" si="131"/>
        <v>0</v>
      </c>
      <c r="W440">
        <v>106</v>
      </c>
      <c r="X440" t="str">
        <f t="shared" ca="1" si="132"/>
        <v/>
      </c>
      <c r="Y440" t="s">
        <v>33</v>
      </c>
      <c r="Z440">
        <f t="shared" ca="1" si="133"/>
        <v>0</v>
      </c>
      <c r="AA440" t="str">
        <f t="shared" ca="1" si="134"/>
        <v>SPPN</v>
      </c>
      <c r="AB440">
        <f t="shared" ca="1" si="135"/>
        <v>1</v>
      </c>
      <c r="AC440" t="str">
        <f t="shared" ca="1" si="136"/>
        <v/>
      </c>
      <c r="AD440" t="str">
        <f t="shared" si="126"/>
        <v>4093RN153</v>
      </c>
      <c r="AE440">
        <f t="shared" ca="1" si="137"/>
        <v>0</v>
      </c>
      <c r="AF440" t="str">
        <f t="shared" ca="1" si="138"/>
        <v/>
      </c>
      <c r="AG440">
        <v>106</v>
      </c>
      <c r="AH440" t="s">
        <v>136</v>
      </c>
      <c r="AI440" t="str">
        <f t="shared" si="127"/>
        <v>Lutheran Home 25</v>
      </c>
      <c r="AJ440" t="str">
        <f t="shared" si="128"/>
        <v>Green Bay</v>
      </c>
      <c r="AK440" t="str">
        <f t="shared" si="129"/>
        <v>WI</v>
      </c>
    </row>
    <row r="441" spans="18:37" x14ac:dyDescent="0.25">
      <c r="S441">
        <v>183</v>
      </c>
      <c r="T441">
        <f t="shared" si="125"/>
        <v>129</v>
      </c>
      <c r="U441">
        <f t="shared" si="130"/>
        <v>26053</v>
      </c>
      <c r="V441">
        <f t="shared" ca="1" si="131"/>
        <v>0</v>
      </c>
      <c r="W441">
        <v>106</v>
      </c>
      <c r="X441" t="str">
        <f t="shared" ca="1" si="132"/>
        <v/>
      </c>
      <c r="Y441" t="s">
        <v>28</v>
      </c>
      <c r="Z441">
        <f t="shared" ca="1" si="133"/>
        <v>0</v>
      </c>
      <c r="AA441" t="str">
        <f t="shared" ca="1" si="134"/>
        <v>SPPN</v>
      </c>
      <c r="AB441">
        <f t="shared" ca="1" si="135"/>
        <v>1</v>
      </c>
      <c r="AC441">
        <f t="shared" ca="1" si="136"/>
        <v>0</v>
      </c>
      <c r="AD441" t="str">
        <f t="shared" si="126"/>
        <v>4093RN153</v>
      </c>
      <c r="AE441">
        <f t="shared" ca="1" si="137"/>
        <v>0</v>
      </c>
      <c r="AF441" t="str">
        <f t="shared" ca="1" si="138"/>
        <v/>
      </c>
      <c r="AG441">
        <v>106</v>
      </c>
      <c r="AH441" t="s">
        <v>136</v>
      </c>
      <c r="AI441" t="str">
        <f t="shared" si="127"/>
        <v>Lutheran Home 25</v>
      </c>
      <c r="AJ441" t="str">
        <f t="shared" si="128"/>
        <v>Green Bay</v>
      </c>
      <c r="AK441" t="str">
        <f t="shared" si="129"/>
        <v>WI</v>
      </c>
    </row>
    <row r="442" spans="18:37" x14ac:dyDescent="0.25">
      <c r="S442">
        <v>184</v>
      </c>
      <c r="T442">
        <f t="shared" si="125"/>
        <v>129</v>
      </c>
      <c r="U442">
        <f t="shared" si="130"/>
        <v>26053</v>
      </c>
      <c r="V442">
        <f t="shared" ca="1" si="131"/>
        <v>0</v>
      </c>
      <c r="W442">
        <v>106</v>
      </c>
      <c r="X442" t="str">
        <f t="shared" ca="1" si="132"/>
        <v/>
      </c>
      <c r="Y442" t="s">
        <v>32</v>
      </c>
      <c r="Z442">
        <f t="shared" ca="1" si="133"/>
        <v>0</v>
      </c>
      <c r="AA442" t="str">
        <f t="shared" ca="1" si="134"/>
        <v>SPPN</v>
      </c>
      <c r="AB442">
        <f t="shared" ca="1" si="135"/>
        <v>1</v>
      </c>
      <c r="AC442">
        <f t="shared" ca="1" si="136"/>
        <v>0</v>
      </c>
      <c r="AD442" t="str">
        <f t="shared" si="126"/>
        <v>4093RN153</v>
      </c>
      <c r="AE442">
        <f t="shared" ca="1" si="137"/>
        <v>0</v>
      </c>
      <c r="AF442" t="str">
        <f t="shared" ca="1" si="138"/>
        <v/>
      </c>
      <c r="AG442">
        <v>106</v>
      </c>
      <c r="AH442" t="s">
        <v>136</v>
      </c>
      <c r="AI442" t="str">
        <f t="shared" si="127"/>
        <v>Lutheran Home 25</v>
      </c>
      <c r="AJ442" t="str">
        <f t="shared" si="128"/>
        <v>Green Bay</v>
      </c>
      <c r="AK442" t="str">
        <f t="shared" si="129"/>
        <v>WI</v>
      </c>
    </row>
    <row r="443" spans="18:37" x14ac:dyDescent="0.25">
      <c r="R443">
        <v>1</v>
      </c>
      <c r="S443">
        <v>185</v>
      </c>
      <c r="T443">
        <f t="shared" si="125"/>
        <v>129</v>
      </c>
      <c r="U443">
        <f t="shared" si="130"/>
        <v>26053</v>
      </c>
      <c r="V443">
        <f t="shared" ca="1" si="131"/>
        <v>0</v>
      </c>
      <c r="W443">
        <v>107</v>
      </c>
      <c r="X443" t="str">
        <f t="shared" ca="1" si="132"/>
        <v/>
      </c>
      <c r="Y443" t="s">
        <v>9</v>
      </c>
      <c r="Z443">
        <f t="shared" ca="1" si="133"/>
        <v>0</v>
      </c>
      <c r="AA443" t="str">
        <f t="shared" ca="1" si="134"/>
        <v>SPPN</v>
      </c>
      <c r="AB443">
        <f t="shared" ca="1" si="135"/>
        <v>1</v>
      </c>
      <c r="AC443" t="str">
        <f t="shared" ca="1" si="136"/>
        <v/>
      </c>
      <c r="AD443" t="str">
        <f t="shared" si="126"/>
        <v>4093RN153</v>
      </c>
      <c r="AE443">
        <f t="shared" ca="1" si="137"/>
        <v>0</v>
      </c>
      <c r="AF443" t="str">
        <f t="shared" ca="1" si="138"/>
        <v/>
      </c>
      <c r="AG443">
        <v>107</v>
      </c>
      <c r="AH443" t="s">
        <v>136</v>
      </c>
      <c r="AI443" t="str">
        <f t="shared" si="127"/>
        <v>Lutheran Home 25</v>
      </c>
      <c r="AJ443" t="str">
        <f t="shared" si="128"/>
        <v>Green Bay</v>
      </c>
      <c r="AK443" t="str">
        <f t="shared" si="129"/>
        <v>WI</v>
      </c>
    </row>
    <row r="444" spans="18:37" x14ac:dyDescent="0.25">
      <c r="S444">
        <v>186</v>
      </c>
      <c r="T444">
        <f t="shared" si="125"/>
        <v>129</v>
      </c>
      <c r="U444">
        <f t="shared" si="130"/>
        <v>26053</v>
      </c>
      <c r="V444">
        <f t="shared" ca="1" si="131"/>
        <v>0</v>
      </c>
      <c r="W444">
        <v>107</v>
      </c>
      <c r="X444" t="str">
        <f t="shared" ca="1" si="132"/>
        <v/>
      </c>
      <c r="Y444" t="s">
        <v>33</v>
      </c>
      <c r="Z444">
        <f t="shared" ca="1" si="133"/>
        <v>0</v>
      </c>
      <c r="AA444" t="str">
        <f t="shared" ca="1" si="134"/>
        <v>SPPN</v>
      </c>
      <c r="AB444">
        <f t="shared" ca="1" si="135"/>
        <v>1</v>
      </c>
      <c r="AC444" t="str">
        <f t="shared" ca="1" si="136"/>
        <v/>
      </c>
      <c r="AD444" t="str">
        <f t="shared" si="126"/>
        <v>4093RN153</v>
      </c>
      <c r="AE444">
        <f t="shared" ca="1" si="137"/>
        <v>0</v>
      </c>
      <c r="AF444" t="str">
        <f t="shared" ca="1" si="138"/>
        <v/>
      </c>
      <c r="AG444">
        <v>107</v>
      </c>
      <c r="AH444" t="s">
        <v>136</v>
      </c>
      <c r="AI444" t="str">
        <f t="shared" si="127"/>
        <v>Lutheran Home 25</v>
      </c>
      <c r="AJ444" t="str">
        <f t="shared" si="128"/>
        <v>Green Bay</v>
      </c>
      <c r="AK444" t="str">
        <f t="shared" si="129"/>
        <v>WI</v>
      </c>
    </row>
    <row r="445" spans="18:37" x14ac:dyDescent="0.25">
      <c r="S445">
        <v>187</v>
      </c>
      <c r="T445">
        <f t="shared" si="125"/>
        <v>129</v>
      </c>
      <c r="U445">
        <f t="shared" si="130"/>
        <v>26053</v>
      </c>
      <c r="V445">
        <f t="shared" ca="1" si="131"/>
        <v>0</v>
      </c>
      <c r="W445">
        <v>107</v>
      </c>
      <c r="X445" t="str">
        <f t="shared" ca="1" si="132"/>
        <v/>
      </c>
      <c r="Y445" t="s">
        <v>28</v>
      </c>
      <c r="Z445">
        <f t="shared" ca="1" si="133"/>
        <v>0</v>
      </c>
      <c r="AA445" t="str">
        <f t="shared" ca="1" si="134"/>
        <v>SPPN</v>
      </c>
      <c r="AB445">
        <f t="shared" ca="1" si="135"/>
        <v>1</v>
      </c>
      <c r="AC445">
        <f t="shared" ca="1" si="136"/>
        <v>0</v>
      </c>
      <c r="AD445" t="str">
        <f t="shared" si="126"/>
        <v>4093RN153</v>
      </c>
      <c r="AE445">
        <f t="shared" ca="1" si="137"/>
        <v>0</v>
      </c>
      <c r="AF445" t="str">
        <f t="shared" ca="1" si="138"/>
        <v/>
      </c>
      <c r="AG445">
        <v>107</v>
      </c>
      <c r="AH445" t="s">
        <v>136</v>
      </c>
      <c r="AI445" t="str">
        <f t="shared" si="127"/>
        <v>Lutheran Home 25</v>
      </c>
      <c r="AJ445" t="str">
        <f t="shared" si="128"/>
        <v>Green Bay</v>
      </c>
      <c r="AK445" t="str">
        <f t="shared" si="129"/>
        <v>WI</v>
      </c>
    </row>
    <row r="446" spans="18:37" x14ac:dyDescent="0.25">
      <c r="S446">
        <v>188</v>
      </c>
      <c r="T446">
        <f t="shared" si="125"/>
        <v>129</v>
      </c>
      <c r="U446">
        <f t="shared" si="130"/>
        <v>26053</v>
      </c>
      <c r="V446">
        <f t="shared" ca="1" si="131"/>
        <v>0</v>
      </c>
      <c r="W446">
        <v>107</v>
      </c>
      <c r="X446" t="str">
        <f t="shared" ca="1" si="132"/>
        <v/>
      </c>
      <c r="Y446" t="s">
        <v>32</v>
      </c>
      <c r="Z446">
        <f t="shared" ca="1" si="133"/>
        <v>0</v>
      </c>
      <c r="AA446" t="str">
        <f t="shared" ca="1" si="134"/>
        <v>SPPN</v>
      </c>
      <c r="AB446">
        <f t="shared" ca="1" si="135"/>
        <v>1</v>
      </c>
      <c r="AC446">
        <f t="shared" ca="1" si="136"/>
        <v>0</v>
      </c>
      <c r="AD446" t="str">
        <f t="shared" si="126"/>
        <v>4093RN153</v>
      </c>
      <c r="AE446">
        <f t="shared" ca="1" si="137"/>
        <v>0</v>
      </c>
      <c r="AF446" t="str">
        <f t="shared" ca="1" si="138"/>
        <v/>
      </c>
      <c r="AG446">
        <v>107</v>
      </c>
      <c r="AH446" t="s">
        <v>136</v>
      </c>
      <c r="AI446" t="str">
        <f t="shared" si="127"/>
        <v>Lutheran Home 25</v>
      </c>
      <c r="AJ446" t="str">
        <f t="shared" si="128"/>
        <v>Green Bay</v>
      </c>
      <c r="AK446" t="str">
        <f t="shared" si="129"/>
        <v>WI</v>
      </c>
    </row>
    <row r="447" spans="18:37" x14ac:dyDescent="0.25">
      <c r="R447">
        <v>1</v>
      </c>
      <c r="S447">
        <v>189</v>
      </c>
      <c r="T447">
        <f t="shared" si="125"/>
        <v>129</v>
      </c>
      <c r="U447">
        <f t="shared" si="130"/>
        <v>26053</v>
      </c>
      <c r="V447">
        <f t="shared" ca="1" si="131"/>
        <v>0</v>
      </c>
      <c r="W447">
        <v>108</v>
      </c>
      <c r="X447" t="str">
        <f t="shared" ca="1" si="132"/>
        <v/>
      </c>
      <c r="Y447" t="s">
        <v>9</v>
      </c>
      <c r="Z447">
        <f t="shared" ca="1" si="133"/>
        <v>0</v>
      </c>
      <c r="AA447" t="str">
        <f t="shared" ca="1" si="134"/>
        <v>SPPN</v>
      </c>
      <c r="AB447">
        <f t="shared" ca="1" si="135"/>
        <v>1</v>
      </c>
      <c r="AC447" t="str">
        <f t="shared" ca="1" si="136"/>
        <v/>
      </c>
      <c r="AD447" t="str">
        <f t="shared" si="126"/>
        <v>4093RN153</v>
      </c>
      <c r="AE447">
        <f t="shared" ca="1" si="137"/>
        <v>0</v>
      </c>
      <c r="AF447" t="str">
        <f t="shared" ca="1" si="138"/>
        <v/>
      </c>
      <c r="AG447">
        <v>108</v>
      </c>
      <c r="AH447" t="s">
        <v>136</v>
      </c>
      <c r="AI447" t="str">
        <f t="shared" si="127"/>
        <v>Lutheran Home 25</v>
      </c>
      <c r="AJ447" t="str">
        <f t="shared" si="128"/>
        <v>Green Bay</v>
      </c>
      <c r="AK447" t="str">
        <f t="shared" si="129"/>
        <v>WI</v>
      </c>
    </row>
    <row r="448" spans="18:37" x14ac:dyDescent="0.25">
      <c r="S448">
        <v>190</v>
      </c>
      <c r="T448">
        <f t="shared" si="125"/>
        <v>129</v>
      </c>
      <c r="U448">
        <f t="shared" si="130"/>
        <v>26053</v>
      </c>
      <c r="V448">
        <f t="shared" ca="1" si="131"/>
        <v>0</v>
      </c>
      <c r="W448">
        <v>108</v>
      </c>
      <c r="X448" t="str">
        <f t="shared" ca="1" si="132"/>
        <v/>
      </c>
      <c r="Y448" t="s">
        <v>33</v>
      </c>
      <c r="Z448">
        <f t="shared" ca="1" si="133"/>
        <v>0</v>
      </c>
      <c r="AA448" t="str">
        <f t="shared" ca="1" si="134"/>
        <v>SPPN</v>
      </c>
      <c r="AB448">
        <f t="shared" ca="1" si="135"/>
        <v>1</v>
      </c>
      <c r="AC448" t="str">
        <f t="shared" ca="1" si="136"/>
        <v/>
      </c>
      <c r="AD448" t="str">
        <f t="shared" si="126"/>
        <v>4093RN153</v>
      </c>
      <c r="AE448">
        <f t="shared" ca="1" si="137"/>
        <v>0</v>
      </c>
      <c r="AF448" t="str">
        <f t="shared" ca="1" si="138"/>
        <v/>
      </c>
      <c r="AG448">
        <v>108</v>
      </c>
      <c r="AH448" t="s">
        <v>136</v>
      </c>
      <c r="AI448" t="str">
        <f t="shared" si="127"/>
        <v>Lutheran Home 25</v>
      </c>
      <c r="AJ448" t="str">
        <f t="shared" si="128"/>
        <v>Green Bay</v>
      </c>
      <c r="AK448" t="str">
        <f t="shared" si="129"/>
        <v>WI</v>
      </c>
    </row>
    <row r="449" spans="18:37" x14ac:dyDescent="0.25">
      <c r="S449">
        <v>191</v>
      </c>
      <c r="T449">
        <f t="shared" si="125"/>
        <v>129</v>
      </c>
      <c r="U449">
        <f t="shared" si="130"/>
        <v>26053</v>
      </c>
      <c r="V449">
        <f t="shared" ca="1" si="131"/>
        <v>0</v>
      </c>
      <c r="W449">
        <v>108</v>
      </c>
      <c r="X449" t="str">
        <f t="shared" ca="1" si="132"/>
        <v/>
      </c>
      <c r="Y449" t="s">
        <v>28</v>
      </c>
      <c r="Z449">
        <f t="shared" ca="1" si="133"/>
        <v>0</v>
      </c>
      <c r="AA449" t="str">
        <f t="shared" ca="1" si="134"/>
        <v>SPPN</v>
      </c>
      <c r="AB449">
        <f t="shared" ca="1" si="135"/>
        <v>1</v>
      </c>
      <c r="AC449">
        <f t="shared" ca="1" si="136"/>
        <v>0</v>
      </c>
      <c r="AD449" t="str">
        <f t="shared" si="126"/>
        <v>4093RN153</v>
      </c>
      <c r="AE449">
        <f t="shared" ca="1" si="137"/>
        <v>0</v>
      </c>
      <c r="AF449" t="str">
        <f t="shared" ca="1" si="138"/>
        <v/>
      </c>
      <c r="AG449">
        <v>108</v>
      </c>
      <c r="AH449" t="s">
        <v>136</v>
      </c>
      <c r="AI449" t="str">
        <f t="shared" si="127"/>
        <v>Lutheran Home 25</v>
      </c>
      <c r="AJ449" t="str">
        <f t="shared" si="128"/>
        <v>Green Bay</v>
      </c>
      <c r="AK449" t="str">
        <f t="shared" si="129"/>
        <v>WI</v>
      </c>
    </row>
    <row r="450" spans="18:37" x14ac:dyDescent="0.25">
      <c r="S450">
        <v>192</v>
      </c>
      <c r="T450">
        <f t="shared" si="125"/>
        <v>129</v>
      </c>
      <c r="U450">
        <f t="shared" si="130"/>
        <v>26053</v>
      </c>
      <c r="V450">
        <f t="shared" ca="1" si="131"/>
        <v>0</v>
      </c>
      <c r="W450">
        <v>108</v>
      </c>
      <c r="X450" t="str">
        <f t="shared" ca="1" si="132"/>
        <v/>
      </c>
      <c r="Y450" t="s">
        <v>32</v>
      </c>
      <c r="Z450">
        <f t="shared" ca="1" si="133"/>
        <v>0</v>
      </c>
      <c r="AA450" t="str">
        <f t="shared" ca="1" si="134"/>
        <v>SPPN</v>
      </c>
      <c r="AB450">
        <f t="shared" ca="1" si="135"/>
        <v>1</v>
      </c>
      <c r="AC450">
        <f t="shared" ca="1" si="136"/>
        <v>0</v>
      </c>
      <c r="AD450" t="str">
        <f t="shared" si="126"/>
        <v>4093RN153</v>
      </c>
      <c r="AE450">
        <f t="shared" ca="1" si="137"/>
        <v>0</v>
      </c>
      <c r="AF450" t="str">
        <f t="shared" ca="1" si="138"/>
        <v/>
      </c>
      <c r="AG450">
        <v>108</v>
      </c>
      <c r="AH450" t="s">
        <v>136</v>
      </c>
      <c r="AI450" t="str">
        <f t="shared" si="127"/>
        <v>Lutheran Home 25</v>
      </c>
      <c r="AJ450" t="str">
        <f t="shared" si="128"/>
        <v>Green Bay</v>
      </c>
      <c r="AK450" t="str">
        <f t="shared" si="129"/>
        <v>WI</v>
      </c>
    </row>
    <row r="451" spans="18:37" x14ac:dyDescent="0.25">
      <c r="R451">
        <v>1</v>
      </c>
      <c r="S451">
        <v>193</v>
      </c>
      <c r="T451">
        <f t="shared" si="125"/>
        <v>129</v>
      </c>
      <c r="U451">
        <f t="shared" si="130"/>
        <v>26053</v>
      </c>
      <c r="V451">
        <f t="shared" ca="1" si="131"/>
        <v>0</v>
      </c>
      <c r="W451">
        <v>109</v>
      </c>
      <c r="X451" t="str">
        <f t="shared" ca="1" si="132"/>
        <v/>
      </c>
      <c r="Y451" t="s">
        <v>9</v>
      </c>
      <c r="Z451">
        <f t="shared" ca="1" si="133"/>
        <v>0</v>
      </c>
      <c r="AA451" t="str">
        <f t="shared" ca="1" si="134"/>
        <v>SPPN</v>
      </c>
      <c r="AB451">
        <f t="shared" ca="1" si="135"/>
        <v>1</v>
      </c>
      <c r="AC451" t="str">
        <f t="shared" ca="1" si="136"/>
        <v/>
      </c>
      <c r="AD451" t="str">
        <f t="shared" si="126"/>
        <v>4093RN153</v>
      </c>
      <c r="AE451">
        <f t="shared" ca="1" si="137"/>
        <v>0</v>
      </c>
      <c r="AF451" t="str">
        <f t="shared" ca="1" si="138"/>
        <v/>
      </c>
      <c r="AG451">
        <v>109</v>
      </c>
      <c r="AH451" t="s">
        <v>136</v>
      </c>
      <c r="AI451" t="str">
        <f t="shared" si="127"/>
        <v>Lutheran Home 25</v>
      </c>
      <c r="AJ451" t="str">
        <f t="shared" si="128"/>
        <v>Green Bay</v>
      </c>
      <c r="AK451" t="str">
        <f t="shared" si="129"/>
        <v>WI</v>
      </c>
    </row>
    <row r="452" spans="18:37" x14ac:dyDescent="0.25">
      <c r="S452">
        <v>194</v>
      </c>
      <c r="T452">
        <f t="shared" si="125"/>
        <v>129</v>
      </c>
      <c r="U452">
        <f t="shared" si="130"/>
        <v>26053</v>
      </c>
      <c r="V452">
        <f t="shared" ca="1" si="131"/>
        <v>0</v>
      </c>
      <c r="W452">
        <v>109</v>
      </c>
      <c r="X452" t="str">
        <f t="shared" ca="1" si="132"/>
        <v/>
      </c>
      <c r="Y452" t="s">
        <v>33</v>
      </c>
      <c r="Z452">
        <f t="shared" ca="1" si="133"/>
        <v>0</v>
      </c>
      <c r="AA452" t="str">
        <f t="shared" ca="1" si="134"/>
        <v>SPPN</v>
      </c>
      <c r="AB452">
        <f t="shared" ca="1" si="135"/>
        <v>1</v>
      </c>
      <c r="AC452" t="str">
        <f t="shared" ca="1" si="136"/>
        <v/>
      </c>
      <c r="AD452" t="str">
        <f t="shared" si="126"/>
        <v>4093RN153</v>
      </c>
      <c r="AE452">
        <f t="shared" ca="1" si="137"/>
        <v>0</v>
      </c>
      <c r="AF452" t="str">
        <f t="shared" ca="1" si="138"/>
        <v/>
      </c>
      <c r="AG452">
        <v>109</v>
      </c>
      <c r="AH452" t="s">
        <v>136</v>
      </c>
      <c r="AI452" t="str">
        <f t="shared" si="127"/>
        <v>Lutheran Home 25</v>
      </c>
      <c r="AJ452" t="str">
        <f t="shared" si="128"/>
        <v>Green Bay</v>
      </c>
      <c r="AK452" t="str">
        <f t="shared" si="129"/>
        <v>WI</v>
      </c>
    </row>
    <row r="453" spans="18:37" x14ac:dyDescent="0.25">
      <c r="S453">
        <v>195</v>
      </c>
      <c r="T453">
        <f t="shared" si="125"/>
        <v>129</v>
      </c>
      <c r="U453">
        <f t="shared" si="130"/>
        <v>26053</v>
      </c>
      <c r="V453">
        <f t="shared" ca="1" si="131"/>
        <v>0</v>
      </c>
      <c r="W453">
        <v>109</v>
      </c>
      <c r="X453" t="str">
        <f t="shared" ca="1" si="132"/>
        <v/>
      </c>
      <c r="Y453" t="s">
        <v>28</v>
      </c>
      <c r="Z453">
        <f t="shared" ca="1" si="133"/>
        <v>0</v>
      </c>
      <c r="AA453" t="str">
        <f t="shared" ca="1" si="134"/>
        <v>SPPN</v>
      </c>
      <c r="AB453">
        <f t="shared" ca="1" si="135"/>
        <v>1</v>
      </c>
      <c r="AC453">
        <f t="shared" ca="1" si="136"/>
        <v>0</v>
      </c>
      <c r="AD453" t="str">
        <f t="shared" si="126"/>
        <v>4093RN153</v>
      </c>
      <c r="AE453">
        <f t="shared" ca="1" si="137"/>
        <v>0</v>
      </c>
      <c r="AF453" t="str">
        <f t="shared" ca="1" si="138"/>
        <v/>
      </c>
      <c r="AG453">
        <v>109</v>
      </c>
      <c r="AH453" t="s">
        <v>136</v>
      </c>
      <c r="AI453" t="str">
        <f t="shared" si="127"/>
        <v>Lutheran Home 25</v>
      </c>
      <c r="AJ453" t="str">
        <f t="shared" si="128"/>
        <v>Green Bay</v>
      </c>
      <c r="AK453" t="str">
        <f t="shared" si="129"/>
        <v>WI</v>
      </c>
    </row>
    <row r="454" spans="18:37" x14ac:dyDescent="0.25">
      <c r="S454">
        <v>196</v>
      </c>
      <c r="T454">
        <f t="shared" si="125"/>
        <v>129</v>
      </c>
      <c r="U454">
        <f t="shared" si="130"/>
        <v>26053</v>
      </c>
      <c r="V454">
        <f t="shared" ca="1" si="131"/>
        <v>0</v>
      </c>
      <c r="W454">
        <v>109</v>
      </c>
      <c r="X454" t="str">
        <f t="shared" ca="1" si="132"/>
        <v/>
      </c>
      <c r="Y454" t="s">
        <v>32</v>
      </c>
      <c r="Z454">
        <f t="shared" ca="1" si="133"/>
        <v>0</v>
      </c>
      <c r="AA454" t="str">
        <f t="shared" ca="1" si="134"/>
        <v>SPPN</v>
      </c>
      <c r="AB454">
        <f t="shared" ca="1" si="135"/>
        <v>1</v>
      </c>
      <c r="AC454">
        <f t="shared" ca="1" si="136"/>
        <v>0</v>
      </c>
      <c r="AD454" t="str">
        <f t="shared" si="126"/>
        <v>4093RN153</v>
      </c>
      <c r="AE454">
        <f t="shared" ca="1" si="137"/>
        <v>0</v>
      </c>
      <c r="AF454" t="str">
        <f t="shared" ca="1" si="138"/>
        <v/>
      </c>
      <c r="AG454">
        <v>109</v>
      </c>
      <c r="AH454" t="s">
        <v>136</v>
      </c>
      <c r="AI454" t="str">
        <f t="shared" si="127"/>
        <v>Lutheran Home 25</v>
      </c>
      <c r="AJ454" t="str">
        <f t="shared" si="128"/>
        <v>Green Bay</v>
      </c>
      <c r="AK454" t="str">
        <f t="shared" si="129"/>
        <v>WI</v>
      </c>
    </row>
    <row r="455" spans="18:37" x14ac:dyDescent="0.25">
      <c r="R455">
        <v>1</v>
      </c>
      <c r="S455">
        <v>197</v>
      </c>
      <c r="T455">
        <f t="shared" si="125"/>
        <v>129</v>
      </c>
      <c r="U455">
        <f t="shared" si="130"/>
        <v>26053</v>
      </c>
      <c r="V455">
        <f t="shared" ca="1" si="131"/>
        <v>0</v>
      </c>
      <c r="W455">
        <v>110</v>
      </c>
      <c r="X455" t="str">
        <f t="shared" ca="1" si="132"/>
        <v/>
      </c>
      <c r="Y455" t="s">
        <v>9</v>
      </c>
      <c r="Z455">
        <f t="shared" ca="1" si="133"/>
        <v>0</v>
      </c>
      <c r="AA455" t="str">
        <f t="shared" ca="1" si="134"/>
        <v>SPPN</v>
      </c>
      <c r="AB455">
        <f t="shared" ca="1" si="135"/>
        <v>1</v>
      </c>
      <c r="AC455" t="str">
        <f t="shared" ca="1" si="136"/>
        <v/>
      </c>
      <c r="AD455" t="str">
        <f t="shared" si="126"/>
        <v>4093RN153</v>
      </c>
      <c r="AE455">
        <f t="shared" ca="1" si="137"/>
        <v>0</v>
      </c>
      <c r="AF455" t="str">
        <f t="shared" ca="1" si="138"/>
        <v/>
      </c>
      <c r="AG455">
        <v>110</v>
      </c>
      <c r="AH455" t="s">
        <v>136</v>
      </c>
      <c r="AI455" t="str">
        <f t="shared" si="127"/>
        <v>Lutheran Home 25</v>
      </c>
      <c r="AJ455" t="str">
        <f t="shared" si="128"/>
        <v>Green Bay</v>
      </c>
      <c r="AK455" t="str">
        <f t="shared" si="129"/>
        <v>WI</v>
      </c>
    </row>
    <row r="456" spans="18:37" x14ac:dyDescent="0.25">
      <c r="S456">
        <v>198</v>
      </c>
      <c r="T456">
        <f t="shared" si="125"/>
        <v>129</v>
      </c>
      <c r="U456">
        <f t="shared" si="130"/>
        <v>26053</v>
      </c>
      <c r="V456">
        <f t="shared" ca="1" si="131"/>
        <v>0</v>
      </c>
      <c r="W456">
        <v>110</v>
      </c>
      <c r="X456" t="str">
        <f t="shared" ca="1" si="132"/>
        <v/>
      </c>
      <c r="Y456" t="s">
        <v>33</v>
      </c>
      <c r="Z456">
        <f t="shared" ca="1" si="133"/>
        <v>0</v>
      </c>
      <c r="AA456" t="str">
        <f t="shared" ca="1" si="134"/>
        <v>SPPN</v>
      </c>
      <c r="AB456">
        <f t="shared" ca="1" si="135"/>
        <v>1</v>
      </c>
      <c r="AC456" t="str">
        <f t="shared" ca="1" si="136"/>
        <v/>
      </c>
      <c r="AD456" t="str">
        <f t="shared" si="126"/>
        <v>4093RN153</v>
      </c>
      <c r="AE456">
        <f t="shared" ca="1" si="137"/>
        <v>0</v>
      </c>
      <c r="AF456" t="str">
        <f t="shared" ca="1" si="138"/>
        <v/>
      </c>
      <c r="AG456">
        <v>110</v>
      </c>
      <c r="AH456" t="s">
        <v>136</v>
      </c>
      <c r="AI456" t="str">
        <f t="shared" si="127"/>
        <v>Lutheran Home 25</v>
      </c>
      <c r="AJ456" t="str">
        <f t="shared" si="128"/>
        <v>Green Bay</v>
      </c>
      <c r="AK456" t="str">
        <f t="shared" si="129"/>
        <v>WI</v>
      </c>
    </row>
    <row r="457" spans="18:37" x14ac:dyDescent="0.25">
      <c r="S457">
        <v>199</v>
      </c>
      <c r="T457">
        <f t="shared" si="125"/>
        <v>129</v>
      </c>
      <c r="U457">
        <f t="shared" si="130"/>
        <v>26053</v>
      </c>
      <c r="V457">
        <f t="shared" ca="1" si="131"/>
        <v>0</v>
      </c>
      <c r="W457">
        <v>110</v>
      </c>
      <c r="X457" t="str">
        <f t="shared" ca="1" si="132"/>
        <v/>
      </c>
      <c r="Y457" t="s">
        <v>28</v>
      </c>
      <c r="Z457">
        <f t="shared" ca="1" si="133"/>
        <v>0</v>
      </c>
      <c r="AA457" t="str">
        <f t="shared" ca="1" si="134"/>
        <v>SPPN</v>
      </c>
      <c r="AB457">
        <f t="shared" ca="1" si="135"/>
        <v>1</v>
      </c>
      <c r="AC457">
        <f t="shared" ca="1" si="136"/>
        <v>0</v>
      </c>
      <c r="AD457" t="str">
        <f t="shared" si="126"/>
        <v>4093RN153</v>
      </c>
      <c r="AE457">
        <f t="shared" ca="1" si="137"/>
        <v>0</v>
      </c>
      <c r="AF457" t="str">
        <f t="shared" ca="1" si="138"/>
        <v/>
      </c>
      <c r="AG457">
        <v>110</v>
      </c>
      <c r="AH457" t="s">
        <v>136</v>
      </c>
      <c r="AI457" t="str">
        <f t="shared" si="127"/>
        <v>Lutheran Home 25</v>
      </c>
      <c r="AJ457" t="str">
        <f t="shared" si="128"/>
        <v>Green Bay</v>
      </c>
      <c r="AK457" t="str">
        <f t="shared" si="129"/>
        <v>WI</v>
      </c>
    </row>
    <row r="458" spans="18:37" x14ac:dyDescent="0.25">
      <c r="S458">
        <v>200</v>
      </c>
      <c r="T458">
        <f t="shared" si="125"/>
        <v>129</v>
      </c>
      <c r="U458">
        <f t="shared" si="130"/>
        <v>26053</v>
      </c>
      <c r="V458">
        <f t="shared" ca="1" si="131"/>
        <v>0</v>
      </c>
      <c r="W458">
        <v>110</v>
      </c>
      <c r="X458" t="str">
        <f t="shared" ca="1" si="132"/>
        <v/>
      </c>
      <c r="Y458" t="s">
        <v>32</v>
      </c>
      <c r="Z458">
        <f t="shared" ca="1" si="133"/>
        <v>0</v>
      </c>
      <c r="AA458" t="str">
        <f t="shared" ca="1" si="134"/>
        <v>SPPN</v>
      </c>
      <c r="AB458">
        <f t="shared" ca="1" si="135"/>
        <v>1</v>
      </c>
      <c r="AC458">
        <f t="shared" ca="1" si="136"/>
        <v>0</v>
      </c>
      <c r="AD458" t="str">
        <f t="shared" si="126"/>
        <v>4093RN153</v>
      </c>
      <c r="AE458">
        <f t="shared" ca="1" si="137"/>
        <v>0</v>
      </c>
      <c r="AF458" t="str">
        <f t="shared" ca="1" si="138"/>
        <v/>
      </c>
      <c r="AG458">
        <v>110</v>
      </c>
      <c r="AH458" t="s">
        <v>136</v>
      </c>
      <c r="AI458" t="str">
        <f t="shared" si="127"/>
        <v>Lutheran Home 25</v>
      </c>
      <c r="AJ458" t="str">
        <f t="shared" si="128"/>
        <v>Green Bay</v>
      </c>
      <c r="AK458" t="str">
        <f t="shared" si="129"/>
        <v>WI</v>
      </c>
    </row>
    <row r="459" spans="18:37" x14ac:dyDescent="0.25">
      <c r="R459">
        <v>1</v>
      </c>
      <c r="S459">
        <v>201</v>
      </c>
      <c r="T459">
        <f t="shared" si="125"/>
        <v>129</v>
      </c>
      <c r="U459">
        <f t="shared" si="130"/>
        <v>26053</v>
      </c>
      <c r="V459">
        <f t="shared" ca="1" si="131"/>
        <v>0</v>
      </c>
      <c r="W459">
        <v>111</v>
      </c>
      <c r="X459" t="str">
        <f t="shared" ca="1" si="132"/>
        <v/>
      </c>
      <c r="Y459" t="s">
        <v>9</v>
      </c>
      <c r="Z459">
        <f t="shared" ca="1" si="133"/>
        <v>0</v>
      </c>
      <c r="AA459" t="str">
        <f t="shared" ca="1" si="134"/>
        <v>SPPN</v>
      </c>
      <c r="AB459">
        <f t="shared" ca="1" si="135"/>
        <v>1</v>
      </c>
      <c r="AC459" t="str">
        <f t="shared" ca="1" si="136"/>
        <v/>
      </c>
      <c r="AD459" t="str">
        <f t="shared" si="126"/>
        <v>4093RN153</v>
      </c>
      <c r="AE459">
        <f t="shared" ca="1" si="137"/>
        <v>0</v>
      </c>
      <c r="AF459" t="str">
        <f t="shared" ca="1" si="138"/>
        <v/>
      </c>
      <c r="AG459">
        <v>111</v>
      </c>
      <c r="AH459" t="s">
        <v>136</v>
      </c>
      <c r="AI459" t="str">
        <f t="shared" si="127"/>
        <v>Lutheran Home 25</v>
      </c>
      <c r="AJ459" t="str">
        <f t="shared" si="128"/>
        <v>Green Bay</v>
      </c>
      <c r="AK459" t="str">
        <f t="shared" si="129"/>
        <v>WI</v>
      </c>
    </row>
    <row r="460" spans="18:37" x14ac:dyDescent="0.25">
      <c r="S460">
        <v>202</v>
      </c>
      <c r="T460">
        <f t="shared" si="125"/>
        <v>129</v>
      </c>
      <c r="U460">
        <f t="shared" si="130"/>
        <v>26053</v>
      </c>
      <c r="V460">
        <f t="shared" ca="1" si="131"/>
        <v>0</v>
      </c>
      <c r="W460">
        <v>111</v>
      </c>
      <c r="X460" t="str">
        <f t="shared" ca="1" si="132"/>
        <v/>
      </c>
      <c r="Y460" t="s">
        <v>33</v>
      </c>
      <c r="Z460">
        <f t="shared" ca="1" si="133"/>
        <v>0</v>
      </c>
      <c r="AA460" t="str">
        <f t="shared" ca="1" si="134"/>
        <v>SPPN</v>
      </c>
      <c r="AB460">
        <f t="shared" ca="1" si="135"/>
        <v>1</v>
      </c>
      <c r="AC460" t="str">
        <f t="shared" ca="1" si="136"/>
        <v/>
      </c>
      <c r="AD460" t="str">
        <f t="shared" si="126"/>
        <v>4093RN153</v>
      </c>
      <c r="AE460">
        <f t="shared" ca="1" si="137"/>
        <v>0</v>
      </c>
      <c r="AF460" t="str">
        <f t="shared" ca="1" si="138"/>
        <v/>
      </c>
      <c r="AG460">
        <v>111</v>
      </c>
      <c r="AH460" t="s">
        <v>136</v>
      </c>
      <c r="AI460" t="str">
        <f t="shared" si="127"/>
        <v>Lutheran Home 25</v>
      </c>
      <c r="AJ460" t="str">
        <f t="shared" si="128"/>
        <v>Green Bay</v>
      </c>
      <c r="AK460" t="str">
        <f t="shared" si="129"/>
        <v>WI</v>
      </c>
    </row>
    <row r="461" spans="18:37" x14ac:dyDescent="0.25">
      <c r="S461">
        <v>203</v>
      </c>
      <c r="T461">
        <f t="shared" si="125"/>
        <v>129</v>
      </c>
      <c r="U461">
        <f t="shared" si="130"/>
        <v>26053</v>
      </c>
      <c r="V461">
        <f t="shared" ca="1" si="131"/>
        <v>0</v>
      </c>
      <c r="W461">
        <v>111</v>
      </c>
      <c r="X461" t="str">
        <f t="shared" ca="1" si="132"/>
        <v/>
      </c>
      <c r="Y461" t="s">
        <v>28</v>
      </c>
      <c r="Z461">
        <f t="shared" ca="1" si="133"/>
        <v>0</v>
      </c>
      <c r="AA461" t="str">
        <f t="shared" ca="1" si="134"/>
        <v>SPPN</v>
      </c>
      <c r="AB461">
        <f t="shared" ca="1" si="135"/>
        <v>1</v>
      </c>
      <c r="AC461">
        <f t="shared" ca="1" si="136"/>
        <v>0</v>
      </c>
      <c r="AD461" t="str">
        <f t="shared" si="126"/>
        <v>4093RN153</v>
      </c>
      <c r="AE461">
        <f t="shared" ca="1" si="137"/>
        <v>0</v>
      </c>
      <c r="AF461" t="str">
        <f t="shared" ca="1" si="138"/>
        <v/>
      </c>
      <c r="AG461">
        <v>111</v>
      </c>
      <c r="AH461" t="s">
        <v>136</v>
      </c>
      <c r="AI461" t="str">
        <f t="shared" si="127"/>
        <v>Lutheran Home 25</v>
      </c>
      <c r="AJ461" t="str">
        <f t="shared" si="128"/>
        <v>Green Bay</v>
      </c>
      <c r="AK461" t="str">
        <f t="shared" si="129"/>
        <v>WI</v>
      </c>
    </row>
    <row r="462" spans="18:37" x14ac:dyDescent="0.25">
      <c r="S462">
        <v>204</v>
      </c>
      <c r="T462">
        <f t="shared" si="125"/>
        <v>129</v>
      </c>
      <c r="U462">
        <f t="shared" si="130"/>
        <v>26053</v>
      </c>
      <c r="V462">
        <f t="shared" ca="1" si="131"/>
        <v>0</v>
      </c>
      <c r="W462">
        <v>111</v>
      </c>
      <c r="X462" t="str">
        <f t="shared" ca="1" si="132"/>
        <v/>
      </c>
      <c r="Y462" t="s">
        <v>32</v>
      </c>
      <c r="Z462">
        <f t="shared" ca="1" si="133"/>
        <v>0</v>
      </c>
      <c r="AA462" t="str">
        <f t="shared" ca="1" si="134"/>
        <v>SPPN</v>
      </c>
      <c r="AB462">
        <f t="shared" ca="1" si="135"/>
        <v>1</v>
      </c>
      <c r="AC462">
        <f t="shared" ca="1" si="136"/>
        <v>0</v>
      </c>
      <c r="AD462" t="str">
        <f t="shared" si="126"/>
        <v>4093RN153</v>
      </c>
      <c r="AE462">
        <f t="shared" ca="1" si="137"/>
        <v>0</v>
      </c>
      <c r="AF462" t="str">
        <f t="shared" ca="1" si="138"/>
        <v/>
      </c>
      <c r="AG462">
        <v>111</v>
      </c>
      <c r="AH462" t="s">
        <v>136</v>
      </c>
      <c r="AI462" t="str">
        <f t="shared" si="127"/>
        <v>Lutheran Home 25</v>
      </c>
      <c r="AJ462" t="str">
        <f t="shared" si="128"/>
        <v>Green Bay</v>
      </c>
      <c r="AK462" t="str">
        <f t="shared" si="129"/>
        <v>WI</v>
      </c>
    </row>
    <row r="463" spans="18:37" x14ac:dyDescent="0.25">
      <c r="R463">
        <v>1</v>
      </c>
      <c r="S463">
        <v>205</v>
      </c>
      <c r="T463">
        <f t="shared" si="125"/>
        <v>129</v>
      </c>
      <c r="U463">
        <f t="shared" si="130"/>
        <v>26053</v>
      </c>
      <c r="V463">
        <f t="shared" ca="1" si="131"/>
        <v>0</v>
      </c>
      <c r="W463">
        <v>112</v>
      </c>
      <c r="X463" t="str">
        <f t="shared" ca="1" si="132"/>
        <v/>
      </c>
      <c r="Y463" t="s">
        <v>9</v>
      </c>
      <c r="Z463">
        <f t="shared" ca="1" si="133"/>
        <v>0</v>
      </c>
      <c r="AA463" t="str">
        <f t="shared" ca="1" si="134"/>
        <v>SPPN</v>
      </c>
      <c r="AB463">
        <f t="shared" ca="1" si="135"/>
        <v>1</v>
      </c>
      <c r="AC463" t="str">
        <f t="shared" ca="1" si="136"/>
        <v/>
      </c>
      <c r="AD463" t="str">
        <f t="shared" si="126"/>
        <v>4093RN153</v>
      </c>
      <c r="AE463">
        <f t="shared" ca="1" si="137"/>
        <v>0</v>
      </c>
      <c r="AF463" t="str">
        <f t="shared" ca="1" si="138"/>
        <v/>
      </c>
      <c r="AG463">
        <v>112</v>
      </c>
      <c r="AH463" t="s">
        <v>136</v>
      </c>
      <c r="AI463" t="str">
        <f t="shared" si="127"/>
        <v>Lutheran Home 25</v>
      </c>
      <c r="AJ463" t="str">
        <f t="shared" si="128"/>
        <v>Green Bay</v>
      </c>
      <c r="AK463" t="str">
        <f t="shared" si="129"/>
        <v>WI</v>
      </c>
    </row>
    <row r="464" spans="18:37" x14ac:dyDescent="0.25">
      <c r="S464">
        <v>206</v>
      </c>
      <c r="T464">
        <f t="shared" si="125"/>
        <v>129</v>
      </c>
      <c r="U464">
        <f t="shared" si="130"/>
        <v>26053</v>
      </c>
      <c r="V464">
        <f t="shared" ca="1" si="131"/>
        <v>0</v>
      </c>
      <c r="W464">
        <v>112</v>
      </c>
      <c r="X464" t="str">
        <f t="shared" ca="1" si="132"/>
        <v/>
      </c>
      <c r="Y464" t="s">
        <v>33</v>
      </c>
      <c r="Z464">
        <f t="shared" ca="1" si="133"/>
        <v>0</v>
      </c>
      <c r="AA464" t="str">
        <f t="shared" ca="1" si="134"/>
        <v>SPPN</v>
      </c>
      <c r="AB464">
        <f t="shared" ca="1" si="135"/>
        <v>1</v>
      </c>
      <c r="AC464" t="str">
        <f t="shared" ca="1" si="136"/>
        <v/>
      </c>
      <c r="AD464" t="str">
        <f t="shared" si="126"/>
        <v>4093RN153</v>
      </c>
      <c r="AE464">
        <f t="shared" ca="1" si="137"/>
        <v>0</v>
      </c>
      <c r="AF464" t="str">
        <f t="shared" ca="1" si="138"/>
        <v/>
      </c>
      <c r="AG464">
        <v>112</v>
      </c>
      <c r="AH464" t="s">
        <v>136</v>
      </c>
      <c r="AI464" t="str">
        <f t="shared" si="127"/>
        <v>Lutheran Home 25</v>
      </c>
      <c r="AJ464" t="str">
        <f t="shared" si="128"/>
        <v>Green Bay</v>
      </c>
      <c r="AK464" t="str">
        <f t="shared" si="129"/>
        <v>WI</v>
      </c>
    </row>
    <row r="465" spans="18:37" x14ac:dyDescent="0.25">
      <c r="S465">
        <v>207</v>
      </c>
      <c r="T465">
        <f t="shared" si="125"/>
        <v>129</v>
      </c>
      <c r="U465">
        <f t="shared" si="130"/>
        <v>26053</v>
      </c>
      <c r="V465">
        <f t="shared" ca="1" si="131"/>
        <v>0</v>
      </c>
      <c r="W465">
        <v>112</v>
      </c>
      <c r="X465" t="str">
        <f t="shared" ca="1" si="132"/>
        <v/>
      </c>
      <c r="Y465" t="s">
        <v>28</v>
      </c>
      <c r="Z465">
        <f t="shared" ca="1" si="133"/>
        <v>0</v>
      </c>
      <c r="AA465" t="str">
        <f t="shared" ca="1" si="134"/>
        <v>SPPN</v>
      </c>
      <c r="AB465">
        <f t="shared" ca="1" si="135"/>
        <v>1</v>
      </c>
      <c r="AC465">
        <f t="shared" ca="1" si="136"/>
        <v>0</v>
      </c>
      <c r="AD465" t="str">
        <f t="shared" si="126"/>
        <v>4093RN153</v>
      </c>
      <c r="AE465">
        <f t="shared" ca="1" si="137"/>
        <v>0</v>
      </c>
      <c r="AF465" t="str">
        <f t="shared" ca="1" si="138"/>
        <v/>
      </c>
      <c r="AG465">
        <v>112</v>
      </c>
      <c r="AH465" t="s">
        <v>136</v>
      </c>
      <c r="AI465" t="str">
        <f t="shared" si="127"/>
        <v>Lutheran Home 25</v>
      </c>
      <c r="AJ465" t="str">
        <f t="shared" si="128"/>
        <v>Green Bay</v>
      </c>
      <c r="AK465" t="str">
        <f t="shared" si="129"/>
        <v>WI</v>
      </c>
    </row>
    <row r="466" spans="18:37" x14ac:dyDescent="0.25">
      <c r="S466">
        <v>208</v>
      </c>
      <c r="T466">
        <f t="shared" si="125"/>
        <v>129</v>
      </c>
      <c r="U466">
        <f t="shared" si="130"/>
        <v>26053</v>
      </c>
      <c r="V466">
        <f t="shared" ca="1" si="131"/>
        <v>0</v>
      </c>
      <c r="W466">
        <v>112</v>
      </c>
      <c r="X466" t="str">
        <f t="shared" ca="1" si="132"/>
        <v/>
      </c>
      <c r="Y466" t="s">
        <v>32</v>
      </c>
      <c r="Z466">
        <f t="shared" ca="1" si="133"/>
        <v>0</v>
      </c>
      <c r="AA466" t="str">
        <f t="shared" ca="1" si="134"/>
        <v>SPPN</v>
      </c>
      <c r="AB466">
        <f t="shared" ca="1" si="135"/>
        <v>1</v>
      </c>
      <c r="AC466">
        <f t="shared" ca="1" si="136"/>
        <v>0</v>
      </c>
      <c r="AD466" t="str">
        <f t="shared" si="126"/>
        <v>4093RN153</v>
      </c>
      <c r="AE466">
        <f t="shared" ca="1" si="137"/>
        <v>0</v>
      </c>
      <c r="AF466" t="str">
        <f t="shared" ca="1" si="138"/>
        <v/>
      </c>
      <c r="AG466">
        <v>112</v>
      </c>
      <c r="AH466" t="s">
        <v>136</v>
      </c>
      <c r="AI466" t="str">
        <f t="shared" si="127"/>
        <v>Lutheran Home 25</v>
      </c>
      <c r="AJ466" t="str">
        <f t="shared" si="128"/>
        <v>Green Bay</v>
      </c>
      <c r="AK466" t="str">
        <f t="shared" si="129"/>
        <v>WI</v>
      </c>
    </row>
    <row r="467" spans="18:37" x14ac:dyDescent="0.25">
      <c r="R467">
        <v>1</v>
      </c>
      <c r="S467">
        <v>209</v>
      </c>
      <c r="T467">
        <f t="shared" ref="T467:T530" si="139">$H$14</f>
        <v>129</v>
      </c>
      <c r="U467">
        <f t="shared" si="130"/>
        <v>26053</v>
      </c>
      <c r="V467">
        <f t="shared" ca="1" si="131"/>
        <v>0</v>
      </c>
      <c r="W467">
        <v>113</v>
      </c>
      <c r="X467" t="str">
        <f t="shared" ca="1" si="132"/>
        <v/>
      </c>
      <c r="Y467" t="s">
        <v>9</v>
      </c>
      <c r="Z467">
        <f t="shared" ca="1" si="133"/>
        <v>0</v>
      </c>
      <c r="AA467" t="str">
        <f t="shared" ca="1" si="134"/>
        <v>SPPN</v>
      </c>
      <c r="AB467">
        <f t="shared" ca="1" si="135"/>
        <v>1</v>
      </c>
      <c r="AC467" t="str">
        <f t="shared" ca="1" si="136"/>
        <v/>
      </c>
      <c r="AD467" t="str">
        <f t="shared" ref="AD467:AD530" si="140">$H$5</f>
        <v>4093RN153</v>
      </c>
      <c r="AE467">
        <f t="shared" ca="1" si="137"/>
        <v>0</v>
      </c>
      <c r="AF467" t="str">
        <f t="shared" ca="1" si="138"/>
        <v/>
      </c>
      <c r="AG467">
        <v>113</v>
      </c>
      <c r="AH467" t="s">
        <v>136</v>
      </c>
      <c r="AI467" t="str">
        <f t="shared" ref="AI467:AI530" si="141">$H$6</f>
        <v>Lutheran Home 25</v>
      </c>
      <c r="AJ467" t="str">
        <f t="shared" ref="AJ467:AJ530" si="142">$H$7</f>
        <v>Green Bay</v>
      </c>
      <c r="AK467" t="str">
        <f t="shared" ref="AK467:AK530" si="143">$H$8</f>
        <v>WI</v>
      </c>
    </row>
    <row r="468" spans="18:37" x14ac:dyDescent="0.25">
      <c r="S468">
        <v>210</v>
      </c>
      <c r="T468">
        <f t="shared" si="139"/>
        <v>129</v>
      </c>
      <c r="U468">
        <f t="shared" ref="U468:U531" si="144">$H$2</f>
        <v>26053</v>
      </c>
      <c r="V468">
        <f t="shared" ref="V468:V531" ca="1" si="145">(OFFSET($B$19,INT((ROW(A450)-1)/4),0))</f>
        <v>0</v>
      </c>
      <c r="W468">
        <v>113</v>
      </c>
      <c r="X468" t="str">
        <f t="shared" ref="X468:X531" ca="1" si="146">IF((OFFSET($J$19,INT((ROW(A450)-1)/4),0))="JE","JE",IF((OFFSET($J$19,INT((ROW(A450)-1)/4),0))="Drilled","JC",""))</f>
        <v/>
      </c>
      <c r="Y468" t="s">
        <v>33</v>
      </c>
      <c r="Z468">
        <f t="shared" ref="Z468:Z531" ca="1" si="147">(OFFSET($F$19,INT((ROW(A450)-1)/4),0))</f>
        <v>0</v>
      </c>
      <c r="AA468" t="str">
        <f t="shared" ref="AA468:AA531" ca="1" si="148">IF((OFFSET($K$19,INT((ROW(A450)-1)/4),0))="Poplar","PAINT",IF((OFFSET($K$19,INT((ROW(A450)-1)/4),0))="Red Oak","SGO",IF((OFFSET($K$19,INT((ROW(A450)-1)/4),0))="Maple","SM","SPPN")))</f>
        <v>SPPN</v>
      </c>
      <c r="AB468">
        <f t="shared" ref="AB468:AB531" ca="1" si="149">(OFFSET($I$19,INT((ROW(A450)-1)/4),0))</f>
        <v>1</v>
      </c>
      <c r="AC468" t="str">
        <f t="shared" ref="AC468:AC531" ca="1" si="150">IF(OR(Y468="L",Y468="R"),(OFFSET($M$19,INT((ROW(A450)-1)/4),0)),IF(Y468="B",IF((OFFSET($A$19,INT((ROW(A450)-1)/4),0))="3 Sided Patio Door",0,(OFFSET($G$19,INT((ROW(A450)-1)/4),0))),(OFFSET($G$19,INT((ROW(A450)-1)/4),0))))</f>
        <v/>
      </c>
      <c r="AD468" t="str">
        <f t="shared" si="140"/>
        <v>4093RN153</v>
      </c>
      <c r="AE468">
        <f t="shared" ref="AE468:AE531" ca="1" si="151">(OFFSET($L$19,INT((ROW(A450)-1)/4),0))</f>
        <v>0</v>
      </c>
      <c r="AF468" t="str">
        <f t="shared" ref="AF468:AF531" ca="1" si="152">IF((OFFSET($A$19,INT((ROW(A450)-1)/4),0))="3 sided Patio door", "Unassemble","")</f>
        <v/>
      </c>
      <c r="AG468">
        <v>113</v>
      </c>
      <c r="AH468" t="s">
        <v>136</v>
      </c>
      <c r="AI468" t="str">
        <f t="shared" si="141"/>
        <v>Lutheran Home 25</v>
      </c>
      <c r="AJ468" t="str">
        <f t="shared" si="142"/>
        <v>Green Bay</v>
      </c>
      <c r="AK468" t="str">
        <f t="shared" si="143"/>
        <v>WI</v>
      </c>
    </row>
    <row r="469" spans="18:37" x14ac:dyDescent="0.25">
      <c r="S469">
        <v>211</v>
      </c>
      <c r="T469">
        <f t="shared" si="139"/>
        <v>129</v>
      </c>
      <c r="U469">
        <f t="shared" si="144"/>
        <v>26053</v>
      </c>
      <c r="V469">
        <f t="shared" ca="1" si="145"/>
        <v>0</v>
      </c>
      <c r="W469">
        <v>113</v>
      </c>
      <c r="X469" t="str">
        <f t="shared" ca="1" si="146"/>
        <v/>
      </c>
      <c r="Y469" t="s">
        <v>28</v>
      </c>
      <c r="Z469">
        <f t="shared" ca="1" si="147"/>
        <v>0</v>
      </c>
      <c r="AA469" t="str">
        <f t="shared" ca="1" si="148"/>
        <v>SPPN</v>
      </c>
      <c r="AB469">
        <f t="shared" ca="1" si="149"/>
        <v>1</v>
      </c>
      <c r="AC469">
        <f t="shared" ca="1" si="150"/>
        <v>0</v>
      </c>
      <c r="AD469" t="str">
        <f t="shared" si="140"/>
        <v>4093RN153</v>
      </c>
      <c r="AE469">
        <f t="shared" ca="1" si="151"/>
        <v>0</v>
      </c>
      <c r="AF469" t="str">
        <f t="shared" ca="1" si="152"/>
        <v/>
      </c>
      <c r="AG469">
        <v>113</v>
      </c>
      <c r="AH469" t="s">
        <v>136</v>
      </c>
      <c r="AI469" t="str">
        <f t="shared" si="141"/>
        <v>Lutheran Home 25</v>
      </c>
      <c r="AJ469" t="str">
        <f t="shared" si="142"/>
        <v>Green Bay</v>
      </c>
      <c r="AK469" t="str">
        <f t="shared" si="143"/>
        <v>WI</v>
      </c>
    </row>
    <row r="470" spans="18:37" x14ac:dyDescent="0.25">
      <c r="S470">
        <v>212</v>
      </c>
      <c r="T470">
        <f t="shared" si="139"/>
        <v>129</v>
      </c>
      <c r="U470">
        <f t="shared" si="144"/>
        <v>26053</v>
      </c>
      <c r="V470">
        <f t="shared" ca="1" si="145"/>
        <v>0</v>
      </c>
      <c r="W470">
        <v>113</v>
      </c>
      <c r="X470" t="str">
        <f t="shared" ca="1" si="146"/>
        <v/>
      </c>
      <c r="Y470" t="s">
        <v>32</v>
      </c>
      <c r="Z470">
        <f t="shared" ca="1" si="147"/>
        <v>0</v>
      </c>
      <c r="AA470" t="str">
        <f t="shared" ca="1" si="148"/>
        <v>SPPN</v>
      </c>
      <c r="AB470">
        <f t="shared" ca="1" si="149"/>
        <v>1</v>
      </c>
      <c r="AC470">
        <f t="shared" ca="1" si="150"/>
        <v>0</v>
      </c>
      <c r="AD470" t="str">
        <f t="shared" si="140"/>
        <v>4093RN153</v>
      </c>
      <c r="AE470">
        <f t="shared" ca="1" si="151"/>
        <v>0</v>
      </c>
      <c r="AF470" t="str">
        <f t="shared" ca="1" si="152"/>
        <v/>
      </c>
      <c r="AG470">
        <v>113</v>
      </c>
      <c r="AH470" t="s">
        <v>136</v>
      </c>
      <c r="AI470" t="str">
        <f t="shared" si="141"/>
        <v>Lutheran Home 25</v>
      </c>
      <c r="AJ470" t="str">
        <f t="shared" si="142"/>
        <v>Green Bay</v>
      </c>
      <c r="AK470" t="str">
        <f t="shared" si="143"/>
        <v>WI</v>
      </c>
    </row>
    <row r="471" spans="18:37" x14ac:dyDescent="0.25">
      <c r="R471">
        <v>1</v>
      </c>
      <c r="S471">
        <v>213</v>
      </c>
      <c r="T471">
        <f t="shared" si="139"/>
        <v>129</v>
      </c>
      <c r="U471">
        <f t="shared" si="144"/>
        <v>26053</v>
      </c>
      <c r="V471">
        <f t="shared" ca="1" si="145"/>
        <v>0</v>
      </c>
      <c r="W471">
        <v>114</v>
      </c>
      <c r="X471" t="str">
        <f t="shared" ca="1" si="146"/>
        <v/>
      </c>
      <c r="Y471" t="s">
        <v>9</v>
      </c>
      <c r="Z471">
        <f t="shared" ca="1" si="147"/>
        <v>0</v>
      </c>
      <c r="AA471" t="str">
        <f t="shared" ca="1" si="148"/>
        <v>SPPN</v>
      </c>
      <c r="AB471">
        <f t="shared" ca="1" si="149"/>
        <v>1</v>
      </c>
      <c r="AC471" t="str">
        <f t="shared" ca="1" si="150"/>
        <v/>
      </c>
      <c r="AD471" t="str">
        <f t="shared" si="140"/>
        <v>4093RN153</v>
      </c>
      <c r="AE471">
        <f t="shared" ca="1" si="151"/>
        <v>0</v>
      </c>
      <c r="AF471" t="str">
        <f t="shared" ca="1" si="152"/>
        <v/>
      </c>
      <c r="AG471">
        <v>114</v>
      </c>
      <c r="AH471" t="s">
        <v>136</v>
      </c>
      <c r="AI471" t="str">
        <f t="shared" si="141"/>
        <v>Lutheran Home 25</v>
      </c>
      <c r="AJ471" t="str">
        <f t="shared" si="142"/>
        <v>Green Bay</v>
      </c>
      <c r="AK471" t="str">
        <f t="shared" si="143"/>
        <v>WI</v>
      </c>
    </row>
    <row r="472" spans="18:37" x14ac:dyDescent="0.25">
      <c r="S472">
        <v>214</v>
      </c>
      <c r="T472">
        <f t="shared" si="139"/>
        <v>129</v>
      </c>
      <c r="U472">
        <f t="shared" si="144"/>
        <v>26053</v>
      </c>
      <c r="V472">
        <f t="shared" ca="1" si="145"/>
        <v>0</v>
      </c>
      <c r="W472">
        <v>114</v>
      </c>
      <c r="X472" t="str">
        <f t="shared" ca="1" si="146"/>
        <v/>
      </c>
      <c r="Y472" t="s">
        <v>33</v>
      </c>
      <c r="Z472">
        <f t="shared" ca="1" si="147"/>
        <v>0</v>
      </c>
      <c r="AA472" t="str">
        <f t="shared" ca="1" si="148"/>
        <v>SPPN</v>
      </c>
      <c r="AB472">
        <f t="shared" ca="1" si="149"/>
        <v>1</v>
      </c>
      <c r="AC472" t="str">
        <f t="shared" ca="1" si="150"/>
        <v/>
      </c>
      <c r="AD472" t="str">
        <f t="shared" si="140"/>
        <v>4093RN153</v>
      </c>
      <c r="AE472">
        <f t="shared" ca="1" si="151"/>
        <v>0</v>
      </c>
      <c r="AF472" t="str">
        <f t="shared" ca="1" si="152"/>
        <v/>
      </c>
      <c r="AG472">
        <v>114</v>
      </c>
      <c r="AH472" t="s">
        <v>136</v>
      </c>
      <c r="AI472" t="str">
        <f t="shared" si="141"/>
        <v>Lutheran Home 25</v>
      </c>
      <c r="AJ472" t="str">
        <f t="shared" si="142"/>
        <v>Green Bay</v>
      </c>
      <c r="AK472" t="str">
        <f t="shared" si="143"/>
        <v>WI</v>
      </c>
    </row>
    <row r="473" spans="18:37" x14ac:dyDescent="0.25">
      <c r="S473">
        <v>215</v>
      </c>
      <c r="T473">
        <f t="shared" si="139"/>
        <v>129</v>
      </c>
      <c r="U473">
        <f t="shared" si="144"/>
        <v>26053</v>
      </c>
      <c r="V473">
        <f t="shared" ca="1" si="145"/>
        <v>0</v>
      </c>
      <c r="W473">
        <v>114</v>
      </c>
      <c r="X473" t="str">
        <f t="shared" ca="1" si="146"/>
        <v/>
      </c>
      <c r="Y473" t="s">
        <v>28</v>
      </c>
      <c r="Z473">
        <f t="shared" ca="1" si="147"/>
        <v>0</v>
      </c>
      <c r="AA473" t="str">
        <f t="shared" ca="1" si="148"/>
        <v>SPPN</v>
      </c>
      <c r="AB473">
        <f t="shared" ca="1" si="149"/>
        <v>1</v>
      </c>
      <c r="AC473">
        <f t="shared" ca="1" si="150"/>
        <v>0</v>
      </c>
      <c r="AD473" t="str">
        <f t="shared" si="140"/>
        <v>4093RN153</v>
      </c>
      <c r="AE473">
        <f t="shared" ca="1" si="151"/>
        <v>0</v>
      </c>
      <c r="AF473" t="str">
        <f t="shared" ca="1" si="152"/>
        <v/>
      </c>
      <c r="AG473">
        <v>114</v>
      </c>
      <c r="AH473" t="s">
        <v>136</v>
      </c>
      <c r="AI473" t="str">
        <f t="shared" si="141"/>
        <v>Lutheran Home 25</v>
      </c>
      <c r="AJ473" t="str">
        <f t="shared" si="142"/>
        <v>Green Bay</v>
      </c>
      <c r="AK473" t="str">
        <f t="shared" si="143"/>
        <v>WI</v>
      </c>
    </row>
    <row r="474" spans="18:37" x14ac:dyDescent="0.25">
      <c r="S474">
        <v>216</v>
      </c>
      <c r="T474">
        <f t="shared" si="139"/>
        <v>129</v>
      </c>
      <c r="U474">
        <f t="shared" si="144"/>
        <v>26053</v>
      </c>
      <c r="V474">
        <f t="shared" ca="1" si="145"/>
        <v>0</v>
      </c>
      <c r="W474">
        <v>114</v>
      </c>
      <c r="X474" t="str">
        <f t="shared" ca="1" si="146"/>
        <v/>
      </c>
      <c r="Y474" t="s">
        <v>32</v>
      </c>
      <c r="Z474">
        <f t="shared" ca="1" si="147"/>
        <v>0</v>
      </c>
      <c r="AA474" t="str">
        <f t="shared" ca="1" si="148"/>
        <v>SPPN</v>
      </c>
      <c r="AB474">
        <f t="shared" ca="1" si="149"/>
        <v>1</v>
      </c>
      <c r="AC474">
        <f t="shared" ca="1" si="150"/>
        <v>0</v>
      </c>
      <c r="AD474" t="str">
        <f t="shared" si="140"/>
        <v>4093RN153</v>
      </c>
      <c r="AE474">
        <f t="shared" ca="1" si="151"/>
        <v>0</v>
      </c>
      <c r="AF474" t="str">
        <f t="shared" ca="1" si="152"/>
        <v/>
      </c>
      <c r="AG474">
        <v>114</v>
      </c>
      <c r="AH474" t="s">
        <v>136</v>
      </c>
      <c r="AI474" t="str">
        <f t="shared" si="141"/>
        <v>Lutheran Home 25</v>
      </c>
      <c r="AJ474" t="str">
        <f t="shared" si="142"/>
        <v>Green Bay</v>
      </c>
      <c r="AK474" t="str">
        <f t="shared" si="143"/>
        <v>WI</v>
      </c>
    </row>
    <row r="475" spans="18:37" x14ac:dyDescent="0.25">
      <c r="R475">
        <v>1</v>
      </c>
      <c r="S475">
        <v>217</v>
      </c>
      <c r="T475">
        <f t="shared" si="139"/>
        <v>129</v>
      </c>
      <c r="U475">
        <f t="shared" si="144"/>
        <v>26053</v>
      </c>
      <c r="V475">
        <f t="shared" ca="1" si="145"/>
        <v>0</v>
      </c>
      <c r="W475">
        <v>115</v>
      </c>
      <c r="X475" t="str">
        <f t="shared" ca="1" si="146"/>
        <v/>
      </c>
      <c r="Y475" t="s">
        <v>9</v>
      </c>
      <c r="Z475">
        <f t="shared" ca="1" si="147"/>
        <v>0</v>
      </c>
      <c r="AA475" t="str">
        <f t="shared" ca="1" si="148"/>
        <v>SPPN</v>
      </c>
      <c r="AB475">
        <f t="shared" ca="1" si="149"/>
        <v>1</v>
      </c>
      <c r="AC475" t="str">
        <f t="shared" ca="1" si="150"/>
        <v/>
      </c>
      <c r="AD475" t="str">
        <f t="shared" si="140"/>
        <v>4093RN153</v>
      </c>
      <c r="AE475">
        <f t="shared" ca="1" si="151"/>
        <v>0</v>
      </c>
      <c r="AF475" t="str">
        <f t="shared" ca="1" si="152"/>
        <v/>
      </c>
      <c r="AG475">
        <v>115</v>
      </c>
      <c r="AH475" t="s">
        <v>136</v>
      </c>
      <c r="AI475" t="str">
        <f t="shared" si="141"/>
        <v>Lutheran Home 25</v>
      </c>
      <c r="AJ475" t="str">
        <f t="shared" si="142"/>
        <v>Green Bay</v>
      </c>
      <c r="AK475" t="str">
        <f t="shared" si="143"/>
        <v>WI</v>
      </c>
    </row>
    <row r="476" spans="18:37" x14ac:dyDescent="0.25">
      <c r="S476">
        <v>218</v>
      </c>
      <c r="T476">
        <f t="shared" si="139"/>
        <v>129</v>
      </c>
      <c r="U476">
        <f t="shared" si="144"/>
        <v>26053</v>
      </c>
      <c r="V476">
        <f t="shared" ca="1" si="145"/>
        <v>0</v>
      </c>
      <c r="W476">
        <v>115</v>
      </c>
      <c r="X476" t="str">
        <f t="shared" ca="1" si="146"/>
        <v/>
      </c>
      <c r="Y476" t="s">
        <v>33</v>
      </c>
      <c r="Z476">
        <f t="shared" ca="1" si="147"/>
        <v>0</v>
      </c>
      <c r="AA476" t="str">
        <f t="shared" ca="1" si="148"/>
        <v>SPPN</v>
      </c>
      <c r="AB476">
        <f t="shared" ca="1" si="149"/>
        <v>1</v>
      </c>
      <c r="AC476" t="str">
        <f t="shared" ca="1" si="150"/>
        <v/>
      </c>
      <c r="AD476" t="str">
        <f t="shared" si="140"/>
        <v>4093RN153</v>
      </c>
      <c r="AE476">
        <f t="shared" ca="1" si="151"/>
        <v>0</v>
      </c>
      <c r="AF476" t="str">
        <f t="shared" ca="1" si="152"/>
        <v/>
      </c>
      <c r="AG476">
        <v>115</v>
      </c>
      <c r="AH476" t="s">
        <v>136</v>
      </c>
      <c r="AI476" t="str">
        <f t="shared" si="141"/>
        <v>Lutheran Home 25</v>
      </c>
      <c r="AJ476" t="str">
        <f t="shared" si="142"/>
        <v>Green Bay</v>
      </c>
      <c r="AK476" t="str">
        <f t="shared" si="143"/>
        <v>WI</v>
      </c>
    </row>
    <row r="477" spans="18:37" x14ac:dyDescent="0.25">
      <c r="S477">
        <v>219</v>
      </c>
      <c r="T477">
        <f t="shared" si="139"/>
        <v>129</v>
      </c>
      <c r="U477">
        <f t="shared" si="144"/>
        <v>26053</v>
      </c>
      <c r="V477">
        <f t="shared" ca="1" si="145"/>
        <v>0</v>
      </c>
      <c r="W477">
        <v>115</v>
      </c>
      <c r="X477" t="str">
        <f t="shared" ca="1" si="146"/>
        <v/>
      </c>
      <c r="Y477" t="s">
        <v>28</v>
      </c>
      <c r="Z477">
        <f t="shared" ca="1" si="147"/>
        <v>0</v>
      </c>
      <c r="AA477" t="str">
        <f t="shared" ca="1" si="148"/>
        <v>SPPN</v>
      </c>
      <c r="AB477">
        <f t="shared" ca="1" si="149"/>
        <v>1</v>
      </c>
      <c r="AC477">
        <f t="shared" ca="1" si="150"/>
        <v>0</v>
      </c>
      <c r="AD477" t="str">
        <f t="shared" si="140"/>
        <v>4093RN153</v>
      </c>
      <c r="AE477">
        <f t="shared" ca="1" si="151"/>
        <v>0</v>
      </c>
      <c r="AF477" t="str">
        <f t="shared" ca="1" si="152"/>
        <v/>
      </c>
      <c r="AG477">
        <v>115</v>
      </c>
      <c r="AH477" t="s">
        <v>136</v>
      </c>
      <c r="AI477" t="str">
        <f t="shared" si="141"/>
        <v>Lutheran Home 25</v>
      </c>
      <c r="AJ477" t="str">
        <f t="shared" si="142"/>
        <v>Green Bay</v>
      </c>
      <c r="AK477" t="str">
        <f t="shared" si="143"/>
        <v>WI</v>
      </c>
    </row>
    <row r="478" spans="18:37" x14ac:dyDescent="0.25">
      <c r="S478">
        <v>220</v>
      </c>
      <c r="T478">
        <f t="shared" si="139"/>
        <v>129</v>
      </c>
      <c r="U478">
        <f t="shared" si="144"/>
        <v>26053</v>
      </c>
      <c r="V478">
        <f t="shared" ca="1" si="145"/>
        <v>0</v>
      </c>
      <c r="W478">
        <v>115</v>
      </c>
      <c r="X478" t="str">
        <f t="shared" ca="1" si="146"/>
        <v/>
      </c>
      <c r="Y478" t="s">
        <v>32</v>
      </c>
      <c r="Z478">
        <f t="shared" ca="1" si="147"/>
        <v>0</v>
      </c>
      <c r="AA478" t="str">
        <f t="shared" ca="1" si="148"/>
        <v>SPPN</v>
      </c>
      <c r="AB478">
        <f t="shared" ca="1" si="149"/>
        <v>1</v>
      </c>
      <c r="AC478">
        <f t="shared" ca="1" si="150"/>
        <v>0</v>
      </c>
      <c r="AD478" t="str">
        <f t="shared" si="140"/>
        <v>4093RN153</v>
      </c>
      <c r="AE478">
        <f t="shared" ca="1" si="151"/>
        <v>0</v>
      </c>
      <c r="AF478" t="str">
        <f t="shared" ca="1" si="152"/>
        <v/>
      </c>
      <c r="AG478">
        <v>115</v>
      </c>
      <c r="AH478" t="s">
        <v>136</v>
      </c>
      <c r="AI478" t="str">
        <f t="shared" si="141"/>
        <v>Lutheran Home 25</v>
      </c>
      <c r="AJ478" t="str">
        <f t="shared" si="142"/>
        <v>Green Bay</v>
      </c>
      <c r="AK478" t="str">
        <f t="shared" si="143"/>
        <v>WI</v>
      </c>
    </row>
    <row r="479" spans="18:37" x14ac:dyDescent="0.25">
      <c r="R479">
        <v>1</v>
      </c>
      <c r="S479">
        <v>221</v>
      </c>
      <c r="T479">
        <f t="shared" si="139"/>
        <v>129</v>
      </c>
      <c r="U479">
        <f t="shared" si="144"/>
        <v>26053</v>
      </c>
      <c r="V479">
        <f t="shared" ca="1" si="145"/>
        <v>0</v>
      </c>
      <c r="W479">
        <v>116</v>
      </c>
      <c r="X479" t="str">
        <f t="shared" ca="1" si="146"/>
        <v/>
      </c>
      <c r="Y479" t="s">
        <v>9</v>
      </c>
      <c r="Z479">
        <f t="shared" ca="1" si="147"/>
        <v>0</v>
      </c>
      <c r="AA479" t="str">
        <f t="shared" ca="1" si="148"/>
        <v>SPPN</v>
      </c>
      <c r="AB479">
        <f t="shared" ca="1" si="149"/>
        <v>1</v>
      </c>
      <c r="AC479" t="str">
        <f t="shared" ca="1" si="150"/>
        <v/>
      </c>
      <c r="AD479" t="str">
        <f t="shared" si="140"/>
        <v>4093RN153</v>
      </c>
      <c r="AE479">
        <f t="shared" ca="1" si="151"/>
        <v>0</v>
      </c>
      <c r="AF479" t="str">
        <f t="shared" ca="1" si="152"/>
        <v/>
      </c>
      <c r="AG479">
        <v>116</v>
      </c>
      <c r="AH479" t="s">
        <v>136</v>
      </c>
      <c r="AI479" t="str">
        <f t="shared" si="141"/>
        <v>Lutheran Home 25</v>
      </c>
      <c r="AJ479" t="str">
        <f t="shared" si="142"/>
        <v>Green Bay</v>
      </c>
      <c r="AK479" t="str">
        <f t="shared" si="143"/>
        <v>WI</v>
      </c>
    </row>
    <row r="480" spans="18:37" x14ac:dyDescent="0.25">
      <c r="S480">
        <v>222</v>
      </c>
      <c r="T480">
        <f t="shared" si="139"/>
        <v>129</v>
      </c>
      <c r="U480">
        <f t="shared" si="144"/>
        <v>26053</v>
      </c>
      <c r="V480">
        <f t="shared" ca="1" si="145"/>
        <v>0</v>
      </c>
      <c r="W480">
        <v>116</v>
      </c>
      <c r="X480" t="str">
        <f t="shared" ca="1" si="146"/>
        <v/>
      </c>
      <c r="Y480" t="s">
        <v>33</v>
      </c>
      <c r="Z480">
        <f t="shared" ca="1" si="147"/>
        <v>0</v>
      </c>
      <c r="AA480" t="str">
        <f t="shared" ca="1" si="148"/>
        <v>SPPN</v>
      </c>
      <c r="AB480">
        <f t="shared" ca="1" si="149"/>
        <v>1</v>
      </c>
      <c r="AC480" t="str">
        <f t="shared" ca="1" si="150"/>
        <v/>
      </c>
      <c r="AD480" t="str">
        <f t="shared" si="140"/>
        <v>4093RN153</v>
      </c>
      <c r="AE480">
        <f t="shared" ca="1" si="151"/>
        <v>0</v>
      </c>
      <c r="AF480" t="str">
        <f t="shared" ca="1" si="152"/>
        <v/>
      </c>
      <c r="AG480">
        <v>116</v>
      </c>
      <c r="AH480" t="s">
        <v>136</v>
      </c>
      <c r="AI480" t="str">
        <f t="shared" si="141"/>
        <v>Lutheran Home 25</v>
      </c>
      <c r="AJ480" t="str">
        <f t="shared" si="142"/>
        <v>Green Bay</v>
      </c>
      <c r="AK480" t="str">
        <f t="shared" si="143"/>
        <v>WI</v>
      </c>
    </row>
    <row r="481" spans="18:37" x14ac:dyDescent="0.25">
      <c r="S481">
        <v>223</v>
      </c>
      <c r="T481">
        <f t="shared" si="139"/>
        <v>129</v>
      </c>
      <c r="U481">
        <f t="shared" si="144"/>
        <v>26053</v>
      </c>
      <c r="V481">
        <f t="shared" ca="1" si="145"/>
        <v>0</v>
      </c>
      <c r="W481">
        <v>116</v>
      </c>
      <c r="X481" t="str">
        <f t="shared" ca="1" si="146"/>
        <v/>
      </c>
      <c r="Y481" t="s">
        <v>28</v>
      </c>
      <c r="Z481">
        <f t="shared" ca="1" si="147"/>
        <v>0</v>
      </c>
      <c r="AA481" t="str">
        <f t="shared" ca="1" si="148"/>
        <v>SPPN</v>
      </c>
      <c r="AB481">
        <f t="shared" ca="1" si="149"/>
        <v>1</v>
      </c>
      <c r="AC481">
        <f t="shared" ca="1" si="150"/>
        <v>0</v>
      </c>
      <c r="AD481" t="str">
        <f t="shared" si="140"/>
        <v>4093RN153</v>
      </c>
      <c r="AE481">
        <f t="shared" ca="1" si="151"/>
        <v>0</v>
      </c>
      <c r="AF481" t="str">
        <f t="shared" ca="1" si="152"/>
        <v/>
      </c>
      <c r="AG481">
        <v>116</v>
      </c>
      <c r="AH481" t="s">
        <v>136</v>
      </c>
      <c r="AI481" t="str">
        <f t="shared" si="141"/>
        <v>Lutheran Home 25</v>
      </c>
      <c r="AJ481" t="str">
        <f t="shared" si="142"/>
        <v>Green Bay</v>
      </c>
      <c r="AK481" t="str">
        <f t="shared" si="143"/>
        <v>WI</v>
      </c>
    </row>
    <row r="482" spans="18:37" x14ac:dyDescent="0.25">
      <c r="S482">
        <v>224</v>
      </c>
      <c r="T482">
        <f t="shared" si="139"/>
        <v>129</v>
      </c>
      <c r="U482">
        <f t="shared" si="144"/>
        <v>26053</v>
      </c>
      <c r="V482">
        <f t="shared" ca="1" si="145"/>
        <v>0</v>
      </c>
      <c r="W482">
        <v>116</v>
      </c>
      <c r="X482" t="str">
        <f t="shared" ca="1" si="146"/>
        <v/>
      </c>
      <c r="Y482" t="s">
        <v>32</v>
      </c>
      <c r="Z482">
        <f t="shared" ca="1" si="147"/>
        <v>0</v>
      </c>
      <c r="AA482" t="str">
        <f t="shared" ca="1" si="148"/>
        <v>SPPN</v>
      </c>
      <c r="AB482">
        <f t="shared" ca="1" si="149"/>
        <v>1</v>
      </c>
      <c r="AC482">
        <f t="shared" ca="1" si="150"/>
        <v>0</v>
      </c>
      <c r="AD482" t="str">
        <f t="shared" si="140"/>
        <v>4093RN153</v>
      </c>
      <c r="AE482">
        <f t="shared" ca="1" si="151"/>
        <v>0</v>
      </c>
      <c r="AF482" t="str">
        <f t="shared" ca="1" si="152"/>
        <v/>
      </c>
      <c r="AG482">
        <v>116</v>
      </c>
      <c r="AH482" t="s">
        <v>136</v>
      </c>
      <c r="AI482" t="str">
        <f t="shared" si="141"/>
        <v>Lutheran Home 25</v>
      </c>
      <c r="AJ482" t="str">
        <f t="shared" si="142"/>
        <v>Green Bay</v>
      </c>
      <c r="AK482" t="str">
        <f t="shared" si="143"/>
        <v>WI</v>
      </c>
    </row>
    <row r="483" spans="18:37" x14ac:dyDescent="0.25">
      <c r="R483">
        <v>1</v>
      </c>
      <c r="S483">
        <v>225</v>
      </c>
      <c r="T483">
        <f t="shared" si="139"/>
        <v>129</v>
      </c>
      <c r="U483">
        <f t="shared" si="144"/>
        <v>26053</v>
      </c>
      <c r="V483">
        <f t="shared" ca="1" si="145"/>
        <v>0</v>
      </c>
      <c r="W483">
        <v>117</v>
      </c>
      <c r="X483" t="str">
        <f t="shared" ca="1" si="146"/>
        <v/>
      </c>
      <c r="Y483" t="s">
        <v>9</v>
      </c>
      <c r="Z483">
        <f t="shared" ca="1" si="147"/>
        <v>0</v>
      </c>
      <c r="AA483" t="str">
        <f t="shared" ca="1" si="148"/>
        <v>SPPN</v>
      </c>
      <c r="AB483">
        <f t="shared" ca="1" si="149"/>
        <v>1</v>
      </c>
      <c r="AC483" t="str">
        <f t="shared" ca="1" si="150"/>
        <v/>
      </c>
      <c r="AD483" t="str">
        <f t="shared" si="140"/>
        <v>4093RN153</v>
      </c>
      <c r="AE483">
        <f t="shared" ca="1" si="151"/>
        <v>0</v>
      </c>
      <c r="AF483" t="str">
        <f t="shared" ca="1" si="152"/>
        <v/>
      </c>
      <c r="AG483">
        <v>117</v>
      </c>
      <c r="AH483" t="s">
        <v>136</v>
      </c>
      <c r="AI483" t="str">
        <f t="shared" si="141"/>
        <v>Lutheran Home 25</v>
      </c>
      <c r="AJ483" t="str">
        <f t="shared" si="142"/>
        <v>Green Bay</v>
      </c>
      <c r="AK483" t="str">
        <f t="shared" si="143"/>
        <v>WI</v>
      </c>
    </row>
    <row r="484" spans="18:37" x14ac:dyDescent="0.25">
      <c r="S484">
        <v>226</v>
      </c>
      <c r="T484">
        <f t="shared" si="139"/>
        <v>129</v>
      </c>
      <c r="U484">
        <f t="shared" si="144"/>
        <v>26053</v>
      </c>
      <c r="V484">
        <f t="shared" ca="1" si="145"/>
        <v>0</v>
      </c>
      <c r="W484">
        <v>117</v>
      </c>
      <c r="X484" t="str">
        <f t="shared" ca="1" si="146"/>
        <v/>
      </c>
      <c r="Y484" t="s">
        <v>33</v>
      </c>
      <c r="Z484">
        <f t="shared" ca="1" si="147"/>
        <v>0</v>
      </c>
      <c r="AA484" t="str">
        <f t="shared" ca="1" si="148"/>
        <v>SPPN</v>
      </c>
      <c r="AB484">
        <f t="shared" ca="1" si="149"/>
        <v>1</v>
      </c>
      <c r="AC484" t="str">
        <f t="shared" ca="1" si="150"/>
        <v/>
      </c>
      <c r="AD484" t="str">
        <f t="shared" si="140"/>
        <v>4093RN153</v>
      </c>
      <c r="AE484">
        <f t="shared" ca="1" si="151"/>
        <v>0</v>
      </c>
      <c r="AF484" t="str">
        <f t="shared" ca="1" si="152"/>
        <v/>
      </c>
      <c r="AG484">
        <v>117</v>
      </c>
      <c r="AH484" t="s">
        <v>136</v>
      </c>
      <c r="AI484" t="str">
        <f t="shared" si="141"/>
        <v>Lutheran Home 25</v>
      </c>
      <c r="AJ484" t="str">
        <f t="shared" si="142"/>
        <v>Green Bay</v>
      </c>
      <c r="AK484" t="str">
        <f t="shared" si="143"/>
        <v>WI</v>
      </c>
    </row>
    <row r="485" spans="18:37" x14ac:dyDescent="0.25">
      <c r="S485">
        <v>227</v>
      </c>
      <c r="T485">
        <f t="shared" si="139"/>
        <v>129</v>
      </c>
      <c r="U485">
        <f t="shared" si="144"/>
        <v>26053</v>
      </c>
      <c r="V485">
        <f t="shared" ca="1" si="145"/>
        <v>0</v>
      </c>
      <c r="W485">
        <v>117</v>
      </c>
      <c r="X485" t="str">
        <f t="shared" ca="1" si="146"/>
        <v/>
      </c>
      <c r="Y485" t="s">
        <v>28</v>
      </c>
      <c r="Z485">
        <f t="shared" ca="1" si="147"/>
        <v>0</v>
      </c>
      <c r="AA485" t="str">
        <f t="shared" ca="1" si="148"/>
        <v>SPPN</v>
      </c>
      <c r="AB485">
        <f t="shared" ca="1" si="149"/>
        <v>1</v>
      </c>
      <c r="AC485">
        <f t="shared" ca="1" si="150"/>
        <v>0</v>
      </c>
      <c r="AD485" t="str">
        <f t="shared" si="140"/>
        <v>4093RN153</v>
      </c>
      <c r="AE485">
        <f t="shared" ca="1" si="151"/>
        <v>0</v>
      </c>
      <c r="AF485" t="str">
        <f t="shared" ca="1" si="152"/>
        <v/>
      </c>
      <c r="AG485">
        <v>117</v>
      </c>
      <c r="AH485" t="s">
        <v>136</v>
      </c>
      <c r="AI485" t="str">
        <f t="shared" si="141"/>
        <v>Lutheran Home 25</v>
      </c>
      <c r="AJ485" t="str">
        <f t="shared" si="142"/>
        <v>Green Bay</v>
      </c>
      <c r="AK485" t="str">
        <f t="shared" si="143"/>
        <v>WI</v>
      </c>
    </row>
    <row r="486" spans="18:37" x14ac:dyDescent="0.25">
      <c r="S486">
        <v>228</v>
      </c>
      <c r="T486">
        <f t="shared" si="139"/>
        <v>129</v>
      </c>
      <c r="U486">
        <f t="shared" si="144"/>
        <v>26053</v>
      </c>
      <c r="V486">
        <f t="shared" ca="1" si="145"/>
        <v>0</v>
      </c>
      <c r="W486">
        <v>117</v>
      </c>
      <c r="X486" t="str">
        <f t="shared" ca="1" si="146"/>
        <v/>
      </c>
      <c r="Y486" t="s">
        <v>32</v>
      </c>
      <c r="Z486">
        <f t="shared" ca="1" si="147"/>
        <v>0</v>
      </c>
      <c r="AA486" t="str">
        <f t="shared" ca="1" si="148"/>
        <v>SPPN</v>
      </c>
      <c r="AB486">
        <f t="shared" ca="1" si="149"/>
        <v>1</v>
      </c>
      <c r="AC486">
        <f t="shared" ca="1" si="150"/>
        <v>0</v>
      </c>
      <c r="AD486" t="str">
        <f t="shared" si="140"/>
        <v>4093RN153</v>
      </c>
      <c r="AE486">
        <f t="shared" ca="1" si="151"/>
        <v>0</v>
      </c>
      <c r="AF486" t="str">
        <f t="shared" ca="1" si="152"/>
        <v/>
      </c>
      <c r="AG486">
        <v>117</v>
      </c>
      <c r="AH486" t="s">
        <v>136</v>
      </c>
      <c r="AI486" t="str">
        <f t="shared" si="141"/>
        <v>Lutheran Home 25</v>
      </c>
      <c r="AJ486" t="str">
        <f t="shared" si="142"/>
        <v>Green Bay</v>
      </c>
      <c r="AK486" t="str">
        <f t="shared" si="143"/>
        <v>WI</v>
      </c>
    </row>
    <row r="487" spans="18:37" x14ac:dyDescent="0.25">
      <c r="R487">
        <v>1</v>
      </c>
      <c r="S487">
        <v>229</v>
      </c>
      <c r="T487">
        <f t="shared" si="139"/>
        <v>129</v>
      </c>
      <c r="U487">
        <f t="shared" si="144"/>
        <v>26053</v>
      </c>
      <c r="V487">
        <f t="shared" ca="1" si="145"/>
        <v>0</v>
      </c>
      <c r="W487">
        <v>118</v>
      </c>
      <c r="X487" t="str">
        <f t="shared" ca="1" si="146"/>
        <v/>
      </c>
      <c r="Y487" t="s">
        <v>9</v>
      </c>
      <c r="Z487">
        <f t="shared" ca="1" si="147"/>
        <v>0</v>
      </c>
      <c r="AA487" t="str">
        <f t="shared" ca="1" si="148"/>
        <v>SPPN</v>
      </c>
      <c r="AB487">
        <f t="shared" ca="1" si="149"/>
        <v>1</v>
      </c>
      <c r="AC487" t="str">
        <f t="shared" ca="1" si="150"/>
        <v/>
      </c>
      <c r="AD487" t="str">
        <f t="shared" si="140"/>
        <v>4093RN153</v>
      </c>
      <c r="AE487">
        <f t="shared" ca="1" si="151"/>
        <v>0</v>
      </c>
      <c r="AF487" t="str">
        <f t="shared" ca="1" si="152"/>
        <v/>
      </c>
      <c r="AG487">
        <v>118</v>
      </c>
      <c r="AH487" t="s">
        <v>136</v>
      </c>
      <c r="AI487" t="str">
        <f t="shared" si="141"/>
        <v>Lutheran Home 25</v>
      </c>
      <c r="AJ487" t="str">
        <f t="shared" si="142"/>
        <v>Green Bay</v>
      </c>
      <c r="AK487" t="str">
        <f t="shared" si="143"/>
        <v>WI</v>
      </c>
    </row>
    <row r="488" spans="18:37" x14ac:dyDescent="0.25">
      <c r="S488">
        <v>230</v>
      </c>
      <c r="T488">
        <f t="shared" si="139"/>
        <v>129</v>
      </c>
      <c r="U488">
        <f t="shared" si="144"/>
        <v>26053</v>
      </c>
      <c r="V488">
        <f t="shared" ca="1" si="145"/>
        <v>0</v>
      </c>
      <c r="W488">
        <v>118</v>
      </c>
      <c r="X488" t="str">
        <f t="shared" ca="1" si="146"/>
        <v/>
      </c>
      <c r="Y488" t="s">
        <v>33</v>
      </c>
      <c r="Z488">
        <f t="shared" ca="1" si="147"/>
        <v>0</v>
      </c>
      <c r="AA488" t="str">
        <f t="shared" ca="1" si="148"/>
        <v>SPPN</v>
      </c>
      <c r="AB488">
        <f t="shared" ca="1" si="149"/>
        <v>1</v>
      </c>
      <c r="AC488" t="str">
        <f t="shared" ca="1" si="150"/>
        <v/>
      </c>
      <c r="AD488" t="str">
        <f t="shared" si="140"/>
        <v>4093RN153</v>
      </c>
      <c r="AE488">
        <f t="shared" ca="1" si="151"/>
        <v>0</v>
      </c>
      <c r="AF488" t="str">
        <f t="shared" ca="1" si="152"/>
        <v/>
      </c>
      <c r="AG488">
        <v>118</v>
      </c>
      <c r="AH488" t="s">
        <v>136</v>
      </c>
      <c r="AI488" t="str">
        <f t="shared" si="141"/>
        <v>Lutheran Home 25</v>
      </c>
      <c r="AJ488" t="str">
        <f t="shared" si="142"/>
        <v>Green Bay</v>
      </c>
      <c r="AK488" t="str">
        <f t="shared" si="143"/>
        <v>WI</v>
      </c>
    </row>
    <row r="489" spans="18:37" x14ac:dyDescent="0.25">
      <c r="S489">
        <v>231</v>
      </c>
      <c r="T489">
        <f t="shared" si="139"/>
        <v>129</v>
      </c>
      <c r="U489">
        <f t="shared" si="144"/>
        <v>26053</v>
      </c>
      <c r="V489">
        <f t="shared" ca="1" si="145"/>
        <v>0</v>
      </c>
      <c r="W489">
        <v>118</v>
      </c>
      <c r="X489" t="str">
        <f t="shared" ca="1" si="146"/>
        <v/>
      </c>
      <c r="Y489" t="s">
        <v>28</v>
      </c>
      <c r="Z489">
        <f t="shared" ca="1" si="147"/>
        <v>0</v>
      </c>
      <c r="AA489" t="str">
        <f t="shared" ca="1" si="148"/>
        <v>SPPN</v>
      </c>
      <c r="AB489">
        <f t="shared" ca="1" si="149"/>
        <v>1</v>
      </c>
      <c r="AC489">
        <f t="shared" ca="1" si="150"/>
        <v>0</v>
      </c>
      <c r="AD489" t="str">
        <f t="shared" si="140"/>
        <v>4093RN153</v>
      </c>
      <c r="AE489">
        <f t="shared" ca="1" si="151"/>
        <v>0</v>
      </c>
      <c r="AF489" t="str">
        <f t="shared" ca="1" si="152"/>
        <v/>
      </c>
      <c r="AG489">
        <v>118</v>
      </c>
      <c r="AH489" t="s">
        <v>136</v>
      </c>
      <c r="AI489" t="str">
        <f t="shared" si="141"/>
        <v>Lutheran Home 25</v>
      </c>
      <c r="AJ489" t="str">
        <f t="shared" si="142"/>
        <v>Green Bay</v>
      </c>
      <c r="AK489" t="str">
        <f t="shared" si="143"/>
        <v>WI</v>
      </c>
    </row>
    <row r="490" spans="18:37" x14ac:dyDescent="0.25">
      <c r="S490">
        <v>232</v>
      </c>
      <c r="T490">
        <f t="shared" si="139"/>
        <v>129</v>
      </c>
      <c r="U490">
        <f t="shared" si="144"/>
        <v>26053</v>
      </c>
      <c r="V490">
        <f t="shared" ca="1" si="145"/>
        <v>0</v>
      </c>
      <c r="W490">
        <v>118</v>
      </c>
      <c r="X490" t="str">
        <f t="shared" ca="1" si="146"/>
        <v/>
      </c>
      <c r="Y490" t="s">
        <v>32</v>
      </c>
      <c r="Z490">
        <f t="shared" ca="1" si="147"/>
        <v>0</v>
      </c>
      <c r="AA490" t="str">
        <f t="shared" ca="1" si="148"/>
        <v>SPPN</v>
      </c>
      <c r="AB490">
        <f t="shared" ca="1" si="149"/>
        <v>1</v>
      </c>
      <c r="AC490">
        <f t="shared" ca="1" si="150"/>
        <v>0</v>
      </c>
      <c r="AD490" t="str">
        <f t="shared" si="140"/>
        <v>4093RN153</v>
      </c>
      <c r="AE490">
        <f t="shared" ca="1" si="151"/>
        <v>0</v>
      </c>
      <c r="AF490" t="str">
        <f t="shared" ca="1" si="152"/>
        <v/>
      </c>
      <c r="AG490">
        <v>118</v>
      </c>
      <c r="AH490" t="s">
        <v>136</v>
      </c>
      <c r="AI490" t="str">
        <f t="shared" si="141"/>
        <v>Lutheran Home 25</v>
      </c>
      <c r="AJ490" t="str">
        <f t="shared" si="142"/>
        <v>Green Bay</v>
      </c>
      <c r="AK490" t="str">
        <f t="shared" si="143"/>
        <v>WI</v>
      </c>
    </row>
    <row r="491" spans="18:37" x14ac:dyDescent="0.25">
      <c r="R491">
        <v>1</v>
      </c>
      <c r="S491">
        <v>233</v>
      </c>
      <c r="T491">
        <f t="shared" si="139"/>
        <v>129</v>
      </c>
      <c r="U491">
        <f t="shared" si="144"/>
        <v>26053</v>
      </c>
      <c r="V491">
        <f t="shared" ca="1" si="145"/>
        <v>0</v>
      </c>
      <c r="W491">
        <v>119</v>
      </c>
      <c r="X491" t="str">
        <f t="shared" ca="1" si="146"/>
        <v/>
      </c>
      <c r="Y491" t="s">
        <v>9</v>
      </c>
      <c r="Z491">
        <f t="shared" ca="1" si="147"/>
        <v>0</v>
      </c>
      <c r="AA491" t="str">
        <f t="shared" ca="1" si="148"/>
        <v>SPPN</v>
      </c>
      <c r="AB491">
        <f t="shared" ca="1" si="149"/>
        <v>1</v>
      </c>
      <c r="AC491" t="str">
        <f t="shared" ca="1" si="150"/>
        <v/>
      </c>
      <c r="AD491" t="str">
        <f t="shared" si="140"/>
        <v>4093RN153</v>
      </c>
      <c r="AE491">
        <f t="shared" ca="1" si="151"/>
        <v>0</v>
      </c>
      <c r="AF491" t="str">
        <f t="shared" ca="1" si="152"/>
        <v/>
      </c>
      <c r="AG491">
        <v>119</v>
      </c>
      <c r="AH491" t="s">
        <v>136</v>
      </c>
      <c r="AI491" t="str">
        <f t="shared" si="141"/>
        <v>Lutheran Home 25</v>
      </c>
      <c r="AJ491" t="str">
        <f t="shared" si="142"/>
        <v>Green Bay</v>
      </c>
      <c r="AK491" t="str">
        <f t="shared" si="143"/>
        <v>WI</v>
      </c>
    </row>
    <row r="492" spans="18:37" x14ac:dyDescent="0.25">
      <c r="S492">
        <v>234</v>
      </c>
      <c r="T492">
        <f t="shared" si="139"/>
        <v>129</v>
      </c>
      <c r="U492">
        <f t="shared" si="144"/>
        <v>26053</v>
      </c>
      <c r="V492">
        <f t="shared" ca="1" si="145"/>
        <v>0</v>
      </c>
      <c r="W492">
        <v>119</v>
      </c>
      <c r="X492" t="str">
        <f t="shared" ca="1" si="146"/>
        <v/>
      </c>
      <c r="Y492" t="s">
        <v>33</v>
      </c>
      <c r="Z492">
        <f t="shared" ca="1" si="147"/>
        <v>0</v>
      </c>
      <c r="AA492" t="str">
        <f t="shared" ca="1" si="148"/>
        <v>SPPN</v>
      </c>
      <c r="AB492">
        <f t="shared" ca="1" si="149"/>
        <v>1</v>
      </c>
      <c r="AC492" t="str">
        <f t="shared" ca="1" si="150"/>
        <v/>
      </c>
      <c r="AD492" t="str">
        <f t="shared" si="140"/>
        <v>4093RN153</v>
      </c>
      <c r="AE492">
        <f t="shared" ca="1" si="151"/>
        <v>0</v>
      </c>
      <c r="AF492" t="str">
        <f t="shared" ca="1" si="152"/>
        <v/>
      </c>
      <c r="AG492">
        <v>119</v>
      </c>
      <c r="AH492" t="s">
        <v>136</v>
      </c>
      <c r="AI492" t="str">
        <f t="shared" si="141"/>
        <v>Lutheran Home 25</v>
      </c>
      <c r="AJ492" t="str">
        <f t="shared" si="142"/>
        <v>Green Bay</v>
      </c>
      <c r="AK492" t="str">
        <f t="shared" si="143"/>
        <v>WI</v>
      </c>
    </row>
    <row r="493" spans="18:37" x14ac:dyDescent="0.25">
      <c r="S493">
        <v>235</v>
      </c>
      <c r="T493">
        <f t="shared" si="139"/>
        <v>129</v>
      </c>
      <c r="U493">
        <f t="shared" si="144"/>
        <v>26053</v>
      </c>
      <c r="V493">
        <f t="shared" ca="1" si="145"/>
        <v>0</v>
      </c>
      <c r="W493">
        <v>119</v>
      </c>
      <c r="X493" t="str">
        <f t="shared" ca="1" si="146"/>
        <v/>
      </c>
      <c r="Y493" t="s">
        <v>28</v>
      </c>
      <c r="Z493">
        <f t="shared" ca="1" si="147"/>
        <v>0</v>
      </c>
      <c r="AA493" t="str">
        <f t="shared" ca="1" si="148"/>
        <v>SPPN</v>
      </c>
      <c r="AB493">
        <f t="shared" ca="1" si="149"/>
        <v>1</v>
      </c>
      <c r="AC493">
        <f t="shared" ca="1" si="150"/>
        <v>0</v>
      </c>
      <c r="AD493" t="str">
        <f t="shared" si="140"/>
        <v>4093RN153</v>
      </c>
      <c r="AE493">
        <f t="shared" ca="1" si="151"/>
        <v>0</v>
      </c>
      <c r="AF493" t="str">
        <f t="shared" ca="1" si="152"/>
        <v/>
      </c>
      <c r="AG493">
        <v>119</v>
      </c>
      <c r="AH493" t="s">
        <v>136</v>
      </c>
      <c r="AI493" t="str">
        <f t="shared" si="141"/>
        <v>Lutheran Home 25</v>
      </c>
      <c r="AJ493" t="str">
        <f t="shared" si="142"/>
        <v>Green Bay</v>
      </c>
      <c r="AK493" t="str">
        <f t="shared" si="143"/>
        <v>WI</v>
      </c>
    </row>
    <row r="494" spans="18:37" x14ac:dyDescent="0.25">
      <c r="S494">
        <v>236</v>
      </c>
      <c r="T494">
        <f t="shared" si="139"/>
        <v>129</v>
      </c>
      <c r="U494">
        <f t="shared" si="144"/>
        <v>26053</v>
      </c>
      <c r="V494">
        <f t="shared" ca="1" si="145"/>
        <v>0</v>
      </c>
      <c r="W494">
        <v>119</v>
      </c>
      <c r="X494" t="str">
        <f t="shared" ca="1" si="146"/>
        <v/>
      </c>
      <c r="Y494" t="s">
        <v>32</v>
      </c>
      <c r="Z494">
        <f t="shared" ca="1" si="147"/>
        <v>0</v>
      </c>
      <c r="AA494" t="str">
        <f t="shared" ca="1" si="148"/>
        <v>SPPN</v>
      </c>
      <c r="AB494">
        <f t="shared" ca="1" si="149"/>
        <v>1</v>
      </c>
      <c r="AC494">
        <f t="shared" ca="1" si="150"/>
        <v>0</v>
      </c>
      <c r="AD494" t="str">
        <f t="shared" si="140"/>
        <v>4093RN153</v>
      </c>
      <c r="AE494">
        <f t="shared" ca="1" si="151"/>
        <v>0</v>
      </c>
      <c r="AF494" t="str">
        <f t="shared" ca="1" si="152"/>
        <v/>
      </c>
      <c r="AG494">
        <v>119</v>
      </c>
      <c r="AH494" t="s">
        <v>136</v>
      </c>
      <c r="AI494" t="str">
        <f t="shared" si="141"/>
        <v>Lutheran Home 25</v>
      </c>
      <c r="AJ494" t="str">
        <f t="shared" si="142"/>
        <v>Green Bay</v>
      </c>
      <c r="AK494" t="str">
        <f t="shared" si="143"/>
        <v>WI</v>
      </c>
    </row>
    <row r="495" spans="18:37" x14ac:dyDescent="0.25">
      <c r="R495">
        <v>1</v>
      </c>
      <c r="S495">
        <v>237</v>
      </c>
      <c r="T495">
        <f t="shared" si="139"/>
        <v>129</v>
      </c>
      <c r="U495">
        <f t="shared" si="144"/>
        <v>26053</v>
      </c>
      <c r="V495">
        <f t="shared" ca="1" si="145"/>
        <v>0</v>
      </c>
      <c r="W495">
        <v>120</v>
      </c>
      <c r="X495" t="str">
        <f t="shared" ca="1" si="146"/>
        <v/>
      </c>
      <c r="Y495" t="s">
        <v>9</v>
      </c>
      <c r="Z495">
        <f t="shared" ca="1" si="147"/>
        <v>0</v>
      </c>
      <c r="AA495" t="str">
        <f t="shared" ca="1" si="148"/>
        <v>SPPN</v>
      </c>
      <c r="AB495">
        <f t="shared" ca="1" si="149"/>
        <v>1</v>
      </c>
      <c r="AC495" t="str">
        <f t="shared" ca="1" si="150"/>
        <v/>
      </c>
      <c r="AD495" t="str">
        <f t="shared" si="140"/>
        <v>4093RN153</v>
      </c>
      <c r="AE495">
        <f t="shared" ca="1" si="151"/>
        <v>0</v>
      </c>
      <c r="AF495" t="str">
        <f t="shared" ca="1" si="152"/>
        <v/>
      </c>
      <c r="AG495">
        <v>120</v>
      </c>
      <c r="AH495" t="s">
        <v>136</v>
      </c>
      <c r="AI495" t="str">
        <f t="shared" si="141"/>
        <v>Lutheran Home 25</v>
      </c>
      <c r="AJ495" t="str">
        <f t="shared" si="142"/>
        <v>Green Bay</v>
      </c>
      <c r="AK495" t="str">
        <f t="shared" si="143"/>
        <v>WI</v>
      </c>
    </row>
    <row r="496" spans="18:37" x14ac:dyDescent="0.25">
      <c r="S496">
        <v>238</v>
      </c>
      <c r="T496">
        <f t="shared" si="139"/>
        <v>129</v>
      </c>
      <c r="U496">
        <f t="shared" si="144"/>
        <v>26053</v>
      </c>
      <c r="V496">
        <f t="shared" ca="1" si="145"/>
        <v>0</v>
      </c>
      <c r="W496">
        <v>120</v>
      </c>
      <c r="X496" t="str">
        <f t="shared" ca="1" si="146"/>
        <v/>
      </c>
      <c r="Y496" t="s">
        <v>33</v>
      </c>
      <c r="Z496">
        <f t="shared" ca="1" si="147"/>
        <v>0</v>
      </c>
      <c r="AA496" t="str">
        <f t="shared" ca="1" si="148"/>
        <v>SPPN</v>
      </c>
      <c r="AB496">
        <f t="shared" ca="1" si="149"/>
        <v>1</v>
      </c>
      <c r="AC496" t="str">
        <f t="shared" ca="1" si="150"/>
        <v/>
      </c>
      <c r="AD496" t="str">
        <f t="shared" si="140"/>
        <v>4093RN153</v>
      </c>
      <c r="AE496">
        <f t="shared" ca="1" si="151"/>
        <v>0</v>
      </c>
      <c r="AF496" t="str">
        <f t="shared" ca="1" si="152"/>
        <v/>
      </c>
      <c r="AG496">
        <v>120</v>
      </c>
      <c r="AH496" t="s">
        <v>136</v>
      </c>
      <c r="AI496" t="str">
        <f t="shared" si="141"/>
        <v>Lutheran Home 25</v>
      </c>
      <c r="AJ496" t="str">
        <f t="shared" si="142"/>
        <v>Green Bay</v>
      </c>
      <c r="AK496" t="str">
        <f t="shared" si="143"/>
        <v>WI</v>
      </c>
    </row>
    <row r="497" spans="18:37" x14ac:dyDescent="0.25">
      <c r="S497">
        <v>239</v>
      </c>
      <c r="T497">
        <f t="shared" si="139"/>
        <v>129</v>
      </c>
      <c r="U497">
        <f t="shared" si="144"/>
        <v>26053</v>
      </c>
      <c r="V497">
        <f t="shared" ca="1" si="145"/>
        <v>0</v>
      </c>
      <c r="W497">
        <v>120</v>
      </c>
      <c r="X497" t="str">
        <f t="shared" ca="1" si="146"/>
        <v/>
      </c>
      <c r="Y497" t="s">
        <v>28</v>
      </c>
      <c r="Z497">
        <f t="shared" ca="1" si="147"/>
        <v>0</v>
      </c>
      <c r="AA497" t="str">
        <f t="shared" ca="1" si="148"/>
        <v>SPPN</v>
      </c>
      <c r="AB497">
        <f t="shared" ca="1" si="149"/>
        <v>1</v>
      </c>
      <c r="AC497">
        <f t="shared" ca="1" si="150"/>
        <v>0</v>
      </c>
      <c r="AD497" t="str">
        <f t="shared" si="140"/>
        <v>4093RN153</v>
      </c>
      <c r="AE497">
        <f t="shared" ca="1" si="151"/>
        <v>0</v>
      </c>
      <c r="AF497" t="str">
        <f t="shared" ca="1" si="152"/>
        <v/>
      </c>
      <c r="AG497">
        <v>120</v>
      </c>
      <c r="AH497" t="s">
        <v>136</v>
      </c>
      <c r="AI497" t="str">
        <f t="shared" si="141"/>
        <v>Lutheran Home 25</v>
      </c>
      <c r="AJ497" t="str">
        <f t="shared" si="142"/>
        <v>Green Bay</v>
      </c>
      <c r="AK497" t="str">
        <f t="shared" si="143"/>
        <v>WI</v>
      </c>
    </row>
    <row r="498" spans="18:37" x14ac:dyDescent="0.25">
      <c r="S498">
        <v>240</v>
      </c>
      <c r="T498">
        <f t="shared" si="139"/>
        <v>129</v>
      </c>
      <c r="U498">
        <f t="shared" si="144"/>
        <v>26053</v>
      </c>
      <c r="V498">
        <f t="shared" ca="1" si="145"/>
        <v>0</v>
      </c>
      <c r="W498">
        <v>120</v>
      </c>
      <c r="X498" t="str">
        <f t="shared" ca="1" si="146"/>
        <v/>
      </c>
      <c r="Y498" t="s">
        <v>32</v>
      </c>
      <c r="Z498">
        <f t="shared" ca="1" si="147"/>
        <v>0</v>
      </c>
      <c r="AA498" t="str">
        <f t="shared" ca="1" si="148"/>
        <v>SPPN</v>
      </c>
      <c r="AB498">
        <f t="shared" ca="1" si="149"/>
        <v>1</v>
      </c>
      <c r="AC498">
        <f t="shared" ca="1" si="150"/>
        <v>0</v>
      </c>
      <c r="AD498" t="str">
        <f t="shared" si="140"/>
        <v>4093RN153</v>
      </c>
      <c r="AE498">
        <f t="shared" ca="1" si="151"/>
        <v>0</v>
      </c>
      <c r="AF498" t="str">
        <f t="shared" ca="1" si="152"/>
        <v/>
      </c>
      <c r="AG498">
        <v>120</v>
      </c>
      <c r="AH498" t="s">
        <v>136</v>
      </c>
      <c r="AI498" t="str">
        <f t="shared" si="141"/>
        <v>Lutheran Home 25</v>
      </c>
      <c r="AJ498" t="str">
        <f t="shared" si="142"/>
        <v>Green Bay</v>
      </c>
      <c r="AK498" t="str">
        <f t="shared" si="143"/>
        <v>WI</v>
      </c>
    </row>
    <row r="499" spans="18:37" x14ac:dyDescent="0.25">
      <c r="R499">
        <v>1</v>
      </c>
      <c r="S499">
        <v>241</v>
      </c>
      <c r="T499">
        <f t="shared" si="139"/>
        <v>129</v>
      </c>
      <c r="U499">
        <f t="shared" si="144"/>
        <v>26053</v>
      </c>
      <c r="V499">
        <f t="shared" ca="1" si="145"/>
        <v>0</v>
      </c>
      <c r="W499">
        <v>121</v>
      </c>
      <c r="X499" t="str">
        <f t="shared" ca="1" si="146"/>
        <v/>
      </c>
      <c r="Y499" t="s">
        <v>9</v>
      </c>
      <c r="Z499">
        <f t="shared" ca="1" si="147"/>
        <v>0</v>
      </c>
      <c r="AA499" t="str">
        <f t="shared" ca="1" si="148"/>
        <v>SPPN</v>
      </c>
      <c r="AB499">
        <f t="shared" ca="1" si="149"/>
        <v>1</v>
      </c>
      <c r="AC499" t="str">
        <f t="shared" ca="1" si="150"/>
        <v/>
      </c>
      <c r="AD499" t="str">
        <f t="shared" si="140"/>
        <v>4093RN153</v>
      </c>
      <c r="AE499">
        <f t="shared" ca="1" si="151"/>
        <v>0</v>
      </c>
      <c r="AF499" t="str">
        <f t="shared" ca="1" si="152"/>
        <v/>
      </c>
      <c r="AG499">
        <v>121</v>
      </c>
      <c r="AH499" t="s">
        <v>136</v>
      </c>
      <c r="AI499" t="str">
        <f t="shared" si="141"/>
        <v>Lutheran Home 25</v>
      </c>
      <c r="AJ499" t="str">
        <f t="shared" si="142"/>
        <v>Green Bay</v>
      </c>
      <c r="AK499" t="str">
        <f t="shared" si="143"/>
        <v>WI</v>
      </c>
    </row>
    <row r="500" spans="18:37" x14ac:dyDescent="0.25">
      <c r="S500">
        <v>242</v>
      </c>
      <c r="T500">
        <f t="shared" si="139"/>
        <v>129</v>
      </c>
      <c r="U500">
        <f t="shared" si="144"/>
        <v>26053</v>
      </c>
      <c r="V500">
        <f t="shared" ca="1" si="145"/>
        <v>0</v>
      </c>
      <c r="W500">
        <v>121</v>
      </c>
      <c r="X500" t="str">
        <f t="shared" ca="1" si="146"/>
        <v/>
      </c>
      <c r="Y500" t="s">
        <v>33</v>
      </c>
      <c r="Z500">
        <f t="shared" ca="1" si="147"/>
        <v>0</v>
      </c>
      <c r="AA500" t="str">
        <f t="shared" ca="1" si="148"/>
        <v>SPPN</v>
      </c>
      <c r="AB500">
        <f t="shared" ca="1" si="149"/>
        <v>1</v>
      </c>
      <c r="AC500" t="str">
        <f t="shared" ca="1" si="150"/>
        <v/>
      </c>
      <c r="AD500" t="str">
        <f t="shared" si="140"/>
        <v>4093RN153</v>
      </c>
      <c r="AE500">
        <f t="shared" ca="1" si="151"/>
        <v>0</v>
      </c>
      <c r="AF500" t="str">
        <f t="shared" ca="1" si="152"/>
        <v/>
      </c>
      <c r="AG500">
        <v>121</v>
      </c>
      <c r="AH500" t="s">
        <v>136</v>
      </c>
      <c r="AI500" t="str">
        <f t="shared" si="141"/>
        <v>Lutheran Home 25</v>
      </c>
      <c r="AJ500" t="str">
        <f t="shared" si="142"/>
        <v>Green Bay</v>
      </c>
      <c r="AK500" t="str">
        <f t="shared" si="143"/>
        <v>WI</v>
      </c>
    </row>
    <row r="501" spans="18:37" x14ac:dyDescent="0.25">
      <c r="S501">
        <v>243</v>
      </c>
      <c r="T501">
        <f t="shared" si="139"/>
        <v>129</v>
      </c>
      <c r="U501">
        <f t="shared" si="144"/>
        <v>26053</v>
      </c>
      <c r="V501">
        <f t="shared" ca="1" si="145"/>
        <v>0</v>
      </c>
      <c r="W501">
        <v>121</v>
      </c>
      <c r="X501" t="str">
        <f t="shared" ca="1" si="146"/>
        <v/>
      </c>
      <c r="Y501" t="s">
        <v>28</v>
      </c>
      <c r="Z501">
        <f t="shared" ca="1" si="147"/>
        <v>0</v>
      </c>
      <c r="AA501" t="str">
        <f t="shared" ca="1" si="148"/>
        <v>SPPN</v>
      </c>
      <c r="AB501">
        <f t="shared" ca="1" si="149"/>
        <v>1</v>
      </c>
      <c r="AC501">
        <f t="shared" ca="1" si="150"/>
        <v>0</v>
      </c>
      <c r="AD501" t="str">
        <f t="shared" si="140"/>
        <v>4093RN153</v>
      </c>
      <c r="AE501">
        <f t="shared" ca="1" si="151"/>
        <v>0</v>
      </c>
      <c r="AF501" t="str">
        <f t="shared" ca="1" si="152"/>
        <v/>
      </c>
      <c r="AG501">
        <v>121</v>
      </c>
      <c r="AH501" t="s">
        <v>136</v>
      </c>
      <c r="AI501" t="str">
        <f t="shared" si="141"/>
        <v>Lutheran Home 25</v>
      </c>
      <c r="AJ501" t="str">
        <f t="shared" si="142"/>
        <v>Green Bay</v>
      </c>
      <c r="AK501" t="str">
        <f t="shared" si="143"/>
        <v>WI</v>
      </c>
    </row>
    <row r="502" spans="18:37" x14ac:dyDescent="0.25">
      <c r="S502">
        <v>244</v>
      </c>
      <c r="T502">
        <f t="shared" si="139"/>
        <v>129</v>
      </c>
      <c r="U502">
        <f t="shared" si="144"/>
        <v>26053</v>
      </c>
      <c r="V502">
        <f t="shared" ca="1" si="145"/>
        <v>0</v>
      </c>
      <c r="W502">
        <v>121</v>
      </c>
      <c r="X502" t="str">
        <f t="shared" ca="1" si="146"/>
        <v/>
      </c>
      <c r="Y502" t="s">
        <v>32</v>
      </c>
      <c r="Z502">
        <f t="shared" ca="1" si="147"/>
        <v>0</v>
      </c>
      <c r="AA502" t="str">
        <f t="shared" ca="1" si="148"/>
        <v>SPPN</v>
      </c>
      <c r="AB502">
        <f t="shared" ca="1" si="149"/>
        <v>1</v>
      </c>
      <c r="AC502">
        <f t="shared" ca="1" si="150"/>
        <v>0</v>
      </c>
      <c r="AD502" t="str">
        <f t="shared" si="140"/>
        <v>4093RN153</v>
      </c>
      <c r="AE502">
        <f t="shared" ca="1" si="151"/>
        <v>0</v>
      </c>
      <c r="AF502" t="str">
        <f t="shared" ca="1" si="152"/>
        <v/>
      </c>
      <c r="AG502">
        <v>121</v>
      </c>
      <c r="AH502" t="s">
        <v>136</v>
      </c>
      <c r="AI502" t="str">
        <f t="shared" si="141"/>
        <v>Lutheran Home 25</v>
      </c>
      <c r="AJ502" t="str">
        <f t="shared" si="142"/>
        <v>Green Bay</v>
      </c>
      <c r="AK502" t="str">
        <f t="shared" si="143"/>
        <v>WI</v>
      </c>
    </row>
    <row r="503" spans="18:37" x14ac:dyDescent="0.25">
      <c r="R503">
        <v>1</v>
      </c>
      <c r="S503">
        <v>245</v>
      </c>
      <c r="T503">
        <f t="shared" si="139"/>
        <v>129</v>
      </c>
      <c r="U503">
        <f t="shared" si="144"/>
        <v>26053</v>
      </c>
      <c r="V503">
        <f t="shared" ca="1" si="145"/>
        <v>0</v>
      </c>
      <c r="W503">
        <v>122</v>
      </c>
      <c r="X503" t="str">
        <f t="shared" ca="1" si="146"/>
        <v/>
      </c>
      <c r="Y503" t="s">
        <v>9</v>
      </c>
      <c r="Z503">
        <f t="shared" ca="1" si="147"/>
        <v>0</v>
      </c>
      <c r="AA503" t="str">
        <f t="shared" ca="1" si="148"/>
        <v>SPPN</v>
      </c>
      <c r="AB503">
        <f t="shared" ca="1" si="149"/>
        <v>1</v>
      </c>
      <c r="AC503" t="str">
        <f t="shared" ca="1" si="150"/>
        <v/>
      </c>
      <c r="AD503" t="str">
        <f t="shared" si="140"/>
        <v>4093RN153</v>
      </c>
      <c r="AE503">
        <f t="shared" ca="1" si="151"/>
        <v>0</v>
      </c>
      <c r="AF503" t="str">
        <f t="shared" ca="1" si="152"/>
        <v/>
      </c>
      <c r="AG503">
        <v>122</v>
      </c>
      <c r="AH503" t="s">
        <v>136</v>
      </c>
      <c r="AI503" t="str">
        <f t="shared" si="141"/>
        <v>Lutheran Home 25</v>
      </c>
      <c r="AJ503" t="str">
        <f t="shared" si="142"/>
        <v>Green Bay</v>
      </c>
      <c r="AK503" t="str">
        <f t="shared" si="143"/>
        <v>WI</v>
      </c>
    </row>
    <row r="504" spans="18:37" x14ac:dyDescent="0.25">
      <c r="S504">
        <v>246</v>
      </c>
      <c r="T504">
        <f t="shared" si="139"/>
        <v>129</v>
      </c>
      <c r="U504">
        <f t="shared" si="144"/>
        <v>26053</v>
      </c>
      <c r="V504">
        <f t="shared" ca="1" si="145"/>
        <v>0</v>
      </c>
      <c r="W504">
        <v>122</v>
      </c>
      <c r="X504" t="str">
        <f t="shared" ca="1" si="146"/>
        <v/>
      </c>
      <c r="Y504" t="s">
        <v>33</v>
      </c>
      <c r="Z504">
        <f t="shared" ca="1" si="147"/>
        <v>0</v>
      </c>
      <c r="AA504" t="str">
        <f t="shared" ca="1" si="148"/>
        <v>SPPN</v>
      </c>
      <c r="AB504">
        <f t="shared" ca="1" si="149"/>
        <v>1</v>
      </c>
      <c r="AC504" t="str">
        <f t="shared" ca="1" si="150"/>
        <v/>
      </c>
      <c r="AD504" t="str">
        <f t="shared" si="140"/>
        <v>4093RN153</v>
      </c>
      <c r="AE504">
        <f t="shared" ca="1" si="151"/>
        <v>0</v>
      </c>
      <c r="AF504" t="str">
        <f t="shared" ca="1" si="152"/>
        <v/>
      </c>
      <c r="AG504">
        <v>122</v>
      </c>
      <c r="AH504" t="s">
        <v>136</v>
      </c>
      <c r="AI504" t="str">
        <f t="shared" si="141"/>
        <v>Lutheran Home 25</v>
      </c>
      <c r="AJ504" t="str">
        <f t="shared" si="142"/>
        <v>Green Bay</v>
      </c>
      <c r="AK504" t="str">
        <f t="shared" si="143"/>
        <v>WI</v>
      </c>
    </row>
    <row r="505" spans="18:37" x14ac:dyDescent="0.25">
      <c r="S505">
        <v>247</v>
      </c>
      <c r="T505">
        <f t="shared" si="139"/>
        <v>129</v>
      </c>
      <c r="U505">
        <f t="shared" si="144"/>
        <v>26053</v>
      </c>
      <c r="V505">
        <f t="shared" ca="1" si="145"/>
        <v>0</v>
      </c>
      <c r="W505">
        <v>122</v>
      </c>
      <c r="X505" t="str">
        <f t="shared" ca="1" si="146"/>
        <v/>
      </c>
      <c r="Y505" t="s">
        <v>28</v>
      </c>
      <c r="Z505">
        <f t="shared" ca="1" si="147"/>
        <v>0</v>
      </c>
      <c r="AA505" t="str">
        <f t="shared" ca="1" si="148"/>
        <v>SPPN</v>
      </c>
      <c r="AB505">
        <f t="shared" ca="1" si="149"/>
        <v>1</v>
      </c>
      <c r="AC505">
        <f t="shared" ca="1" si="150"/>
        <v>0</v>
      </c>
      <c r="AD505" t="str">
        <f t="shared" si="140"/>
        <v>4093RN153</v>
      </c>
      <c r="AE505">
        <f t="shared" ca="1" si="151"/>
        <v>0</v>
      </c>
      <c r="AF505" t="str">
        <f t="shared" ca="1" si="152"/>
        <v/>
      </c>
      <c r="AG505">
        <v>122</v>
      </c>
      <c r="AH505" t="s">
        <v>136</v>
      </c>
      <c r="AI505" t="str">
        <f t="shared" si="141"/>
        <v>Lutheran Home 25</v>
      </c>
      <c r="AJ505" t="str">
        <f t="shared" si="142"/>
        <v>Green Bay</v>
      </c>
      <c r="AK505" t="str">
        <f t="shared" si="143"/>
        <v>WI</v>
      </c>
    </row>
    <row r="506" spans="18:37" x14ac:dyDescent="0.25">
      <c r="S506">
        <v>248</v>
      </c>
      <c r="T506">
        <f t="shared" si="139"/>
        <v>129</v>
      </c>
      <c r="U506">
        <f t="shared" si="144"/>
        <v>26053</v>
      </c>
      <c r="V506">
        <f t="shared" ca="1" si="145"/>
        <v>0</v>
      </c>
      <c r="W506">
        <v>122</v>
      </c>
      <c r="X506" t="str">
        <f t="shared" ca="1" si="146"/>
        <v/>
      </c>
      <c r="Y506" t="s">
        <v>32</v>
      </c>
      <c r="Z506">
        <f t="shared" ca="1" si="147"/>
        <v>0</v>
      </c>
      <c r="AA506" t="str">
        <f t="shared" ca="1" si="148"/>
        <v>SPPN</v>
      </c>
      <c r="AB506">
        <f t="shared" ca="1" si="149"/>
        <v>1</v>
      </c>
      <c r="AC506">
        <f t="shared" ca="1" si="150"/>
        <v>0</v>
      </c>
      <c r="AD506" t="str">
        <f t="shared" si="140"/>
        <v>4093RN153</v>
      </c>
      <c r="AE506">
        <f t="shared" ca="1" si="151"/>
        <v>0</v>
      </c>
      <c r="AF506" t="str">
        <f t="shared" ca="1" si="152"/>
        <v/>
      </c>
      <c r="AG506">
        <v>122</v>
      </c>
      <c r="AH506" t="s">
        <v>136</v>
      </c>
      <c r="AI506" t="str">
        <f t="shared" si="141"/>
        <v>Lutheran Home 25</v>
      </c>
      <c r="AJ506" t="str">
        <f t="shared" si="142"/>
        <v>Green Bay</v>
      </c>
      <c r="AK506" t="str">
        <f t="shared" si="143"/>
        <v>WI</v>
      </c>
    </row>
    <row r="507" spans="18:37" x14ac:dyDescent="0.25">
      <c r="R507">
        <v>1</v>
      </c>
      <c r="S507">
        <v>249</v>
      </c>
      <c r="T507">
        <f t="shared" si="139"/>
        <v>129</v>
      </c>
      <c r="U507">
        <f t="shared" si="144"/>
        <v>26053</v>
      </c>
      <c r="V507">
        <f t="shared" ca="1" si="145"/>
        <v>0</v>
      </c>
      <c r="W507">
        <v>123</v>
      </c>
      <c r="X507" t="str">
        <f t="shared" ca="1" si="146"/>
        <v/>
      </c>
      <c r="Y507" t="s">
        <v>9</v>
      </c>
      <c r="Z507">
        <f t="shared" ca="1" si="147"/>
        <v>0</v>
      </c>
      <c r="AA507" t="str">
        <f t="shared" ca="1" si="148"/>
        <v>SPPN</v>
      </c>
      <c r="AB507">
        <f t="shared" ca="1" si="149"/>
        <v>1</v>
      </c>
      <c r="AC507" t="str">
        <f t="shared" ca="1" si="150"/>
        <v/>
      </c>
      <c r="AD507" t="str">
        <f t="shared" si="140"/>
        <v>4093RN153</v>
      </c>
      <c r="AE507">
        <f t="shared" ca="1" si="151"/>
        <v>0</v>
      </c>
      <c r="AF507" t="str">
        <f t="shared" ca="1" si="152"/>
        <v/>
      </c>
      <c r="AG507">
        <v>123</v>
      </c>
      <c r="AH507" t="s">
        <v>136</v>
      </c>
      <c r="AI507" t="str">
        <f t="shared" si="141"/>
        <v>Lutheran Home 25</v>
      </c>
      <c r="AJ507" t="str">
        <f t="shared" si="142"/>
        <v>Green Bay</v>
      </c>
      <c r="AK507" t="str">
        <f t="shared" si="143"/>
        <v>WI</v>
      </c>
    </row>
    <row r="508" spans="18:37" x14ac:dyDescent="0.25">
      <c r="S508">
        <v>250</v>
      </c>
      <c r="T508">
        <f t="shared" si="139"/>
        <v>129</v>
      </c>
      <c r="U508">
        <f t="shared" si="144"/>
        <v>26053</v>
      </c>
      <c r="V508">
        <f t="shared" ca="1" si="145"/>
        <v>0</v>
      </c>
      <c r="W508">
        <v>123</v>
      </c>
      <c r="X508" t="str">
        <f t="shared" ca="1" si="146"/>
        <v/>
      </c>
      <c r="Y508" t="s">
        <v>33</v>
      </c>
      <c r="Z508">
        <f t="shared" ca="1" si="147"/>
        <v>0</v>
      </c>
      <c r="AA508" t="str">
        <f t="shared" ca="1" si="148"/>
        <v>SPPN</v>
      </c>
      <c r="AB508">
        <f t="shared" ca="1" si="149"/>
        <v>1</v>
      </c>
      <c r="AC508" t="str">
        <f t="shared" ca="1" si="150"/>
        <v/>
      </c>
      <c r="AD508" t="str">
        <f t="shared" si="140"/>
        <v>4093RN153</v>
      </c>
      <c r="AE508">
        <f t="shared" ca="1" si="151"/>
        <v>0</v>
      </c>
      <c r="AF508" t="str">
        <f t="shared" ca="1" si="152"/>
        <v/>
      </c>
      <c r="AG508">
        <v>123</v>
      </c>
      <c r="AH508" t="s">
        <v>136</v>
      </c>
      <c r="AI508" t="str">
        <f t="shared" si="141"/>
        <v>Lutheran Home 25</v>
      </c>
      <c r="AJ508" t="str">
        <f t="shared" si="142"/>
        <v>Green Bay</v>
      </c>
      <c r="AK508" t="str">
        <f t="shared" si="143"/>
        <v>WI</v>
      </c>
    </row>
    <row r="509" spans="18:37" x14ac:dyDescent="0.25">
      <c r="S509">
        <v>251</v>
      </c>
      <c r="T509">
        <f t="shared" si="139"/>
        <v>129</v>
      </c>
      <c r="U509">
        <f t="shared" si="144"/>
        <v>26053</v>
      </c>
      <c r="V509">
        <f t="shared" ca="1" si="145"/>
        <v>0</v>
      </c>
      <c r="W509">
        <v>123</v>
      </c>
      <c r="X509" t="str">
        <f t="shared" ca="1" si="146"/>
        <v/>
      </c>
      <c r="Y509" t="s">
        <v>28</v>
      </c>
      <c r="Z509">
        <f t="shared" ca="1" si="147"/>
        <v>0</v>
      </c>
      <c r="AA509" t="str">
        <f t="shared" ca="1" si="148"/>
        <v>SPPN</v>
      </c>
      <c r="AB509">
        <f t="shared" ca="1" si="149"/>
        <v>1</v>
      </c>
      <c r="AC509">
        <f t="shared" ca="1" si="150"/>
        <v>0</v>
      </c>
      <c r="AD509" t="str">
        <f t="shared" si="140"/>
        <v>4093RN153</v>
      </c>
      <c r="AE509">
        <f t="shared" ca="1" si="151"/>
        <v>0</v>
      </c>
      <c r="AF509" t="str">
        <f t="shared" ca="1" si="152"/>
        <v/>
      </c>
      <c r="AG509">
        <v>123</v>
      </c>
      <c r="AH509" t="s">
        <v>136</v>
      </c>
      <c r="AI509" t="str">
        <f t="shared" si="141"/>
        <v>Lutheran Home 25</v>
      </c>
      <c r="AJ509" t="str">
        <f t="shared" si="142"/>
        <v>Green Bay</v>
      </c>
      <c r="AK509" t="str">
        <f t="shared" si="143"/>
        <v>WI</v>
      </c>
    </row>
    <row r="510" spans="18:37" x14ac:dyDescent="0.25">
      <c r="S510">
        <v>252</v>
      </c>
      <c r="T510">
        <f t="shared" si="139"/>
        <v>129</v>
      </c>
      <c r="U510">
        <f t="shared" si="144"/>
        <v>26053</v>
      </c>
      <c r="V510">
        <f t="shared" ca="1" si="145"/>
        <v>0</v>
      </c>
      <c r="W510">
        <v>123</v>
      </c>
      <c r="X510" t="str">
        <f t="shared" ca="1" si="146"/>
        <v/>
      </c>
      <c r="Y510" t="s">
        <v>32</v>
      </c>
      <c r="Z510">
        <f t="shared" ca="1" si="147"/>
        <v>0</v>
      </c>
      <c r="AA510" t="str">
        <f t="shared" ca="1" si="148"/>
        <v>SPPN</v>
      </c>
      <c r="AB510">
        <f t="shared" ca="1" si="149"/>
        <v>1</v>
      </c>
      <c r="AC510">
        <f t="shared" ca="1" si="150"/>
        <v>0</v>
      </c>
      <c r="AD510" t="str">
        <f t="shared" si="140"/>
        <v>4093RN153</v>
      </c>
      <c r="AE510">
        <f t="shared" ca="1" si="151"/>
        <v>0</v>
      </c>
      <c r="AF510" t="str">
        <f t="shared" ca="1" si="152"/>
        <v/>
      </c>
      <c r="AG510">
        <v>123</v>
      </c>
      <c r="AH510" t="s">
        <v>136</v>
      </c>
      <c r="AI510" t="str">
        <f t="shared" si="141"/>
        <v>Lutheran Home 25</v>
      </c>
      <c r="AJ510" t="str">
        <f t="shared" si="142"/>
        <v>Green Bay</v>
      </c>
      <c r="AK510" t="str">
        <f t="shared" si="143"/>
        <v>WI</v>
      </c>
    </row>
    <row r="511" spans="18:37" x14ac:dyDescent="0.25">
      <c r="R511">
        <v>1</v>
      </c>
      <c r="S511">
        <v>253</v>
      </c>
      <c r="T511">
        <f t="shared" si="139"/>
        <v>129</v>
      </c>
      <c r="U511">
        <f t="shared" si="144"/>
        <v>26053</v>
      </c>
      <c r="V511">
        <f t="shared" ca="1" si="145"/>
        <v>0</v>
      </c>
      <c r="W511">
        <v>124</v>
      </c>
      <c r="X511" t="str">
        <f t="shared" ca="1" si="146"/>
        <v/>
      </c>
      <c r="Y511" t="s">
        <v>9</v>
      </c>
      <c r="Z511">
        <f t="shared" ca="1" si="147"/>
        <v>0</v>
      </c>
      <c r="AA511" t="str">
        <f t="shared" ca="1" si="148"/>
        <v>SPPN</v>
      </c>
      <c r="AB511">
        <f t="shared" ca="1" si="149"/>
        <v>1</v>
      </c>
      <c r="AC511" t="str">
        <f t="shared" ca="1" si="150"/>
        <v/>
      </c>
      <c r="AD511" t="str">
        <f t="shared" si="140"/>
        <v>4093RN153</v>
      </c>
      <c r="AE511">
        <f t="shared" ca="1" si="151"/>
        <v>0</v>
      </c>
      <c r="AF511" t="str">
        <f t="shared" ca="1" si="152"/>
        <v/>
      </c>
      <c r="AG511">
        <v>124</v>
      </c>
      <c r="AH511" t="s">
        <v>136</v>
      </c>
      <c r="AI511" t="str">
        <f t="shared" si="141"/>
        <v>Lutheran Home 25</v>
      </c>
      <c r="AJ511" t="str">
        <f t="shared" si="142"/>
        <v>Green Bay</v>
      </c>
      <c r="AK511" t="str">
        <f t="shared" si="143"/>
        <v>WI</v>
      </c>
    </row>
    <row r="512" spans="18:37" x14ac:dyDescent="0.25">
      <c r="S512">
        <v>254</v>
      </c>
      <c r="T512">
        <f t="shared" si="139"/>
        <v>129</v>
      </c>
      <c r="U512">
        <f t="shared" si="144"/>
        <v>26053</v>
      </c>
      <c r="V512">
        <f t="shared" ca="1" si="145"/>
        <v>0</v>
      </c>
      <c r="W512">
        <v>124</v>
      </c>
      <c r="X512" t="str">
        <f t="shared" ca="1" si="146"/>
        <v/>
      </c>
      <c r="Y512" t="s">
        <v>33</v>
      </c>
      <c r="Z512">
        <f t="shared" ca="1" si="147"/>
        <v>0</v>
      </c>
      <c r="AA512" t="str">
        <f t="shared" ca="1" si="148"/>
        <v>SPPN</v>
      </c>
      <c r="AB512">
        <f t="shared" ca="1" si="149"/>
        <v>1</v>
      </c>
      <c r="AC512" t="str">
        <f t="shared" ca="1" si="150"/>
        <v/>
      </c>
      <c r="AD512" t="str">
        <f t="shared" si="140"/>
        <v>4093RN153</v>
      </c>
      <c r="AE512">
        <f t="shared" ca="1" si="151"/>
        <v>0</v>
      </c>
      <c r="AF512" t="str">
        <f t="shared" ca="1" si="152"/>
        <v/>
      </c>
      <c r="AG512">
        <v>124</v>
      </c>
      <c r="AH512" t="s">
        <v>136</v>
      </c>
      <c r="AI512" t="str">
        <f t="shared" si="141"/>
        <v>Lutheran Home 25</v>
      </c>
      <c r="AJ512" t="str">
        <f t="shared" si="142"/>
        <v>Green Bay</v>
      </c>
      <c r="AK512" t="str">
        <f t="shared" si="143"/>
        <v>WI</v>
      </c>
    </row>
    <row r="513" spans="18:37" x14ac:dyDescent="0.25">
      <c r="S513">
        <v>255</v>
      </c>
      <c r="T513">
        <f t="shared" si="139"/>
        <v>129</v>
      </c>
      <c r="U513">
        <f t="shared" si="144"/>
        <v>26053</v>
      </c>
      <c r="V513">
        <f t="shared" ca="1" si="145"/>
        <v>0</v>
      </c>
      <c r="W513">
        <v>124</v>
      </c>
      <c r="X513" t="str">
        <f t="shared" ca="1" si="146"/>
        <v/>
      </c>
      <c r="Y513" t="s">
        <v>28</v>
      </c>
      <c r="Z513">
        <f t="shared" ca="1" si="147"/>
        <v>0</v>
      </c>
      <c r="AA513" t="str">
        <f t="shared" ca="1" si="148"/>
        <v>SPPN</v>
      </c>
      <c r="AB513">
        <f t="shared" ca="1" si="149"/>
        <v>1</v>
      </c>
      <c r="AC513">
        <f t="shared" ca="1" si="150"/>
        <v>0</v>
      </c>
      <c r="AD513" t="str">
        <f t="shared" si="140"/>
        <v>4093RN153</v>
      </c>
      <c r="AE513">
        <f t="shared" ca="1" si="151"/>
        <v>0</v>
      </c>
      <c r="AF513" t="str">
        <f t="shared" ca="1" si="152"/>
        <v/>
      </c>
      <c r="AG513">
        <v>124</v>
      </c>
      <c r="AH513" t="s">
        <v>136</v>
      </c>
      <c r="AI513" t="str">
        <f t="shared" si="141"/>
        <v>Lutheran Home 25</v>
      </c>
      <c r="AJ513" t="str">
        <f t="shared" si="142"/>
        <v>Green Bay</v>
      </c>
      <c r="AK513" t="str">
        <f t="shared" si="143"/>
        <v>WI</v>
      </c>
    </row>
    <row r="514" spans="18:37" x14ac:dyDescent="0.25">
      <c r="S514">
        <v>256</v>
      </c>
      <c r="T514">
        <f t="shared" si="139"/>
        <v>129</v>
      </c>
      <c r="U514">
        <f t="shared" si="144"/>
        <v>26053</v>
      </c>
      <c r="V514">
        <f t="shared" ca="1" si="145"/>
        <v>0</v>
      </c>
      <c r="W514">
        <v>124</v>
      </c>
      <c r="X514" t="str">
        <f t="shared" ca="1" si="146"/>
        <v/>
      </c>
      <c r="Y514" t="s">
        <v>32</v>
      </c>
      <c r="Z514">
        <f t="shared" ca="1" si="147"/>
        <v>0</v>
      </c>
      <c r="AA514" t="str">
        <f t="shared" ca="1" si="148"/>
        <v>SPPN</v>
      </c>
      <c r="AB514">
        <f t="shared" ca="1" si="149"/>
        <v>1</v>
      </c>
      <c r="AC514">
        <f t="shared" ca="1" si="150"/>
        <v>0</v>
      </c>
      <c r="AD514" t="str">
        <f t="shared" si="140"/>
        <v>4093RN153</v>
      </c>
      <c r="AE514">
        <f t="shared" ca="1" si="151"/>
        <v>0</v>
      </c>
      <c r="AF514" t="str">
        <f t="shared" ca="1" si="152"/>
        <v/>
      </c>
      <c r="AG514">
        <v>124</v>
      </c>
      <c r="AH514" t="s">
        <v>136</v>
      </c>
      <c r="AI514" t="str">
        <f t="shared" si="141"/>
        <v>Lutheran Home 25</v>
      </c>
      <c r="AJ514" t="str">
        <f t="shared" si="142"/>
        <v>Green Bay</v>
      </c>
      <c r="AK514" t="str">
        <f t="shared" si="143"/>
        <v>WI</v>
      </c>
    </row>
    <row r="515" spans="18:37" x14ac:dyDescent="0.25">
      <c r="R515">
        <v>1</v>
      </c>
      <c r="S515">
        <v>257</v>
      </c>
      <c r="T515">
        <f t="shared" si="139"/>
        <v>129</v>
      </c>
      <c r="U515">
        <f t="shared" si="144"/>
        <v>26053</v>
      </c>
      <c r="V515">
        <f t="shared" ca="1" si="145"/>
        <v>0</v>
      </c>
      <c r="W515">
        <v>125</v>
      </c>
      <c r="X515" t="str">
        <f t="shared" ca="1" si="146"/>
        <v/>
      </c>
      <c r="Y515" t="s">
        <v>9</v>
      </c>
      <c r="Z515">
        <f t="shared" ca="1" si="147"/>
        <v>0</v>
      </c>
      <c r="AA515" t="str">
        <f t="shared" ca="1" si="148"/>
        <v>SPPN</v>
      </c>
      <c r="AB515">
        <f t="shared" ca="1" si="149"/>
        <v>1</v>
      </c>
      <c r="AC515" t="str">
        <f t="shared" ca="1" si="150"/>
        <v/>
      </c>
      <c r="AD515" t="str">
        <f t="shared" si="140"/>
        <v>4093RN153</v>
      </c>
      <c r="AE515">
        <f t="shared" ca="1" si="151"/>
        <v>0</v>
      </c>
      <c r="AF515" t="str">
        <f t="shared" ca="1" si="152"/>
        <v/>
      </c>
      <c r="AG515">
        <v>125</v>
      </c>
      <c r="AH515" t="s">
        <v>136</v>
      </c>
      <c r="AI515" t="str">
        <f t="shared" si="141"/>
        <v>Lutheran Home 25</v>
      </c>
      <c r="AJ515" t="str">
        <f t="shared" si="142"/>
        <v>Green Bay</v>
      </c>
      <c r="AK515" t="str">
        <f t="shared" si="143"/>
        <v>WI</v>
      </c>
    </row>
    <row r="516" spans="18:37" x14ac:dyDescent="0.25">
      <c r="S516">
        <v>258</v>
      </c>
      <c r="T516">
        <f t="shared" si="139"/>
        <v>129</v>
      </c>
      <c r="U516">
        <f t="shared" si="144"/>
        <v>26053</v>
      </c>
      <c r="V516">
        <f t="shared" ca="1" si="145"/>
        <v>0</v>
      </c>
      <c r="W516">
        <v>125</v>
      </c>
      <c r="X516" t="str">
        <f t="shared" ca="1" si="146"/>
        <v/>
      </c>
      <c r="Y516" t="s">
        <v>33</v>
      </c>
      <c r="Z516">
        <f t="shared" ca="1" si="147"/>
        <v>0</v>
      </c>
      <c r="AA516" t="str">
        <f t="shared" ca="1" si="148"/>
        <v>SPPN</v>
      </c>
      <c r="AB516">
        <f t="shared" ca="1" si="149"/>
        <v>1</v>
      </c>
      <c r="AC516" t="str">
        <f t="shared" ca="1" si="150"/>
        <v/>
      </c>
      <c r="AD516" t="str">
        <f t="shared" si="140"/>
        <v>4093RN153</v>
      </c>
      <c r="AE516">
        <f t="shared" ca="1" si="151"/>
        <v>0</v>
      </c>
      <c r="AF516" t="str">
        <f t="shared" ca="1" si="152"/>
        <v/>
      </c>
      <c r="AG516">
        <v>125</v>
      </c>
      <c r="AH516" t="s">
        <v>136</v>
      </c>
      <c r="AI516" t="str">
        <f t="shared" si="141"/>
        <v>Lutheran Home 25</v>
      </c>
      <c r="AJ516" t="str">
        <f t="shared" si="142"/>
        <v>Green Bay</v>
      </c>
      <c r="AK516" t="str">
        <f t="shared" si="143"/>
        <v>WI</v>
      </c>
    </row>
    <row r="517" spans="18:37" x14ac:dyDescent="0.25">
      <c r="S517">
        <v>259</v>
      </c>
      <c r="T517">
        <f t="shared" si="139"/>
        <v>129</v>
      </c>
      <c r="U517">
        <f t="shared" si="144"/>
        <v>26053</v>
      </c>
      <c r="V517">
        <f t="shared" ca="1" si="145"/>
        <v>0</v>
      </c>
      <c r="W517">
        <v>125</v>
      </c>
      <c r="X517" t="str">
        <f t="shared" ca="1" si="146"/>
        <v/>
      </c>
      <c r="Y517" t="s">
        <v>28</v>
      </c>
      <c r="Z517">
        <f t="shared" ca="1" si="147"/>
        <v>0</v>
      </c>
      <c r="AA517" t="str">
        <f t="shared" ca="1" si="148"/>
        <v>SPPN</v>
      </c>
      <c r="AB517">
        <f t="shared" ca="1" si="149"/>
        <v>1</v>
      </c>
      <c r="AC517">
        <f t="shared" ca="1" si="150"/>
        <v>0</v>
      </c>
      <c r="AD517" t="str">
        <f t="shared" si="140"/>
        <v>4093RN153</v>
      </c>
      <c r="AE517">
        <f t="shared" ca="1" si="151"/>
        <v>0</v>
      </c>
      <c r="AF517" t="str">
        <f t="shared" ca="1" si="152"/>
        <v/>
      </c>
      <c r="AG517">
        <v>125</v>
      </c>
      <c r="AH517" t="s">
        <v>136</v>
      </c>
      <c r="AI517" t="str">
        <f t="shared" si="141"/>
        <v>Lutheran Home 25</v>
      </c>
      <c r="AJ517" t="str">
        <f t="shared" si="142"/>
        <v>Green Bay</v>
      </c>
      <c r="AK517" t="str">
        <f t="shared" si="143"/>
        <v>WI</v>
      </c>
    </row>
    <row r="518" spans="18:37" x14ac:dyDescent="0.25">
      <c r="S518">
        <v>260</v>
      </c>
      <c r="T518">
        <f t="shared" si="139"/>
        <v>129</v>
      </c>
      <c r="U518">
        <f t="shared" si="144"/>
        <v>26053</v>
      </c>
      <c r="V518">
        <f t="shared" ca="1" si="145"/>
        <v>0</v>
      </c>
      <c r="W518">
        <v>125</v>
      </c>
      <c r="X518" t="str">
        <f t="shared" ca="1" si="146"/>
        <v/>
      </c>
      <c r="Y518" t="s">
        <v>32</v>
      </c>
      <c r="Z518">
        <f t="shared" ca="1" si="147"/>
        <v>0</v>
      </c>
      <c r="AA518" t="str">
        <f t="shared" ca="1" si="148"/>
        <v>SPPN</v>
      </c>
      <c r="AB518">
        <f t="shared" ca="1" si="149"/>
        <v>1</v>
      </c>
      <c r="AC518">
        <f t="shared" ca="1" si="150"/>
        <v>0</v>
      </c>
      <c r="AD518" t="str">
        <f t="shared" si="140"/>
        <v>4093RN153</v>
      </c>
      <c r="AE518">
        <f t="shared" ca="1" si="151"/>
        <v>0</v>
      </c>
      <c r="AF518" t="str">
        <f t="shared" ca="1" si="152"/>
        <v/>
      </c>
      <c r="AG518">
        <v>125</v>
      </c>
      <c r="AH518" t="s">
        <v>136</v>
      </c>
      <c r="AI518" t="str">
        <f t="shared" si="141"/>
        <v>Lutheran Home 25</v>
      </c>
      <c r="AJ518" t="str">
        <f t="shared" si="142"/>
        <v>Green Bay</v>
      </c>
      <c r="AK518" t="str">
        <f t="shared" si="143"/>
        <v>WI</v>
      </c>
    </row>
    <row r="519" spans="18:37" x14ac:dyDescent="0.25">
      <c r="R519">
        <v>1</v>
      </c>
      <c r="S519">
        <v>261</v>
      </c>
      <c r="T519">
        <f t="shared" si="139"/>
        <v>129</v>
      </c>
      <c r="U519">
        <f t="shared" si="144"/>
        <v>26053</v>
      </c>
      <c r="V519">
        <f t="shared" ca="1" si="145"/>
        <v>0</v>
      </c>
      <c r="W519">
        <v>126</v>
      </c>
      <c r="X519" t="str">
        <f t="shared" ca="1" si="146"/>
        <v/>
      </c>
      <c r="Y519" t="s">
        <v>9</v>
      </c>
      <c r="Z519">
        <f t="shared" ca="1" si="147"/>
        <v>0</v>
      </c>
      <c r="AA519" t="str">
        <f t="shared" ca="1" si="148"/>
        <v>SPPN</v>
      </c>
      <c r="AB519">
        <f t="shared" ca="1" si="149"/>
        <v>1</v>
      </c>
      <c r="AC519" t="str">
        <f t="shared" ca="1" si="150"/>
        <v/>
      </c>
      <c r="AD519" t="str">
        <f t="shared" si="140"/>
        <v>4093RN153</v>
      </c>
      <c r="AE519">
        <f t="shared" ca="1" si="151"/>
        <v>0</v>
      </c>
      <c r="AF519" t="str">
        <f t="shared" ca="1" si="152"/>
        <v/>
      </c>
      <c r="AG519">
        <v>126</v>
      </c>
      <c r="AH519" t="s">
        <v>136</v>
      </c>
      <c r="AI519" t="str">
        <f t="shared" si="141"/>
        <v>Lutheran Home 25</v>
      </c>
      <c r="AJ519" t="str">
        <f t="shared" si="142"/>
        <v>Green Bay</v>
      </c>
      <c r="AK519" t="str">
        <f t="shared" si="143"/>
        <v>WI</v>
      </c>
    </row>
    <row r="520" spans="18:37" x14ac:dyDescent="0.25">
      <c r="S520">
        <v>262</v>
      </c>
      <c r="T520">
        <f t="shared" si="139"/>
        <v>129</v>
      </c>
      <c r="U520">
        <f t="shared" si="144"/>
        <v>26053</v>
      </c>
      <c r="V520">
        <f t="shared" ca="1" si="145"/>
        <v>0</v>
      </c>
      <c r="W520">
        <v>126</v>
      </c>
      <c r="X520" t="str">
        <f t="shared" ca="1" si="146"/>
        <v/>
      </c>
      <c r="Y520" t="s">
        <v>33</v>
      </c>
      <c r="Z520">
        <f t="shared" ca="1" si="147"/>
        <v>0</v>
      </c>
      <c r="AA520" t="str">
        <f t="shared" ca="1" si="148"/>
        <v>SPPN</v>
      </c>
      <c r="AB520">
        <f t="shared" ca="1" si="149"/>
        <v>1</v>
      </c>
      <c r="AC520" t="str">
        <f t="shared" ca="1" si="150"/>
        <v/>
      </c>
      <c r="AD520" t="str">
        <f t="shared" si="140"/>
        <v>4093RN153</v>
      </c>
      <c r="AE520">
        <f t="shared" ca="1" si="151"/>
        <v>0</v>
      </c>
      <c r="AF520" t="str">
        <f t="shared" ca="1" si="152"/>
        <v/>
      </c>
      <c r="AG520">
        <v>126</v>
      </c>
      <c r="AH520" t="s">
        <v>136</v>
      </c>
      <c r="AI520" t="str">
        <f t="shared" si="141"/>
        <v>Lutheran Home 25</v>
      </c>
      <c r="AJ520" t="str">
        <f t="shared" si="142"/>
        <v>Green Bay</v>
      </c>
      <c r="AK520" t="str">
        <f t="shared" si="143"/>
        <v>WI</v>
      </c>
    </row>
    <row r="521" spans="18:37" x14ac:dyDescent="0.25">
      <c r="S521">
        <v>263</v>
      </c>
      <c r="T521">
        <f t="shared" si="139"/>
        <v>129</v>
      </c>
      <c r="U521">
        <f t="shared" si="144"/>
        <v>26053</v>
      </c>
      <c r="V521">
        <f t="shared" ca="1" si="145"/>
        <v>0</v>
      </c>
      <c r="W521">
        <v>126</v>
      </c>
      <c r="X521" t="str">
        <f t="shared" ca="1" si="146"/>
        <v/>
      </c>
      <c r="Y521" t="s">
        <v>28</v>
      </c>
      <c r="Z521">
        <f t="shared" ca="1" si="147"/>
        <v>0</v>
      </c>
      <c r="AA521" t="str">
        <f t="shared" ca="1" si="148"/>
        <v>SPPN</v>
      </c>
      <c r="AB521">
        <f t="shared" ca="1" si="149"/>
        <v>1</v>
      </c>
      <c r="AC521">
        <f t="shared" ca="1" si="150"/>
        <v>0</v>
      </c>
      <c r="AD521" t="str">
        <f t="shared" si="140"/>
        <v>4093RN153</v>
      </c>
      <c r="AE521">
        <f t="shared" ca="1" si="151"/>
        <v>0</v>
      </c>
      <c r="AF521" t="str">
        <f t="shared" ca="1" si="152"/>
        <v/>
      </c>
      <c r="AG521">
        <v>126</v>
      </c>
      <c r="AH521" t="s">
        <v>136</v>
      </c>
      <c r="AI521" t="str">
        <f t="shared" si="141"/>
        <v>Lutheran Home 25</v>
      </c>
      <c r="AJ521" t="str">
        <f t="shared" si="142"/>
        <v>Green Bay</v>
      </c>
      <c r="AK521" t="str">
        <f t="shared" si="143"/>
        <v>WI</v>
      </c>
    </row>
    <row r="522" spans="18:37" x14ac:dyDescent="0.25">
      <c r="S522">
        <v>264</v>
      </c>
      <c r="T522">
        <f t="shared" si="139"/>
        <v>129</v>
      </c>
      <c r="U522">
        <f t="shared" si="144"/>
        <v>26053</v>
      </c>
      <c r="V522">
        <f t="shared" ca="1" si="145"/>
        <v>0</v>
      </c>
      <c r="W522">
        <v>126</v>
      </c>
      <c r="X522" t="str">
        <f t="shared" ca="1" si="146"/>
        <v/>
      </c>
      <c r="Y522" t="s">
        <v>32</v>
      </c>
      <c r="Z522">
        <f t="shared" ca="1" si="147"/>
        <v>0</v>
      </c>
      <c r="AA522" t="str">
        <f t="shared" ca="1" si="148"/>
        <v>SPPN</v>
      </c>
      <c r="AB522">
        <f t="shared" ca="1" si="149"/>
        <v>1</v>
      </c>
      <c r="AC522">
        <f t="shared" ca="1" si="150"/>
        <v>0</v>
      </c>
      <c r="AD522" t="str">
        <f t="shared" si="140"/>
        <v>4093RN153</v>
      </c>
      <c r="AE522">
        <f t="shared" ca="1" si="151"/>
        <v>0</v>
      </c>
      <c r="AF522" t="str">
        <f t="shared" ca="1" si="152"/>
        <v/>
      </c>
      <c r="AG522">
        <v>126</v>
      </c>
      <c r="AH522" t="s">
        <v>136</v>
      </c>
      <c r="AI522" t="str">
        <f t="shared" si="141"/>
        <v>Lutheran Home 25</v>
      </c>
      <c r="AJ522" t="str">
        <f t="shared" si="142"/>
        <v>Green Bay</v>
      </c>
      <c r="AK522" t="str">
        <f t="shared" si="143"/>
        <v>WI</v>
      </c>
    </row>
    <row r="523" spans="18:37" x14ac:dyDescent="0.25">
      <c r="R523">
        <v>1</v>
      </c>
      <c r="S523">
        <v>265</v>
      </c>
      <c r="T523">
        <f t="shared" si="139"/>
        <v>129</v>
      </c>
      <c r="U523">
        <f t="shared" si="144"/>
        <v>26053</v>
      </c>
      <c r="V523">
        <f t="shared" ca="1" si="145"/>
        <v>0</v>
      </c>
      <c r="W523">
        <v>127</v>
      </c>
      <c r="X523" t="str">
        <f t="shared" ca="1" si="146"/>
        <v/>
      </c>
      <c r="Y523" t="s">
        <v>9</v>
      </c>
      <c r="Z523">
        <f t="shared" ca="1" si="147"/>
        <v>0</v>
      </c>
      <c r="AA523" t="str">
        <f t="shared" ca="1" si="148"/>
        <v>SPPN</v>
      </c>
      <c r="AB523">
        <f t="shared" ca="1" si="149"/>
        <v>1</v>
      </c>
      <c r="AC523" t="str">
        <f t="shared" ca="1" si="150"/>
        <v/>
      </c>
      <c r="AD523" t="str">
        <f t="shared" si="140"/>
        <v>4093RN153</v>
      </c>
      <c r="AE523">
        <f t="shared" ca="1" si="151"/>
        <v>0</v>
      </c>
      <c r="AF523" t="str">
        <f t="shared" ca="1" si="152"/>
        <v/>
      </c>
      <c r="AG523">
        <v>127</v>
      </c>
      <c r="AH523" t="s">
        <v>136</v>
      </c>
      <c r="AI523" t="str">
        <f t="shared" si="141"/>
        <v>Lutheran Home 25</v>
      </c>
      <c r="AJ523" t="str">
        <f t="shared" si="142"/>
        <v>Green Bay</v>
      </c>
      <c r="AK523" t="str">
        <f t="shared" si="143"/>
        <v>WI</v>
      </c>
    </row>
    <row r="524" spans="18:37" x14ac:dyDescent="0.25">
      <c r="S524">
        <v>266</v>
      </c>
      <c r="T524">
        <f t="shared" si="139"/>
        <v>129</v>
      </c>
      <c r="U524">
        <f t="shared" si="144"/>
        <v>26053</v>
      </c>
      <c r="V524">
        <f t="shared" ca="1" si="145"/>
        <v>0</v>
      </c>
      <c r="W524">
        <v>127</v>
      </c>
      <c r="X524" t="str">
        <f t="shared" ca="1" si="146"/>
        <v/>
      </c>
      <c r="Y524" t="s">
        <v>33</v>
      </c>
      <c r="Z524">
        <f t="shared" ca="1" si="147"/>
        <v>0</v>
      </c>
      <c r="AA524" t="str">
        <f t="shared" ca="1" si="148"/>
        <v>SPPN</v>
      </c>
      <c r="AB524">
        <f t="shared" ca="1" si="149"/>
        <v>1</v>
      </c>
      <c r="AC524" t="str">
        <f t="shared" ca="1" si="150"/>
        <v/>
      </c>
      <c r="AD524" t="str">
        <f t="shared" si="140"/>
        <v>4093RN153</v>
      </c>
      <c r="AE524">
        <f t="shared" ca="1" si="151"/>
        <v>0</v>
      </c>
      <c r="AF524" t="str">
        <f t="shared" ca="1" si="152"/>
        <v/>
      </c>
      <c r="AG524">
        <v>127</v>
      </c>
      <c r="AH524" t="s">
        <v>136</v>
      </c>
      <c r="AI524" t="str">
        <f t="shared" si="141"/>
        <v>Lutheran Home 25</v>
      </c>
      <c r="AJ524" t="str">
        <f t="shared" si="142"/>
        <v>Green Bay</v>
      </c>
      <c r="AK524" t="str">
        <f t="shared" si="143"/>
        <v>WI</v>
      </c>
    </row>
    <row r="525" spans="18:37" x14ac:dyDescent="0.25">
      <c r="S525">
        <v>267</v>
      </c>
      <c r="T525">
        <f t="shared" si="139"/>
        <v>129</v>
      </c>
      <c r="U525">
        <f t="shared" si="144"/>
        <v>26053</v>
      </c>
      <c r="V525">
        <f t="shared" ca="1" si="145"/>
        <v>0</v>
      </c>
      <c r="W525">
        <v>127</v>
      </c>
      <c r="X525" t="str">
        <f t="shared" ca="1" si="146"/>
        <v/>
      </c>
      <c r="Y525" t="s">
        <v>28</v>
      </c>
      <c r="Z525">
        <f t="shared" ca="1" si="147"/>
        <v>0</v>
      </c>
      <c r="AA525" t="str">
        <f t="shared" ca="1" si="148"/>
        <v>SPPN</v>
      </c>
      <c r="AB525">
        <f t="shared" ca="1" si="149"/>
        <v>1</v>
      </c>
      <c r="AC525">
        <f t="shared" ca="1" si="150"/>
        <v>0</v>
      </c>
      <c r="AD525" t="str">
        <f t="shared" si="140"/>
        <v>4093RN153</v>
      </c>
      <c r="AE525">
        <f t="shared" ca="1" si="151"/>
        <v>0</v>
      </c>
      <c r="AF525" t="str">
        <f t="shared" ca="1" si="152"/>
        <v/>
      </c>
      <c r="AG525">
        <v>127</v>
      </c>
      <c r="AH525" t="s">
        <v>136</v>
      </c>
      <c r="AI525" t="str">
        <f t="shared" si="141"/>
        <v>Lutheran Home 25</v>
      </c>
      <c r="AJ525" t="str">
        <f t="shared" si="142"/>
        <v>Green Bay</v>
      </c>
      <c r="AK525" t="str">
        <f t="shared" si="143"/>
        <v>WI</v>
      </c>
    </row>
    <row r="526" spans="18:37" x14ac:dyDescent="0.25">
      <c r="S526">
        <v>268</v>
      </c>
      <c r="T526">
        <f t="shared" si="139"/>
        <v>129</v>
      </c>
      <c r="U526">
        <f t="shared" si="144"/>
        <v>26053</v>
      </c>
      <c r="V526">
        <f t="shared" ca="1" si="145"/>
        <v>0</v>
      </c>
      <c r="W526">
        <v>127</v>
      </c>
      <c r="X526" t="str">
        <f t="shared" ca="1" si="146"/>
        <v/>
      </c>
      <c r="Y526" t="s">
        <v>32</v>
      </c>
      <c r="Z526">
        <f t="shared" ca="1" si="147"/>
        <v>0</v>
      </c>
      <c r="AA526" t="str">
        <f t="shared" ca="1" si="148"/>
        <v>SPPN</v>
      </c>
      <c r="AB526">
        <f t="shared" ca="1" si="149"/>
        <v>1</v>
      </c>
      <c r="AC526">
        <f t="shared" ca="1" si="150"/>
        <v>0</v>
      </c>
      <c r="AD526" t="str">
        <f t="shared" si="140"/>
        <v>4093RN153</v>
      </c>
      <c r="AE526">
        <f t="shared" ca="1" si="151"/>
        <v>0</v>
      </c>
      <c r="AF526" t="str">
        <f t="shared" ca="1" si="152"/>
        <v/>
      </c>
      <c r="AG526">
        <v>127</v>
      </c>
      <c r="AH526" t="s">
        <v>136</v>
      </c>
      <c r="AI526" t="str">
        <f t="shared" si="141"/>
        <v>Lutheran Home 25</v>
      </c>
      <c r="AJ526" t="str">
        <f t="shared" si="142"/>
        <v>Green Bay</v>
      </c>
      <c r="AK526" t="str">
        <f t="shared" si="143"/>
        <v>WI</v>
      </c>
    </row>
    <row r="527" spans="18:37" x14ac:dyDescent="0.25">
      <c r="R527">
        <v>1</v>
      </c>
      <c r="S527">
        <v>269</v>
      </c>
      <c r="T527">
        <f t="shared" si="139"/>
        <v>129</v>
      </c>
      <c r="U527">
        <f t="shared" si="144"/>
        <v>26053</v>
      </c>
      <c r="V527">
        <f t="shared" ca="1" si="145"/>
        <v>0</v>
      </c>
      <c r="W527">
        <v>128</v>
      </c>
      <c r="X527" t="str">
        <f t="shared" ca="1" si="146"/>
        <v/>
      </c>
      <c r="Y527" t="s">
        <v>9</v>
      </c>
      <c r="Z527">
        <f t="shared" ca="1" si="147"/>
        <v>0</v>
      </c>
      <c r="AA527" t="str">
        <f t="shared" ca="1" si="148"/>
        <v>SPPN</v>
      </c>
      <c r="AB527">
        <f t="shared" ca="1" si="149"/>
        <v>1</v>
      </c>
      <c r="AC527" t="str">
        <f t="shared" ca="1" si="150"/>
        <v/>
      </c>
      <c r="AD527" t="str">
        <f t="shared" si="140"/>
        <v>4093RN153</v>
      </c>
      <c r="AE527">
        <f t="shared" ca="1" si="151"/>
        <v>0</v>
      </c>
      <c r="AF527" t="str">
        <f t="shared" ca="1" si="152"/>
        <v/>
      </c>
      <c r="AG527">
        <v>128</v>
      </c>
      <c r="AH527" t="s">
        <v>136</v>
      </c>
      <c r="AI527" t="str">
        <f t="shared" si="141"/>
        <v>Lutheran Home 25</v>
      </c>
      <c r="AJ527" t="str">
        <f t="shared" si="142"/>
        <v>Green Bay</v>
      </c>
      <c r="AK527" t="str">
        <f t="shared" si="143"/>
        <v>WI</v>
      </c>
    </row>
    <row r="528" spans="18:37" x14ac:dyDescent="0.25">
      <c r="S528">
        <v>270</v>
      </c>
      <c r="T528">
        <f t="shared" si="139"/>
        <v>129</v>
      </c>
      <c r="U528">
        <f t="shared" si="144"/>
        <v>26053</v>
      </c>
      <c r="V528">
        <f t="shared" ca="1" si="145"/>
        <v>0</v>
      </c>
      <c r="W528">
        <v>128</v>
      </c>
      <c r="X528" t="str">
        <f t="shared" ca="1" si="146"/>
        <v/>
      </c>
      <c r="Y528" t="s">
        <v>33</v>
      </c>
      <c r="Z528">
        <f t="shared" ca="1" si="147"/>
        <v>0</v>
      </c>
      <c r="AA528" t="str">
        <f t="shared" ca="1" si="148"/>
        <v>SPPN</v>
      </c>
      <c r="AB528">
        <f t="shared" ca="1" si="149"/>
        <v>1</v>
      </c>
      <c r="AC528" t="str">
        <f t="shared" ca="1" si="150"/>
        <v/>
      </c>
      <c r="AD528" t="str">
        <f t="shared" si="140"/>
        <v>4093RN153</v>
      </c>
      <c r="AE528">
        <f t="shared" ca="1" si="151"/>
        <v>0</v>
      </c>
      <c r="AF528" t="str">
        <f t="shared" ca="1" si="152"/>
        <v/>
      </c>
      <c r="AG528">
        <v>128</v>
      </c>
      <c r="AH528" t="s">
        <v>136</v>
      </c>
      <c r="AI528" t="str">
        <f t="shared" si="141"/>
        <v>Lutheran Home 25</v>
      </c>
      <c r="AJ528" t="str">
        <f t="shared" si="142"/>
        <v>Green Bay</v>
      </c>
      <c r="AK528" t="str">
        <f t="shared" si="143"/>
        <v>WI</v>
      </c>
    </row>
    <row r="529" spans="18:37" x14ac:dyDescent="0.25">
      <c r="S529">
        <v>271</v>
      </c>
      <c r="T529">
        <f t="shared" si="139"/>
        <v>129</v>
      </c>
      <c r="U529">
        <f t="shared" si="144"/>
        <v>26053</v>
      </c>
      <c r="V529">
        <f t="shared" ca="1" si="145"/>
        <v>0</v>
      </c>
      <c r="W529">
        <v>128</v>
      </c>
      <c r="X529" t="str">
        <f t="shared" ca="1" si="146"/>
        <v/>
      </c>
      <c r="Y529" t="s">
        <v>28</v>
      </c>
      <c r="Z529">
        <f t="shared" ca="1" si="147"/>
        <v>0</v>
      </c>
      <c r="AA529" t="str">
        <f t="shared" ca="1" si="148"/>
        <v>SPPN</v>
      </c>
      <c r="AB529">
        <f t="shared" ca="1" si="149"/>
        <v>1</v>
      </c>
      <c r="AC529">
        <f t="shared" ca="1" si="150"/>
        <v>0</v>
      </c>
      <c r="AD529" t="str">
        <f t="shared" si="140"/>
        <v>4093RN153</v>
      </c>
      <c r="AE529">
        <f t="shared" ca="1" si="151"/>
        <v>0</v>
      </c>
      <c r="AF529" t="str">
        <f t="shared" ca="1" si="152"/>
        <v/>
      </c>
      <c r="AG529">
        <v>128</v>
      </c>
      <c r="AH529" t="s">
        <v>136</v>
      </c>
      <c r="AI529" t="str">
        <f t="shared" si="141"/>
        <v>Lutheran Home 25</v>
      </c>
      <c r="AJ529" t="str">
        <f t="shared" si="142"/>
        <v>Green Bay</v>
      </c>
      <c r="AK529" t="str">
        <f t="shared" si="143"/>
        <v>WI</v>
      </c>
    </row>
    <row r="530" spans="18:37" x14ac:dyDescent="0.25">
      <c r="S530">
        <v>272</v>
      </c>
      <c r="T530">
        <f t="shared" si="139"/>
        <v>129</v>
      </c>
      <c r="U530">
        <f t="shared" si="144"/>
        <v>26053</v>
      </c>
      <c r="V530">
        <f t="shared" ca="1" si="145"/>
        <v>0</v>
      </c>
      <c r="W530">
        <v>128</v>
      </c>
      <c r="X530" t="str">
        <f t="shared" ca="1" si="146"/>
        <v/>
      </c>
      <c r="Y530" t="s">
        <v>32</v>
      </c>
      <c r="Z530">
        <f t="shared" ca="1" si="147"/>
        <v>0</v>
      </c>
      <c r="AA530" t="str">
        <f t="shared" ca="1" si="148"/>
        <v>SPPN</v>
      </c>
      <c r="AB530">
        <f t="shared" ca="1" si="149"/>
        <v>1</v>
      </c>
      <c r="AC530">
        <f t="shared" ca="1" si="150"/>
        <v>0</v>
      </c>
      <c r="AD530" t="str">
        <f t="shared" si="140"/>
        <v>4093RN153</v>
      </c>
      <c r="AE530">
        <f t="shared" ca="1" si="151"/>
        <v>0</v>
      </c>
      <c r="AF530" t="str">
        <f t="shared" ca="1" si="152"/>
        <v/>
      </c>
      <c r="AG530">
        <v>128</v>
      </c>
      <c r="AH530" t="s">
        <v>136</v>
      </c>
      <c r="AI530" t="str">
        <f t="shared" si="141"/>
        <v>Lutheran Home 25</v>
      </c>
      <c r="AJ530" t="str">
        <f t="shared" si="142"/>
        <v>Green Bay</v>
      </c>
      <c r="AK530" t="str">
        <f t="shared" si="143"/>
        <v>WI</v>
      </c>
    </row>
    <row r="531" spans="18:37" x14ac:dyDescent="0.25">
      <c r="R531">
        <v>1</v>
      </c>
      <c r="S531">
        <v>273</v>
      </c>
      <c r="T531">
        <f t="shared" ref="T531:T594" si="153">$H$14</f>
        <v>129</v>
      </c>
      <c r="U531">
        <f t="shared" si="144"/>
        <v>26053</v>
      </c>
      <c r="V531">
        <f t="shared" ca="1" si="145"/>
        <v>0</v>
      </c>
      <c r="W531">
        <v>129</v>
      </c>
      <c r="X531" t="str">
        <f t="shared" ca="1" si="146"/>
        <v/>
      </c>
      <c r="Y531" t="s">
        <v>9</v>
      </c>
      <c r="Z531">
        <f t="shared" ca="1" si="147"/>
        <v>0</v>
      </c>
      <c r="AA531" t="str">
        <f t="shared" ca="1" si="148"/>
        <v>SPPN</v>
      </c>
      <c r="AB531">
        <f t="shared" ca="1" si="149"/>
        <v>1</v>
      </c>
      <c r="AC531" t="str">
        <f t="shared" ca="1" si="150"/>
        <v/>
      </c>
      <c r="AD531" t="str">
        <f t="shared" ref="AD531:AD594" si="154">$H$5</f>
        <v>4093RN153</v>
      </c>
      <c r="AE531">
        <f t="shared" ca="1" si="151"/>
        <v>0</v>
      </c>
      <c r="AF531" t="str">
        <f t="shared" ca="1" si="152"/>
        <v/>
      </c>
      <c r="AG531">
        <v>129</v>
      </c>
      <c r="AH531" t="s">
        <v>136</v>
      </c>
      <c r="AI531" t="str">
        <f t="shared" ref="AI531:AI594" si="155">$H$6</f>
        <v>Lutheran Home 25</v>
      </c>
      <c r="AJ531" t="str">
        <f t="shared" ref="AJ531:AJ594" si="156">$H$7</f>
        <v>Green Bay</v>
      </c>
      <c r="AK531" t="str">
        <f t="shared" ref="AK531:AK594" si="157">$H$8</f>
        <v>WI</v>
      </c>
    </row>
    <row r="532" spans="18:37" x14ac:dyDescent="0.25">
      <c r="S532">
        <v>274</v>
      </c>
      <c r="T532">
        <f t="shared" si="153"/>
        <v>129</v>
      </c>
      <c r="U532">
        <f t="shared" ref="U532:U595" si="158">$H$2</f>
        <v>26053</v>
      </c>
      <c r="V532">
        <f t="shared" ref="V532:V595" ca="1" si="159">(OFFSET($B$19,INT((ROW(A514)-1)/4),0))</f>
        <v>0</v>
      </c>
      <c r="W532">
        <v>129</v>
      </c>
      <c r="X532" t="str">
        <f t="shared" ref="X532:X595" ca="1" si="160">IF((OFFSET($J$19,INT((ROW(A514)-1)/4),0))="JE","JE",IF((OFFSET($J$19,INT((ROW(A514)-1)/4),0))="Drilled","JC",""))</f>
        <v/>
      </c>
      <c r="Y532" t="s">
        <v>33</v>
      </c>
      <c r="Z532">
        <f t="shared" ref="Z532:Z595" ca="1" si="161">(OFFSET($F$19,INT((ROW(A514)-1)/4),0))</f>
        <v>0</v>
      </c>
      <c r="AA532" t="str">
        <f t="shared" ref="AA532:AA595" ca="1" si="162">IF((OFFSET($K$19,INT((ROW(A514)-1)/4),0))="Poplar","PAINT",IF((OFFSET($K$19,INT((ROW(A514)-1)/4),0))="Red Oak","SGO",IF((OFFSET($K$19,INT((ROW(A514)-1)/4),0))="Maple","SM","SPPN")))</f>
        <v>SPPN</v>
      </c>
      <c r="AB532">
        <f t="shared" ref="AB532:AB595" ca="1" si="163">(OFFSET($I$19,INT((ROW(A514)-1)/4),0))</f>
        <v>1</v>
      </c>
      <c r="AC532" t="str">
        <f t="shared" ref="AC532:AC595" ca="1" si="164">IF(OR(Y532="L",Y532="R"),(OFFSET($M$19,INT((ROW(A514)-1)/4),0)),IF(Y532="B",IF((OFFSET($A$19,INT((ROW(A514)-1)/4),0))="3 Sided Patio Door",0,(OFFSET($G$19,INT((ROW(A514)-1)/4),0))),(OFFSET($G$19,INT((ROW(A514)-1)/4),0))))</f>
        <v/>
      </c>
      <c r="AD532" t="str">
        <f t="shared" si="154"/>
        <v>4093RN153</v>
      </c>
      <c r="AE532">
        <f t="shared" ref="AE532:AE595" ca="1" si="165">(OFFSET($L$19,INT((ROW(A514)-1)/4),0))</f>
        <v>0</v>
      </c>
      <c r="AF532" t="str">
        <f t="shared" ref="AF532:AF595" ca="1" si="166">IF((OFFSET($A$19,INT((ROW(A514)-1)/4),0))="3 sided Patio door", "Unassemble","")</f>
        <v/>
      </c>
      <c r="AG532">
        <v>129</v>
      </c>
      <c r="AH532" t="s">
        <v>136</v>
      </c>
      <c r="AI532" t="str">
        <f t="shared" si="155"/>
        <v>Lutheran Home 25</v>
      </c>
      <c r="AJ532" t="str">
        <f t="shared" si="156"/>
        <v>Green Bay</v>
      </c>
      <c r="AK532" t="str">
        <f t="shared" si="157"/>
        <v>WI</v>
      </c>
    </row>
    <row r="533" spans="18:37" x14ac:dyDescent="0.25">
      <c r="S533">
        <v>275</v>
      </c>
      <c r="T533">
        <f t="shared" si="153"/>
        <v>129</v>
      </c>
      <c r="U533">
        <f t="shared" si="158"/>
        <v>26053</v>
      </c>
      <c r="V533">
        <f t="shared" ca="1" si="159"/>
        <v>0</v>
      </c>
      <c r="W533">
        <v>129</v>
      </c>
      <c r="X533" t="str">
        <f t="shared" ca="1" si="160"/>
        <v/>
      </c>
      <c r="Y533" t="s">
        <v>28</v>
      </c>
      <c r="Z533">
        <f t="shared" ca="1" si="161"/>
        <v>0</v>
      </c>
      <c r="AA533" t="str">
        <f t="shared" ca="1" si="162"/>
        <v>SPPN</v>
      </c>
      <c r="AB533">
        <f t="shared" ca="1" si="163"/>
        <v>1</v>
      </c>
      <c r="AC533">
        <f t="shared" ca="1" si="164"/>
        <v>0</v>
      </c>
      <c r="AD533" t="str">
        <f t="shared" si="154"/>
        <v>4093RN153</v>
      </c>
      <c r="AE533">
        <f t="shared" ca="1" si="165"/>
        <v>0</v>
      </c>
      <c r="AF533" t="str">
        <f t="shared" ca="1" si="166"/>
        <v/>
      </c>
      <c r="AG533">
        <v>129</v>
      </c>
      <c r="AH533" t="s">
        <v>136</v>
      </c>
      <c r="AI533" t="str">
        <f t="shared" si="155"/>
        <v>Lutheran Home 25</v>
      </c>
      <c r="AJ533" t="str">
        <f t="shared" si="156"/>
        <v>Green Bay</v>
      </c>
      <c r="AK533" t="str">
        <f t="shared" si="157"/>
        <v>WI</v>
      </c>
    </row>
    <row r="534" spans="18:37" x14ac:dyDescent="0.25">
      <c r="S534">
        <v>276</v>
      </c>
      <c r="T534">
        <f t="shared" si="153"/>
        <v>129</v>
      </c>
      <c r="U534">
        <f t="shared" si="158"/>
        <v>26053</v>
      </c>
      <c r="V534">
        <f t="shared" ca="1" si="159"/>
        <v>0</v>
      </c>
      <c r="W534">
        <v>129</v>
      </c>
      <c r="X534" t="str">
        <f t="shared" ca="1" si="160"/>
        <v/>
      </c>
      <c r="Y534" t="s">
        <v>32</v>
      </c>
      <c r="Z534">
        <f t="shared" ca="1" si="161"/>
        <v>0</v>
      </c>
      <c r="AA534" t="str">
        <f t="shared" ca="1" si="162"/>
        <v>SPPN</v>
      </c>
      <c r="AB534">
        <f t="shared" ca="1" si="163"/>
        <v>1</v>
      </c>
      <c r="AC534">
        <f t="shared" ca="1" si="164"/>
        <v>0</v>
      </c>
      <c r="AD534" t="str">
        <f t="shared" si="154"/>
        <v>4093RN153</v>
      </c>
      <c r="AE534">
        <f t="shared" ca="1" si="165"/>
        <v>0</v>
      </c>
      <c r="AF534" t="str">
        <f t="shared" ca="1" si="166"/>
        <v/>
      </c>
      <c r="AG534">
        <v>129</v>
      </c>
      <c r="AH534" t="s">
        <v>136</v>
      </c>
      <c r="AI534" t="str">
        <f t="shared" si="155"/>
        <v>Lutheran Home 25</v>
      </c>
      <c r="AJ534" t="str">
        <f t="shared" si="156"/>
        <v>Green Bay</v>
      </c>
      <c r="AK534" t="str">
        <f t="shared" si="157"/>
        <v>WI</v>
      </c>
    </row>
    <row r="535" spans="18:37" x14ac:dyDescent="0.25">
      <c r="R535">
        <v>1</v>
      </c>
      <c r="S535">
        <v>277</v>
      </c>
      <c r="T535">
        <f t="shared" si="153"/>
        <v>129</v>
      </c>
      <c r="U535">
        <f t="shared" si="158"/>
        <v>26053</v>
      </c>
      <c r="V535">
        <f t="shared" ca="1" si="159"/>
        <v>0</v>
      </c>
      <c r="W535">
        <v>130</v>
      </c>
      <c r="X535" t="str">
        <f t="shared" ca="1" si="160"/>
        <v/>
      </c>
      <c r="Y535" t="s">
        <v>9</v>
      </c>
      <c r="Z535">
        <f t="shared" ca="1" si="161"/>
        <v>0</v>
      </c>
      <c r="AA535" t="str">
        <f t="shared" ca="1" si="162"/>
        <v>SPPN</v>
      </c>
      <c r="AB535">
        <f t="shared" ca="1" si="163"/>
        <v>1</v>
      </c>
      <c r="AC535" t="str">
        <f t="shared" ca="1" si="164"/>
        <v/>
      </c>
      <c r="AD535" t="str">
        <f t="shared" si="154"/>
        <v>4093RN153</v>
      </c>
      <c r="AE535">
        <f t="shared" ca="1" si="165"/>
        <v>0</v>
      </c>
      <c r="AF535" t="str">
        <f t="shared" ca="1" si="166"/>
        <v/>
      </c>
      <c r="AG535">
        <v>130</v>
      </c>
      <c r="AH535" t="s">
        <v>136</v>
      </c>
      <c r="AI535" t="str">
        <f t="shared" si="155"/>
        <v>Lutheran Home 25</v>
      </c>
      <c r="AJ535" t="str">
        <f t="shared" si="156"/>
        <v>Green Bay</v>
      </c>
      <c r="AK535" t="str">
        <f t="shared" si="157"/>
        <v>WI</v>
      </c>
    </row>
    <row r="536" spans="18:37" x14ac:dyDescent="0.25">
      <c r="S536">
        <v>278</v>
      </c>
      <c r="T536">
        <f t="shared" si="153"/>
        <v>129</v>
      </c>
      <c r="U536">
        <f t="shared" si="158"/>
        <v>26053</v>
      </c>
      <c r="V536">
        <f t="shared" ca="1" si="159"/>
        <v>0</v>
      </c>
      <c r="W536">
        <v>130</v>
      </c>
      <c r="X536" t="str">
        <f t="shared" ca="1" si="160"/>
        <v/>
      </c>
      <c r="Y536" t="s">
        <v>33</v>
      </c>
      <c r="Z536">
        <f t="shared" ca="1" si="161"/>
        <v>0</v>
      </c>
      <c r="AA536" t="str">
        <f t="shared" ca="1" si="162"/>
        <v>SPPN</v>
      </c>
      <c r="AB536">
        <f t="shared" ca="1" si="163"/>
        <v>1</v>
      </c>
      <c r="AC536" t="str">
        <f t="shared" ca="1" si="164"/>
        <v/>
      </c>
      <c r="AD536" t="str">
        <f t="shared" si="154"/>
        <v>4093RN153</v>
      </c>
      <c r="AE536">
        <f t="shared" ca="1" si="165"/>
        <v>0</v>
      </c>
      <c r="AF536" t="str">
        <f t="shared" ca="1" si="166"/>
        <v/>
      </c>
      <c r="AG536">
        <v>130</v>
      </c>
      <c r="AH536" t="s">
        <v>136</v>
      </c>
      <c r="AI536" t="str">
        <f t="shared" si="155"/>
        <v>Lutheran Home 25</v>
      </c>
      <c r="AJ536" t="str">
        <f t="shared" si="156"/>
        <v>Green Bay</v>
      </c>
      <c r="AK536" t="str">
        <f t="shared" si="157"/>
        <v>WI</v>
      </c>
    </row>
    <row r="537" spans="18:37" x14ac:dyDescent="0.25">
      <c r="S537">
        <v>279</v>
      </c>
      <c r="T537">
        <f t="shared" si="153"/>
        <v>129</v>
      </c>
      <c r="U537">
        <f t="shared" si="158"/>
        <v>26053</v>
      </c>
      <c r="V537">
        <f t="shared" ca="1" si="159"/>
        <v>0</v>
      </c>
      <c r="W537">
        <v>130</v>
      </c>
      <c r="X537" t="str">
        <f t="shared" ca="1" si="160"/>
        <v/>
      </c>
      <c r="Y537" t="s">
        <v>28</v>
      </c>
      <c r="Z537">
        <f t="shared" ca="1" si="161"/>
        <v>0</v>
      </c>
      <c r="AA537" t="str">
        <f t="shared" ca="1" si="162"/>
        <v>SPPN</v>
      </c>
      <c r="AB537">
        <f t="shared" ca="1" si="163"/>
        <v>1</v>
      </c>
      <c r="AC537">
        <f t="shared" ca="1" si="164"/>
        <v>0</v>
      </c>
      <c r="AD537" t="str">
        <f t="shared" si="154"/>
        <v>4093RN153</v>
      </c>
      <c r="AE537">
        <f t="shared" ca="1" si="165"/>
        <v>0</v>
      </c>
      <c r="AF537" t="str">
        <f t="shared" ca="1" si="166"/>
        <v/>
      </c>
      <c r="AG537">
        <v>130</v>
      </c>
      <c r="AH537" t="s">
        <v>136</v>
      </c>
      <c r="AI537" t="str">
        <f t="shared" si="155"/>
        <v>Lutheran Home 25</v>
      </c>
      <c r="AJ537" t="str">
        <f t="shared" si="156"/>
        <v>Green Bay</v>
      </c>
      <c r="AK537" t="str">
        <f t="shared" si="157"/>
        <v>WI</v>
      </c>
    </row>
    <row r="538" spans="18:37" x14ac:dyDescent="0.25">
      <c r="S538">
        <v>280</v>
      </c>
      <c r="T538">
        <f t="shared" si="153"/>
        <v>129</v>
      </c>
      <c r="U538">
        <f t="shared" si="158"/>
        <v>26053</v>
      </c>
      <c r="V538">
        <f t="shared" ca="1" si="159"/>
        <v>0</v>
      </c>
      <c r="W538">
        <v>130</v>
      </c>
      <c r="X538" t="str">
        <f t="shared" ca="1" si="160"/>
        <v/>
      </c>
      <c r="Y538" t="s">
        <v>32</v>
      </c>
      <c r="Z538">
        <f t="shared" ca="1" si="161"/>
        <v>0</v>
      </c>
      <c r="AA538" t="str">
        <f t="shared" ca="1" si="162"/>
        <v>SPPN</v>
      </c>
      <c r="AB538">
        <f t="shared" ca="1" si="163"/>
        <v>1</v>
      </c>
      <c r="AC538">
        <f t="shared" ca="1" si="164"/>
        <v>0</v>
      </c>
      <c r="AD538" t="str">
        <f t="shared" si="154"/>
        <v>4093RN153</v>
      </c>
      <c r="AE538">
        <f t="shared" ca="1" si="165"/>
        <v>0</v>
      </c>
      <c r="AF538" t="str">
        <f t="shared" ca="1" si="166"/>
        <v/>
      </c>
      <c r="AG538">
        <v>130</v>
      </c>
      <c r="AH538" t="s">
        <v>136</v>
      </c>
      <c r="AI538" t="str">
        <f t="shared" si="155"/>
        <v>Lutheran Home 25</v>
      </c>
      <c r="AJ538" t="str">
        <f t="shared" si="156"/>
        <v>Green Bay</v>
      </c>
      <c r="AK538" t="str">
        <f t="shared" si="157"/>
        <v>WI</v>
      </c>
    </row>
    <row r="539" spans="18:37" x14ac:dyDescent="0.25">
      <c r="R539">
        <v>1</v>
      </c>
      <c r="S539">
        <v>281</v>
      </c>
      <c r="T539">
        <f t="shared" si="153"/>
        <v>129</v>
      </c>
      <c r="U539">
        <f t="shared" si="158"/>
        <v>26053</v>
      </c>
      <c r="V539">
        <f t="shared" ca="1" si="159"/>
        <v>0</v>
      </c>
      <c r="W539">
        <v>131</v>
      </c>
      <c r="X539" t="str">
        <f t="shared" ca="1" si="160"/>
        <v/>
      </c>
      <c r="Y539" t="s">
        <v>9</v>
      </c>
      <c r="Z539">
        <f t="shared" ca="1" si="161"/>
        <v>0</v>
      </c>
      <c r="AA539" t="str">
        <f t="shared" ca="1" si="162"/>
        <v>SPPN</v>
      </c>
      <c r="AB539">
        <f t="shared" ca="1" si="163"/>
        <v>1</v>
      </c>
      <c r="AC539" t="str">
        <f t="shared" ca="1" si="164"/>
        <v/>
      </c>
      <c r="AD539" t="str">
        <f t="shared" si="154"/>
        <v>4093RN153</v>
      </c>
      <c r="AE539">
        <f t="shared" ca="1" si="165"/>
        <v>0</v>
      </c>
      <c r="AF539" t="str">
        <f t="shared" ca="1" si="166"/>
        <v/>
      </c>
      <c r="AG539">
        <v>131</v>
      </c>
      <c r="AH539" t="s">
        <v>136</v>
      </c>
      <c r="AI539" t="str">
        <f t="shared" si="155"/>
        <v>Lutheran Home 25</v>
      </c>
      <c r="AJ539" t="str">
        <f t="shared" si="156"/>
        <v>Green Bay</v>
      </c>
      <c r="AK539" t="str">
        <f t="shared" si="157"/>
        <v>WI</v>
      </c>
    </row>
    <row r="540" spans="18:37" x14ac:dyDescent="0.25">
      <c r="S540">
        <v>282</v>
      </c>
      <c r="T540">
        <f t="shared" si="153"/>
        <v>129</v>
      </c>
      <c r="U540">
        <f t="shared" si="158"/>
        <v>26053</v>
      </c>
      <c r="V540">
        <f t="shared" ca="1" si="159"/>
        <v>0</v>
      </c>
      <c r="W540">
        <v>131</v>
      </c>
      <c r="X540" t="str">
        <f t="shared" ca="1" si="160"/>
        <v/>
      </c>
      <c r="Y540" t="s">
        <v>33</v>
      </c>
      <c r="Z540">
        <f t="shared" ca="1" si="161"/>
        <v>0</v>
      </c>
      <c r="AA540" t="str">
        <f t="shared" ca="1" si="162"/>
        <v>SPPN</v>
      </c>
      <c r="AB540">
        <f t="shared" ca="1" si="163"/>
        <v>1</v>
      </c>
      <c r="AC540" t="str">
        <f t="shared" ca="1" si="164"/>
        <v/>
      </c>
      <c r="AD540" t="str">
        <f t="shared" si="154"/>
        <v>4093RN153</v>
      </c>
      <c r="AE540">
        <f t="shared" ca="1" si="165"/>
        <v>0</v>
      </c>
      <c r="AF540" t="str">
        <f t="shared" ca="1" si="166"/>
        <v/>
      </c>
      <c r="AG540">
        <v>131</v>
      </c>
      <c r="AH540" t="s">
        <v>136</v>
      </c>
      <c r="AI540" t="str">
        <f t="shared" si="155"/>
        <v>Lutheran Home 25</v>
      </c>
      <c r="AJ540" t="str">
        <f t="shared" si="156"/>
        <v>Green Bay</v>
      </c>
      <c r="AK540" t="str">
        <f t="shared" si="157"/>
        <v>WI</v>
      </c>
    </row>
    <row r="541" spans="18:37" x14ac:dyDescent="0.25">
      <c r="S541">
        <v>283</v>
      </c>
      <c r="T541">
        <f t="shared" si="153"/>
        <v>129</v>
      </c>
      <c r="U541">
        <f t="shared" si="158"/>
        <v>26053</v>
      </c>
      <c r="V541">
        <f t="shared" ca="1" si="159"/>
        <v>0</v>
      </c>
      <c r="W541">
        <v>131</v>
      </c>
      <c r="X541" t="str">
        <f t="shared" ca="1" si="160"/>
        <v/>
      </c>
      <c r="Y541" t="s">
        <v>28</v>
      </c>
      <c r="Z541">
        <f t="shared" ca="1" si="161"/>
        <v>0</v>
      </c>
      <c r="AA541" t="str">
        <f t="shared" ca="1" si="162"/>
        <v>SPPN</v>
      </c>
      <c r="AB541">
        <f t="shared" ca="1" si="163"/>
        <v>1</v>
      </c>
      <c r="AC541">
        <f t="shared" ca="1" si="164"/>
        <v>0</v>
      </c>
      <c r="AD541" t="str">
        <f t="shared" si="154"/>
        <v>4093RN153</v>
      </c>
      <c r="AE541">
        <f t="shared" ca="1" si="165"/>
        <v>0</v>
      </c>
      <c r="AF541" t="str">
        <f t="shared" ca="1" si="166"/>
        <v/>
      </c>
      <c r="AG541">
        <v>131</v>
      </c>
      <c r="AH541" t="s">
        <v>136</v>
      </c>
      <c r="AI541" t="str">
        <f t="shared" si="155"/>
        <v>Lutheran Home 25</v>
      </c>
      <c r="AJ541" t="str">
        <f t="shared" si="156"/>
        <v>Green Bay</v>
      </c>
      <c r="AK541" t="str">
        <f t="shared" si="157"/>
        <v>WI</v>
      </c>
    </row>
    <row r="542" spans="18:37" x14ac:dyDescent="0.25">
      <c r="S542">
        <v>284</v>
      </c>
      <c r="T542">
        <f t="shared" si="153"/>
        <v>129</v>
      </c>
      <c r="U542">
        <f t="shared" si="158"/>
        <v>26053</v>
      </c>
      <c r="V542">
        <f t="shared" ca="1" si="159"/>
        <v>0</v>
      </c>
      <c r="W542">
        <v>131</v>
      </c>
      <c r="X542" t="str">
        <f t="shared" ca="1" si="160"/>
        <v/>
      </c>
      <c r="Y542" t="s">
        <v>32</v>
      </c>
      <c r="Z542">
        <f t="shared" ca="1" si="161"/>
        <v>0</v>
      </c>
      <c r="AA542" t="str">
        <f t="shared" ca="1" si="162"/>
        <v>SPPN</v>
      </c>
      <c r="AB542">
        <f t="shared" ca="1" si="163"/>
        <v>1</v>
      </c>
      <c r="AC542">
        <f t="shared" ca="1" si="164"/>
        <v>0</v>
      </c>
      <c r="AD542" t="str">
        <f t="shared" si="154"/>
        <v>4093RN153</v>
      </c>
      <c r="AE542">
        <f t="shared" ca="1" si="165"/>
        <v>0</v>
      </c>
      <c r="AF542" t="str">
        <f t="shared" ca="1" si="166"/>
        <v/>
      </c>
      <c r="AG542">
        <v>131</v>
      </c>
      <c r="AH542" t="s">
        <v>136</v>
      </c>
      <c r="AI542" t="str">
        <f t="shared" si="155"/>
        <v>Lutheran Home 25</v>
      </c>
      <c r="AJ542" t="str">
        <f t="shared" si="156"/>
        <v>Green Bay</v>
      </c>
      <c r="AK542" t="str">
        <f t="shared" si="157"/>
        <v>WI</v>
      </c>
    </row>
    <row r="543" spans="18:37" x14ac:dyDescent="0.25">
      <c r="R543">
        <v>1</v>
      </c>
      <c r="S543">
        <v>285</v>
      </c>
      <c r="T543">
        <f t="shared" si="153"/>
        <v>129</v>
      </c>
      <c r="U543">
        <f t="shared" si="158"/>
        <v>26053</v>
      </c>
      <c r="V543">
        <f t="shared" ca="1" si="159"/>
        <v>0</v>
      </c>
      <c r="W543">
        <v>132</v>
      </c>
      <c r="X543" t="str">
        <f t="shared" ca="1" si="160"/>
        <v/>
      </c>
      <c r="Y543" t="s">
        <v>9</v>
      </c>
      <c r="Z543">
        <f t="shared" ca="1" si="161"/>
        <v>0</v>
      </c>
      <c r="AA543" t="str">
        <f t="shared" ca="1" si="162"/>
        <v>SPPN</v>
      </c>
      <c r="AB543">
        <f t="shared" ca="1" si="163"/>
        <v>1</v>
      </c>
      <c r="AC543" t="str">
        <f t="shared" ca="1" si="164"/>
        <v/>
      </c>
      <c r="AD543" t="str">
        <f t="shared" si="154"/>
        <v>4093RN153</v>
      </c>
      <c r="AE543">
        <f t="shared" ca="1" si="165"/>
        <v>0</v>
      </c>
      <c r="AF543" t="str">
        <f t="shared" ca="1" si="166"/>
        <v/>
      </c>
      <c r="AG543">
        <v>132</v>
      </c>
      <c r="AH543" t="s">
        <v>136</v>
      </c>
      <c r="AI543" t="str">
        <f t="shared" si="155"/>
        <v>Lutheran Home 25</v>
      </c>
      <c r="AJ543" t="str">
        <f t="shared" si="156"/>
        <v>Green Bay</v>
      </c>
      <c r="AK543" t="str">
        <f t="shared" si="157"/>
        <v>WI</v>
      </c>
    </row>
    <row r="544" spans="18:37" x14ac:dyDescent="0.25">
      <c r="S544">
        <v>286</v>
      </c>
      <c r="T544">
        <f t="shared" si="153"/>
        <v>129</v>
      </c>
      <c r="U544">
        <f t="shared" si="158"/>
        <v>26053</v>
      </c>
      <c r="V544">
        <f t="shared" ca="1" si="159"/>
        <v>0</v>
      </c>
      <c r="W544">
        <v>132</v>
      </c>
      <c r="X544" t="str">
        <f t="shared" ca="1" si="160"/>
        <v/>
      </c>
      <c r="Y544" t="s">
        <v>33</v>
      </c>
      <c r="Z544">
        <f t="shared" ca="1" si="161"/>
        <v>0</v>
      </c>
      <c r="AA544" t="str">
        <f t="shared" ca="1" si="162"/>
        <v>SPPN</v>
      </c>
      <c r="AB544">
        <f t="shared" ca="1" si="163"/>
        <v>1</v>
      </c>
      <c r="AC544" t="str">
        <f t="shared" ca="1" si="164"/>
        <v/>
      </c>
      <c r="AD544" t="str">
        <f t="shared" si="154"/>
        <v>4093RN153</v>
      </c>
      <c r="AE544">
        <f t="shared" ca="1" si="165"/>
        <v>0</v>
      </c>
      <c r="AF544" t="str">
        <f t="shared" ca="1" si="166"/>
        <v/>
      </c>
      <c r="AG544">
        <v>132</v>
      </c>
      <c r="AH544" t="s">
        <v>136</v>
      </c>
      <c r="AI544" t="str">
        <f t="shared" si="155"/>
        <v>Lutheran Home 25</v>
      </c>
      <c r="AJ544" t="str">
        <f t="shared" si="156"/>
        <v>Green Bay</v>
      </c>
      <c r="AK544" t="str">
        <f t="shared" si="157"/>
        <v>WI</v>
      </c>
    </row>
    <row r="545" spans="18:37" x14ac:dyDescent="0.25">
      <c r="S545">
        <v>287</v>
      </c>
      <c r="T545">
        <f t="shared" si="153"/>
        <v>129</v>
      </c>
      <c r="U545">
        <f t="shared" si="158"/>
        <v>26053</v>
      </c>
      <c r="V545">
        <f t="shared" ca="1" si="159"/>
        <v>0</v>
      </c>
      <c r="W545">
        <v>132</v>
      </c>
      <c r="X545" t="str">
        <f t="shared" ca="1" si="160"/>
        <v/>
      </c>
      <c r="Y545" t="s">
        <v>28</v>
      </c>
      <c r="Z545">
        <f t="shared" ca="1" si="161"/>
        <v>0</v>
      </c>
      <c r="AA545" t="str">
        <f t="shared" ca="1" si="162"/>
        <v>SPPN</v>
      </c>
      <c r="AB545">
        <f t="shared" ca="1" si="163"/>
        <v>1</v>
      </c>
      <c r="AC545">
        <f t="shared" ca="1" si="164"/>
        <v>0</v>
      </c>
      <c r="AD545" t="str">
        <f t="shared" si="154"/>
        <v>4093RN153</v>
      </c>
      <c r="AE545">
        <f t="shared" ca="1" si="165"/>
        <v>0</v>
      </c>
      <c r="AF545" t="str">
        <f t="shared" ca="1" si="166"/>
        <v/>
      </c>
      <c r="AG545">
        <v>132</v>
      </c>
      <c r="AH545" t="s">
        <v>136</v>
      </c>
      <c r="AI545" t="str">
        <f t="shared" si="155"/>
        <v>Lutheran Home 25</v>
      </c>
      <c r="AJ545" t="str">
        <f t="shared" si="156"/>
        <v>Green Bay</v>
      </c>
      <c r="AK545" t="str">
        <f t="shared" si="157"/>
        <v>WI</v>
      </c>
    </row>
    <row r="546" spans="18:37" x14ac:dyDescent="0.25">
      <c r="S546">
        <v>288</v>
      </c>
      <c r="T546">
        <f t="shared" si="153"/>
        <v>129</v>
      </c>
      <c r="U546">
        <f t="shared" si="158"/>
        <v>26053</v>
      </c>
      <c r="V546">
        <f t="shared" ca="1" si="159"/>
        <v>0</v>
      </c>
      <c r="W546">
        <v>132</v>
      </c>
      <c r="X546" t="str">
        <f t="shared" ca="1" si="160"/>
        <v/>
      </c>
      <c r="Y546" t="s">
        <v>32</v>
      </c>
      <c r="Z546">
        <f t="shared" ca="1" si="161"/>
        <v>0</v>
      </c>
      <c r="AA546" t="str">
        <f t="shared" ca="1" si="162"/>
        <v>SPPN</v>
      </c>
      <c r="AB546">
        <f t="shared" ca="1" si="163"/>
        <v>1</v>
      </c>
      <c r="AC546">
        <f t="shared" ca="1" si="164"/>
        <v>0</v>
      </c>
      <c r="AD546" t="str">
        <f t="shared" si="154"/>
        <v>4093RN153</v>
      </c>
      <c r="AE546">
        <f t="shared" ca="1" si="165"/>
        <v>0</v>
      </c>
      <c r="AF546" t="str">
        <f t="shared" ca="1" si="166"/>
        <v/>
      </c>
      <c r="AG546">
        <v>132</v>
      </c>
      <c r="AH546" t="s">
        <v>136</v>
      </c>
      <c r="AI546" t="str">
        <f t="shared" si="155"/>
        <v>Lutheran Home 25</v>
      </c>
      <c r="AJ546" t="str">
        <f t="shared" si="156"/>
        <v>Green Bay</v>
      </c>
      <c r="AK546" t="str">
        <f t="shared" si="157"/>
        <v>WI</v>
      </c>
    </row>
    <row r="547" spans="18:37" x14ac:dyDescent="0.25">
      <c r="R547">
        <v>1</v>
      </c>
      <c r="S547">
        <v>289</v>
      </c>
      <c r="T547">
        <f t="shared" si="153"/>
        <v>129</v>
      </c>
      <c r="U547">
        <f t="shared" si="158"/>
        <v>26053</v>
      </c>
      <c r="V547">
        <f t="shared" ca="1" si="159"/>
        <v>0</v>
      </c>
      <c r="W547">
        <v>133</v>
      </c>
      <c r="X547" t="str">
        <f t="shared" ca="1" si="160"/>
        <v/>
      </c>
      <c r="Y547" t="s">
        <v>9</v>
      </c>
      <c r="Z547">
        <f t="shared" ca="1" si="161"/>
        <v>0</v>
      </c>
      <c r="AA547" t="str">
        <f t="shared" ca="1" si="162"/>
        <v>SPPN</v>
      </c>
      <c r="AB547">
        <f t="shared" ca="1" si="163"/>
        <v>1</v>
      </c>
      <c r="AC547" t="str">
        <f t="shared" ca="1" si="164"/>
        <v/>
      </c>
      <c r="AD547" t="str">
        <f t="shared" si="154"/>
        <v>4093RN153</v>
      </c>
      <c r="AE547">
        <f t="shared" ca="1" si="165"/>
        <v>0</v>
      </c>
      <c r="AF547" t="str">
        <f t="shared" ca="1" si="166"/>
        <v/>
      </c>
      <c r="AG547">
        <v>133</v>
      </c>
      <c r="AH547" t="s">
        <v>136</v>
      </c>
      <c r="AI547" t="str">
        <f t="shared" si="155"/>
        <v>Lutheran Home 25</v>
      </c>
      <c r="AJ547" t="str">
        <f t="shared" si="156"/>
        <v>Green Bay</v>
      </c>
      <c r="AK547" t="str">
        <f t="shared" si="157"/>
        <v>WI</v>
      </c>
    </row>
    <row r="548" spans="18:37" x14ac:dyDescent="0.25">
      <c r="S548">
        <v>290</v>
      </c>
      <c r="T548">
        <f t="shared" si="153"/>
        <v>129</v>
      </c>
      <c r="U548">
        <f t="shared" si="158"/>
        <v>26053</v>
      </c>
      <c r="V548">
        <f t="shared" ca="1" si="159"/>
        <v>0</v>
      </c>
      <c r="W548">
        <v>133</v>
      </c>
      <c r="X548" t="str">
        <f t="shared" ca="1" si="160"/>
        <v/>
      </c>
      <c r="Y548" t="s">
        <v>33</v>
      </c>
      <c r="Z548">
        <f t="shared" ca="1" si="161"/>
        <v>0</v>
      </c>
      <c r="AA548" t="str">
        <f t="shared" ca="1" si="162"/>
        <v>SPPN</v>
      </c>
      <c r="AB548">
        <f t="shared" ca="1" si="163"/>
        <v>1</v>
      </c>
      <c r="AC548" t="str">
        <f t="shared" ca="1" si="164"/>
        <v/>
      </c>
      <c r="AD548" t="str">
        <f t="shared" si="154"/>
        <v>4093RN153</v>
      </c>
      <c r="AE548">
        <f t="shared" ca="1" si="165"/>
        <v>0</v>
      </c>
      <c r="AF548" t="str">
        <f t="shared" ca="1" si="166"/>
        <v/>
      </c>
      <c r="AG548">
        <v>133</v>
      </c>
      <c r="AH548" t="s">
        <v>136</v>
      </c>
      <c r="AI548" t="str">
        <f t="shared" si="155"/>
        <v>Lutheran Home 25</v>
      </c>
      <c r="AJ548" t="str">
        <f t="shared" si="156"/>
        <v>Green Bay</v>
      </c>
      <c r="AK548" t="str">
        <f t="shared" si="157"/>
        <v>WI</v>
      </c>
    </row>
    <row r="549" spans="18:37" x14ac:dyDescent="0.25">
      <c r="S549">
        <v>291</v>
      </c>
      <c r="T549">
        <f t="shared" si="153"/>
        <v>129</v>
      </c>
      <c r="U549">
        <f t="shared" si="158"/>
        <v>26053</v>
      </c>
      <c r="V549">
        <f t="shared" ca="1" si="159"/>
        <v>0</v>
      </c>
      <c r="W549">
        <v>133</v>
      </c>
      <c r="X549" t="str">
        <f t="shared" ca="1" si="160"/>
        <v/>
      </c>
      <c r="Y549" t="s">
        <v>28</v>
      </c>
      <c r="Z549">
        <f t="shared" ca="1" si="161"/>
        <v>0</v>
      </c>
      <c r="AA549" t="str">
        <f t="shared" ca="1" si="162"/>
        <v>SPPN</v>
      </c>
      <c r="AB549">
        <f t="shared" ca="1" si="163"/>
        <v>1</v>
      </c>
      <c r="AC549">
        <f t="shared" ca="1" si="164"/>
        <v>0</v>
      </c>
      <c r="AD549" t="str">
        <f t="shared" si="154"/>
        <v>4093RN153</v>
      </c>
      <c r="AE549">
        <f t="shared" ca="1" si="165"/>
        <v>0</v>
      </c>
      <c r="AF549" t="str">
        <f t="shared" ca="1" si="166"/>
        <v/>
      </c>
      <c r="AG549">
        <v>133</v>
      </c>
      <c r="AH549" t="s">
        <v>136</v>
      </c>
      <c r="AI549" t="str">
        <f t="shared" si="155"/>
        <v>Lutheran Home 25</v>
      </c>
      <c r="AJ549" t="str">
        <f t="shared" si="156"/>
        <v>Green Bay</v>
      </c>
      <c r="AK549" t="str">
        <f t="shared" si="157"/>
        <v>WI</v>
      </c>
    </row>
    <row r="550" spans="18:37" x14ac:dyDescent="0.25">
      <c r="S550">
        <v>292</v>
      </c>
      <c r="T550">
        <f t="shared" si="153"/>
        <v>129</v>
      </c>
      <c r="U550">
        <f t="shared" si="158"/>
        <v>26053</v>
      </c>
      <c r="V550">
        <f t="shared" ca="1" si="159"/>
        <v>0</v>
      </c>
      <c r="W550">
        <v>133</v>
      </c>
      <c r="X550" t="str">
        <f t="shared" ca="1" si="160"/>
        <v/>
      </c>
      <c r="Y550" t="s">
        <v>32</v>
      </c>
      <c r="Z550">
        <f t="shared" ca="1" si="161"/>
        <v>0</v>
      </c>
      <c r="AA550" t="str">
        <f t="shared" ca="1" si="162"/>
        <v>SPPN</v>
      </c>
      <c r="AB550">
        <f t="shared" ca="1" si="163"/>
        <v>1</v>
      </c>
      <c r="AC550">
        <f t="shared" ca="1" si="164"/>
        <v>0</v>
      </c>
      <c r="AD550" t="str">
        <f t="shared" si="154"/>
        <v>4093RN153</v>
      </c>
      <c r="AE550">
        <f t="shared" ca="1" si="165"/>
        <v>0</v>
      </c>
      <c r="AF550" t="str">
        <f t="shared" ca="1" si="166"/>
        <v/>
      </c>
      <c r="AG550">
        <v>133</v>
      </c>
      <c r="AH550" t="s">
        <v>136</v>
      </c>
      <c r="AI550" t="str">
        <f t="shared" si="155"/>
        <v>Lutheran Home 25</v>
      </c>
      <c r="AJ550" t="str">
        <f t="shared" si="156"/>
        <v>Green Bay</v>
      </c>
      <c r="AK550" t="str">
        <f t="shared" si="157"/>
        <v>WI</v>
      </c>
    </row>
    <row r="551" spans="18:37" x14ac:dyDescent="0.25">
      <c r="R551">
        <v>1</v>
      </c>
      <c r="S551">
        <v>293</v>
      </c>
      <c r="T551">
        <f t="shared" si="153"/>
        <v>129</v>
      </c>
      <c r="U551">
        <f t="shared" si="158"/>
        <v>26053</v>
      </c>
      <c r="V551">
        <f t="shared" ca="1" si="159"/>
        <v>0</v>
      </c>
      <c r="W551">
        <v>134</v>
      </c>
      <c r="X551" t="str">
        <f t="shared" ca="1" si="160"/>
        <v/>
      </c>
      <c r="Y551" t="s">
        <v>9</v>
      </c>
      <c r="Z551">
        <f t="shared" ca="1" si="161"/>
        <v>0</v>
      </c>
      <c r="AA551" t="str">
        <f t="shared" ca="1" si="162"/>
        <v>SPPN</v>
      </c>
      <c r="AB551">
        <f t="shared" ca="1" si="163"/>
        <v>1</v>
      </c>
      <c r="AC551" t="str">
        <f t="shared" ca="1" si="164"/>
        <v/>
      </c>
      <c r="AD551" t="str">
        <f t="shared" si="154"/>
        <v>4093RN153</v>
      </c>
      <c r="AE551">
        <f t="shared" ca="1" si="165"/>
        <v>0</v>
      </c>
      <c r="AF551" t="str">
        <f t="shared" ca="1" si="166"/>
        <v/>
      </c>
      <c r="AG551">
        <v>134</v>
      </c>
      <c r="AH551" t="s">
        <v>136</v>
      </c>
      <c r="AI551" t="str">
        <f t="shared" si="155"/>
        <v>Lutheran Home 25</v>
      </c>
      <c r="AJ551" t="str">
        <f t="shared" si="156"/>
        <v>Green Bay</v>
      </c>
      <c r="AK551" t="str">
        <f t="shared" si="157"/>
        <v>WI</v>
      </c>
    </row>
    <row r="552" spans="18:37" x14ac:dyDescent="0.25">
      <c r="S552">
        <v>294</v>
      </c>
      <c r="T552">
        <f t="shared" si="153"/>
        <v>129</v>
      </c>
      <c r="U552">
        <f t="shared" si="158"/>
        <v>26053</v>
      </c>
      <c r="V552">
        <f t="shared" ca="1" si="159"/>
        <v>0</v>
      </c>
      <c r="W552">
        <v>134</v>
      </c>
      <c r="X552" t="str">
        <f t="shared" ca="1" si="160"/>
        <v/>
      </c>
      <c r="Y552" t="s">
        <v>33</v>
      </c>
      <c r="Z552">
        <f t="shared" ca="1" si="161"/>
        <v>0</v>
      </c>
      <c r="AA552" t="str">
        <f t="shared" ca="1" si="162"/>
        <v>SPPN</v>
      </c>
      <c r="AB552">
        <f t="shared" ca="1" si="163"/>
        <v>1</v>
      </c>
      <c r="AC552" t="str">
        <f t="shared" ca="1" si="164"/>
        <v/>
      </c>
      <c r="AD552" t="str">
        <f t="shared" si="154"/>
        <v>4093RN153</v>
      </c>
      <c r="AE552">
        <f t="shared" ca="1" si="165"/>
        <v>0</v>
      </c>
      <c r="AF552" t="str">
        <f t="shared" ca="1" si="166"/>
        <v/>
      </c>
      <c r="AG552">
        <v>134</v>
      </c>
      <c r="AH552" t="s">
        <v>136</v>
      </c>
      <c r="AI552" t="str">
        <f t="shared" si="155"/>
        <v>Lutheran Home 25</v>
      </c>
      <c r="AJ552" t="str">
        <f t="shared" si="156"/>
        <v>Green Bay</v>
      </c>
      <c r="AK552" t="str">
        <f t="shared" si="157"/>
        <v>WI</v>
      </c>
    </row>
    <row r="553" spans="18:37" x14ac:dyDescent="0.25">
      <c r="S553">
        <v>295</v>
      </c>
      <c r="T553">
        <f t="shared" si="153"/>
        <v>129</v>
      </c>
      <c r="U553">
        <f t="shared" si="158"/>
        <v>26053</v>
      </c>
      <c r="V553">
        <f t="shared" ca="1" si="159"/>
        <v>0</v>
      </c>
      <c r="W553">
        <v>134</v>
      </c>
      <c r="X553" t="str">
        <f t="shared" ca="1" si="160"/>
        <v/>
      </c>
      <c r="Y553" t="s">
        <v>28</v>
      </c>
      <c r="Z553">
        <f t="shared" ca="1" si="161"/>
        <v>0</v>
      </c>
      <c r="AA553" t="str">
        <f t="shared" ca="1" si="162"/>
        <v>SPPN</v>
      </c>
      <c r="AB553">
        <f t="shared" ca="1" si="163"/>
        <v>1</v>
      </c>
      <c r="AC553">
        <f t="shared" ca="1" si="164"/>
        <v>0</v>
      </c>
      <c r="AD553" t="str">
        <f t="shared" si="154"/>
        <v>4093RN153</v>
      </c>
      <c r="AE553">
        <f t="shared" ca="1" si="165"/>
        <v>0</v>
      </c>
      <c r="AF553" t="str">
        <f t="shared" ca="1" si="166"/>
        <v/>
      </c>
      <c r="AG553">
        <v>134</v>
      </c>
      <c r="AH553" t="s">
        <v>136</v>
      </c>
      <c r="AI553" t="str">
        <f t="shared" si="155"/>
        <v>Lutheran Home 25</v>
      </c>
      <c r="AJ553" t="str">
        <f t="shared" si="156"/>
        <v>Green Bay</v>
      </c>
      <c r="AK553" t="str">
        <f t="shared" si="157"/>
        <v>WI</v>
      </c>
    </row>
    <row r="554" spans="18:37" x14ac:dyDescent="0.25">
      <c r="S554">
        <v>296</v>
      </c>
      <c r="T554">
        <f t="shared" si="153"/>
        <v>129</v>
      </c>
      <c r="U554">
        <f t="shared" si="158"/>
        <v>26053</v>
      </c>
      <c r="V554">
        <f t="shared" ca="1" si="159"/>
        <v>0</v>
      </c>
      <c r="W554">
        <v>134</v>
      </c>
      <c r="X554" t="str">
        <f t="shared" ca="1" si="160"/>
        <v/>
      </c>
      <c r="Y554" t="s">
        <v>32</v>
      </c>
      <c r="Z554">
        <f t="shared" ca="1" si="161"/>
        <v>0</v>
      </c>
      <c r="AA554" t="str">
        <f t="shared" ca="1" si="162"/>
        <v>SPPN</v>
      </c>
      <c r="AB554">
        <f t="shared" ca="1" si="163"/>
        <v>1</v>
      </c>
      <c r="AC554">
        <f t="shared" ca="1" si="164"/>
        <v>0</v>
      </c>
      <c r="AD554" t="str">
        <f t="shared" si="154"/>
        <v>4093RN153</v>
      </c>
      <c r="AE554">
        <f t="shared" ca="1" si="165"/>
        <v>0</v>
      </c>
      <c r="AF554" t="str">
        <f t="shared" ca="1" si="166"/>
        <v/>
      </c>
      <c r="AG554">
        <v>134</v>
      </c>
      <c r="AH554" t="s">
        <v>136</v>
      </c>
      <c r="AI554" t="str">
        <f t="shared" si="155"/>
        <v>Lutheran Home 25</v>
      </c>
      <c r="AJ554" t="str">
        <f t="shared" si="156"/>
        <v>Green Bay</v>
      </c>
      <c r="AK554" t="str">
        <f t="shared" si="157"/>
        <v>WI</v>
      </c>
    </row>
    <row r="555" spans="18:37" x14ac:dyDescent="0.25">
      <c r="R555">
        <v>1</v>
      </c>
      <c r="S555">
        <v>297</v>
      </c>
      <c r="T555">
        <f t="shared" si="153"/>
        <v>129</v>
      </c>
      <c r="U555">
        <f t="shared" si="158"/>
        <v>26053</v>
      </c>
      <c r="V555">
        <f t="shared" ca="1" si="159"/>
        <v>0</v>
      </c>
      <c r="W555">
        <v>135</v>
      </c>
      <c r="X555" t="str">
        <f t="shared" ca="1" si="160"/>
        <v/>
      </c>
      <c r="Y555" t="s">
        <v>9</v>
      </c>
      <c r="Z555">
        <f t="shared" ca="1" si="161"/>
        <v>0</v>
      </c>
      <c r="AA555" t="str">
        <f t="shared" ca="1" si="162"/>
        <v>SPPN</v>
      </c>
      <c r="AB555">
        <f t="shared" ca="1" si="163"/>
        <v>1</v>
      </c>
      <c r="AC555" t="str">
        <f t="shared" ca="1" si="164"/>
        <v/>
      </c>
      <c r="AD555" t="str">
        <f t="shared" si="154"/>
        <v>4093RN153</v>
      </c>
      <c r="AE555">
        <f t="shared" ca="1" si="165"/>
        <v>0</v>
      </c>
      <c r="AF555" t="str">
        <f t="shared" ca="1" si="166"/>
        <v/>
      </c>
      <c r="AG555">
        <v>135</v>
      </c>
      <c r="AH555" t="s">
        <v>136</v>
      </c>
      <c r="AI555" t="str">
        <f t="shared" si="155"/>
        <v>Lutheran Home 25</v>
      </c>
      <c r="AJ555" t="str">
        <f t="shared" si="156"/>
        <v>Green Bay</v>
      </c>
      <c r="AK555" t="str">
        <f t="shared" si="157"/>
        <v>WI</v>
      </c>
    </row>
    <row r="556" spans="18:37" x14ac:dyDescent="0.25">
      <c r="S556">
        <v>298</v>
      </c>
      <c r="T556">
        <f t="shared" si="153"/>
        <v>129</v>
      </c>
      <c r="U556">
        <f t="shared" si="158"/>
        <v>26053</v>
      </c>
      <c r="V556">
        <f t="shared" ca="1" si="159"/>
        <v>0</v>
      </c>
      <c r="W556">
        <v>135</v>
      </c>
      <c r="X556" t="str">
        <f t="shared" ca="1" si="160"/>
        <v/>
      </c>
      <c r="Y556" t="s">
        <v>33</v>
      </c>
      <c r="Z556">
        <f t="shared" ca="1" si="161"/>
        <v>0</v>
      </c>
      <c r="AA556" t="str">
        <f t="shared" ca="1" si="162"/>
        <v>SPPN</v>
      </c>
      <c r="AB556">
        <f t="shared" ca="1" si="163"/>
        <v>1</v>
      </c>
      <c r="AC556" t="str">
        <f t="shared" ca="1" si="164"/>
        <v/>
      </c>
      <c r="AD556" t="str">
        <f t="shared" si="154"/>
        <v>4093RN153</v>
      </c>
      <c r="AE556">
        <f t="shared" ca="1" si="165"/>
        <v>0</v>
      </c>
      <c r="AF556" t="str">
        <f t="shared" ca="1" si="166"/>
        <v/>
      </c>
      <c r="AG556">
        <v>135</v>
      </c>
      <c r="AH556" t="s">
        <v>136</v>
      </c>
      <c r="AI556" t="str">
        <f t="shared" si="155"/>
        <v>Lutheran Home 25</v>
      </c>
      <c r="AJ556" t="str">
        <f t="shared" si="156"/>
        <v>Green Bay</v>
      </c>
      <c r="AK556" t="str">
        <f t="shared" si="157"/>
        <v>WI</v>
      </c>
    </row>
    <row r="557" spans="18:37" x14ac:dyDescent="0.25">
      <c r="S557">
        <v>299</v>
      </c>
      <c r="T557">
        <f t="shared" si="153"/>
        <v>129</v>
      </c>
      <c r="U557">
        <f t="shared" si="158"/>
        <v>26053</v>
      </c>
      <c r="V557">
        <f t="shared" ca="1" si="159"/>
        <v>0</v>
      </c>
      <c r="W557">
        <v>135</v>
      </c>
      <c r="X557" t="str">
        <f t="shared" ca="1" si="160"/>
        <v/>
      </c>
      <c r="Y557" t="s">
        <v>28</v>
      </c>
      <c r="Z557">
        <f t="shared" ca="1" si="161"/>
        <v>0</v>
      </c>
      <c r="AA557" t="str">
        <f t="shared" ca="1" si="162"/>
        <v>SPPN</v>
      </c>
      <c r="AB557">
        <f t="shared" ca="1" si="163"/>
        <v>1</v>
      </c>
      <c r="AC557">
        <f t="shared" ca="1" si="164"/>
        <v>0</v>
      </c>
      <c r="AD557" t="str">
        <f t="shared" si="154"/>
        <v>4093RN153</v>
      </c>
      <c r="AE557">
        <f t="shared" ca="1" si="165"/>
        <v>0</v>
      </c>
      <c r="AF557" t="str">
        <f t="shared" ca="1" si="166"/>
        <v/>
      </c>
      <c r="AG557">
        <v>135</v>
      </c>
      <c r="AH557" t="s">
        <v>136</v>
      </c>
      <c r="AI557" t="str">
        <f t="shared" si="155"/>
        <v>Lutheran Home 25</v>
      </c>
      <c r="AJ557" t="str">
        <f t="shared" si="156"/>
        <v>Green Bay</v>
      </c>
      <c r="AK557" t="str">
        <f t="shared" si="157"/>
        <v>WI</v>
      </c>
    </row>
    <row r="558" spans="18:37" x14ac:dyDescent="0.25">
      <c r="S558">
        <v>300</v>
      </c>
      <c r="T558">
        <f t="shared" si="153"/>
        <v>129</v>
      </c>
      <c r="U558">
        <f t="shared" si="158"/>
        <v>26053</v>
      </c>
      <c r="V558">
        <f t="shared" ca="1" si="159"/>
        <v>0</v>
      </c>
      <c r="W558">
        <v>135</v>
      </c>
      <c r="X558" t="str">
        <f t="shared" ca="1" si="160"/>
        <v/>
      </c>
      <c r="Y558" t="s">
        <v>32</v>
      </c>
      <c r="Z558">
        <f t="shared" ca="1" si="161"/>
        <v>0</v>
      </c>
      <c r="AA558" t="str">
        <f t="shared" ca="1" si="162"/>
        <v>SPPN</v>
      </c>
      <c r="AB558">
        <f t="shared" ca="1" si="163"/>
        <v>1</v>
      </c>
      <c r="AC558">
        <f t="shared" ca="1" si="164"/>
        <v>0</v>
      </c>
      <c r="AD558" t="str">
        <f t="shared" si="154"/>
        <v>4093RN153</v>
      </c>
      <c r="AE558">
        <f t="shared" ca="1" si="165"/>
        <v>0</v>
      </c>
      <c r="AF558" t="str">
        <f t="shared" ca="1" si="166"/>
        <v/>
      </c>
      <c r="AG558">
        <v>135</v>
      </c>
      <c r="AH558" t="s">
        <v>136</v>
      </c>
      <c r="AI558" t="str">
        <f t="shared" si="155"/>
        <v>Lutheran Home 25</v>
      </c>
      <c r="AJ558" t="str">
        <f t="shared" si="156"/>
        <v>Green Bay</v>
      </c>
      <c r="AK558" t="str">
        <f t="shared" si="157"/>
        <v>WI</v>
      </c>
    </row>
    <row r="559" spans="18:37" x14ac:dyDescent="0.25">
      <c r="R559">
        <v>1</v>
      </c>
      <c r="S559">
        <v>301</v>
      </c>
      <c r="T559">
        <f t="shared" si="153"/>
        <v>129</v>
      </c>
      <c r="U559">
        <f t="shared" si="158"/>
        <v>26053</v>
      </c>
      <c r="V559">
        <f t="shared" ca="1" si="159"/>
        <v>0</v>
      </c>
      <c r="W559">
        <v>136</v>
      </c>
      <c r="X559" t="str">
        <f t="shared" ca="1" si="160"/>
        <v/>
      </c>
      <c r="Y559" t="s">
        <v>9</v>
      </c>
      <c r="Z559">
        <f t="shared" ca="1" si="161"/>
        <v>0</v>
      </c>
      <c r="AA559" t="str">
        <f t="shared" ca="1" si="162"/>
        <v>SPPN</v>
      </c>
      <c r="AB559">
        <f t="shared" ca="1" si="163"/>
        <v>1</v>
      </c>
      <c r="AC559" t="str">
        <f t="shared" ca="1" si="164"/>
        <v/>
      </c>
      <c r="AD559" t="str">
        <f t="shared" si="154"/>
        <v>4093RN153</v>
      </c>
      <c r="AE559">
        <f t="shared" ca="1" si="165"/>
        <v>0</v>
      </c>
      <c r="AF559" t="str">
        <f t="shared" ca="1" si="166"/>
        <v/>
      </c>
      <c r="AG559">
        <v>136</v>
      </c>
      <c r="AH559" t="s">
        <v>136</v>
      </c>
      <c r="AI559" t="str">
        <f t="shared" si="155"/>
        <v>Lutheran Home 25</v>
      </c>
      <c r="AJ559" t="str">
        <f t="shared" si="156"/>
        <v>Green Bay</v>
      </c>
      <c r="AK559" t="str">
        <f t="shared" si="157"/>
        <v>WI</v>
      </c>
    </row>
    <row r="560" spans="18:37" x14ac:dyDescent="0.25">
      <c r="S560">
        <v>302</v>
      </c>
      <c r="T560">
        <f t="shared" si="153"/>
        <v>129</v>
      </c>
      <c r="U560">
        <f t="shared" si="158"/>
        <v>26053</v>
      </c>
      <c r="V560">
        <f t="shared" ca="1" si="159"/>
        <v>0</v>
      </c>
      <c r="W560">
        <v>136</v>
      </c>
      <c r="X560" t="str">
        <f t="shared" ca="1" si="160"/>
        <v/>
      </c>
      <c r="Y560" t="s">
        <v>33</v>
      </c>
      <c r="Z560">
        <f t="shared" ca="1" si="161"/>
        <v>0</v>
      </c>
      <c r="AA560" t="str">
        <f t="shared" ca="1" si="162"/>
        <v>SPPN</v>
      </c>
      <c r="AB560">
        <f t="shared" ca="1" si="163"/>
        <v>1</v>
      </c>
      <c r="AC560" t="str">
        <f t="shared" ca="1" si="164"/>
        <v/>
      </c>
      <c r="AD560" t="str">
        <f t="shared" si="154"/>
        <v>4093RN153</v>
      </c>
      <c r="AE560">
        <f t="shared" ca="1" si="165"/>
        <v>0</v>
      </c>
      <c r="AF560" t="str">
        <f t="shared" ca="1" si="166"/>
        <v/>
      </c>
      <c r="AG560">
        <v>136</v>
      </c>
      <c r="AH560" t="s">
        <v>136</v>
      </c>
      <c r="AI560" t="str">
        <f t="shared" si="155"/>
        <v>Lutheran Home 25</v>
      </c>
      <c r="AJ560" t="str">
        <f t="shared" si="156"/>
        <v>Green Bay</v>
      </c>
      <c r="AK560" t="str">
        <f t="shared" si="157"/>
        <v>WI</v>
      </c>
    </row>
    <row r="561" spans="18:37" x14ac:dyDescent="0.25">
      <c r="S561">
        <v>303</v>
      </c>
      <c r="T561">
        <f t="shared" si="153"/>
        <v>129</v>
      </c>
      <c r="U561">
        <f t="shared" si="158"/>
        <v>26053</v>
      </c>
      <c r="V561">
        <f t="shared" ca="1" si="159"/>
        <v>0</v>
      </c>
      <c r="W561">
        <v>136</v>
      </c>
      <c r="X561" t="str">
        <f t="shared" ca="1" si="160"/>
        <v/>
      </c>
      <c r="Y561" t="s">
        <v>28</v>
      </c>
      <c r="Z561">
        <f t="shared" ca="1" si="161"/>
        <v>0</v>
      </c>
      <c r="AA561" t="str">
        <f t="shared" ca="1" si="162"/>
        <v>SPPN</v>
      </c>
      <c r="AB561">
        <f t="shared" ca="1" si="163"/>
        <v>1</v>
      </c>
      <c r="AC561">
        <f t="shared" ca="1" si="164"/>
        <v>0</v>
      </c>
      <c r="AD561" t="str">
        <f t="shared" si="154"/>
        <v>4093RN153</v>
      </c>
      <c r="AE561">
        <f t="shared" ca="1" si="165"/>
        <v>0</v>
      </c>
      <c r="AF561" t="str">
        <f t="shared" ca="1" si="166"/>
        <v/>
      </c>
      <c r="AG561">
        <v>136</v>
      </c>
      <c r="AH561" t="s">
        <v>136</v>
      </c>
      <c r="AI561" t="str">
        <f t="shared" si="155"/>
        <v>Lutheran Home 25</v>
      </c>
      <c r="AJ561" t="str">
        <f t="shared" si="156"/>
        <v>Green Bay</v>
      </c>
      <c r="AK561" t="str">
        <f t="shared" si="157"/>
        <v>WI</v>
      </c>
    </row>
    <row r="562" spans="18:37" x14ac:dyDescent="0.25">
      <c r="S562">
        <v>304</v>
      </c>
      <c r="T562">
        <f t="shared" si="153"/>
        <v>129</v>
      </c>
      <c r="U562">
        <f t="shared" si="158"/>
        <v>26053</v>
      </c>
      <c r="V562">
        <f t="shared" ca="1" si="159"/>
        <v>0</v>
      </c>
      <c r="W562">
        <v>136</v>
      </c>
      <c r="X562" t="str">
        <f t="shared" ca="1" si="160"/>
        <v/>
      </c>
      <c r="Y562" t="s">
        <v>32</v>
      </c>
      <c r="Z562">
        <f t="shared" ca="1" si="161"/>
        <v>0</v>
      </c>
      <c r="AA562" t="str">
        <f t="shared" ca="1" si="162"/>
        <v>SPPN</v>
      </c>
      <c r="AB562">
        <f t="shared" ca="1" si="163"/>
        <v>1</v>
      </c>
      <c r="AC562">
        <f t="shared" ca="1" si="164"/>
        <v>0</v>
      </c>
      <c r="AD562" t="str">
        <f t="shared" si="154"/>
        <v>4093RN153</v>
      </c>
      <c r="AE562">
        <f t="shared" ca="1" si="165"/>
        <v>0</v>
      </c>
      <c r="AF562" t="str">
        <f t="shared" ca="1" si="166"/>
        <v/>
      </c>
      <c r="AG562">
        <v>136</v>
      </c>
      <c r="AH562" t="s">
        <v>136</v>
      </c>
      <c r="AI562" t="str">
        <f t="shared" si="155"/>
        <v>Lutheran Home 25</v>
      </c>
      <c r="AJ562" t="str">
        <f t="shared" si="156"/>
        <v>Green Bay</v>
      </c>
      <c r="AK562" t="str">
        <f t="shared" si="157"/>
        <v>WI</v>
      </c>
    </row>
    <row r="563" spans="18:37" x14ac:dyDescent="0.25">
      <c r="R563">
        <v>1</v>
      </c>
      <c r="S563">
        <v>305</v>
      </c>
      <c r="T563">
        <f t="shared" si="153"/>
        <v>129</v>
      </c>
      <c r="U563">
        <f t="shared" si="158"/>
        <v>26053</v>
      </c>
      <c r="V563">
        <f t="shared" ca="1" si="159"/>
        <v>0</v>
      </c>
      <c r="W563">
        <v>137</v>
      </c>
      <c r="X563" t="str">
        <f t="shared" ca="1" si="160"/>
        <v/>
      </c>
      <c r="Y563" t="s">
        <v>9</v>
      </c>
      <c r="Z563">
        <f t="shared" ca="1" si="161"/>
        <v>0</v>
      </c>
      <c r="AA563" t="str">
        <f t="shared" ca="1" si="162"/>
        <v>SPPN</v>
      </c>
      <c r="AB563">
        <f t="shared" ca="1" si="163"/>
        <v>1</v>
      </c>
      <c r="AC563" t="str">
        <f t="shared" ca="1" si="164"/>
        <v/>
      </c>
      <c r="AD563" t="str">
        <f t="shared" si="154"/>
        <v>4093RN153</v>
      </c>
      <c r="AE563">
        <f t="shared" ca="1" si="165"/>
        <v>0</v>
      </c>
      <c r="AF563" t="str">
        <f t="shared" ca="1" si="166"/>
        <v/>
      </c>
      <c r="AG563">
        <v>137</v>
      </c>
      <c r="AH563" t="s">
        <v>136</v>
      </c>
      <c r="AI563" t="str">
        <f t="shared" si="155"/>
        <v>Lutheran Home 25</v>
      </c>
      <c r="AJ563" t="str">
        <f t="shared" si="156"/>
        <v>Green Bay</v>
      </c>
      <c r="AK563" t="str">
        <f t="shared" si="157"/>
        <v>WI</v>
      </c>
    </row>
    <row r="564" spans="18:37" x14ac:dyDescent="0.25">
      <c r="S564">
        <v>306</v>
      </c>
      <c r="T564">
        <f t="shared" si="153"/>
        <v>129</v>
      </c>
      <c r="U564">
        <f t="shared" si="158"/>
        <v>26053</v>
      </c>
      <c r="V564">
        <f t="shared" ca="1" si="159"/>
        <v>0</v>
      </c>
      <c r="W564">
        <v>137</v>
      </c>
      <c r="X564" t="str">
        <f t="shared" ca="1" si="160"/>
        <v/>
      </c>
      <c r="Y564" t="s">
        <v>33</v>
      </c>
      <c r="Z564">
        <f t="shared" ca="1" si="161"/>
        <v>0</v>
      </c>
      <c r="AA564" t="str">
        <f t="shared" ca="1" si="162"/>
        <v>SPPN</v>
      </c>
      <c r="AB564">
        <f t="shared" ca="1" si="163"/>
        <v>1</v>
      </c>
      <c r="AC564" t="str">
        <f t="shared" ca="1" si="164"/>
        <v/>
      </c>
      <c r="AD564" t="str">
        <f t="shared" si="154"/>
        <v>4093RN153</v>
      </c>
      <c r="AE564">
        <f t="shared" ca="1" si="165"/>
        <v>0</v>
      </c>
      <c r="AF564" t="str">
        <f t="shared" ca="1" si="166"/>
        <v/>
      </c>
      <c r="AG564">
        <v>137</v>
      </c>
      <c r="AH564" t="s">
        <v>136</v>
      </c>
      <c r="AI564" t="str">
        <f t="shared" si="155"/>
        <v>Lutheran Home 25</v>
      </c>
      <c r="AJ564" t="str">
        <f t="shared" si="156"/>
        <v>Green Bay</v>
      </c>
      <c r="AK564" t="str">
        <f t="shared" si="157"/>
        <v>WI</v>
      </c>
    </row>
    <row r="565" spans="18:37" x14ac:dyDescent="0.25">
      <c r="S565">
        <v>307</v>
      </c>
      <c r="T565">
        <f t="shared" si="153"/>
        <v>129</v>
      </c>
      <c r="U565">
        <f t="shared" si="158"/>
        <v>26053</v>
      </c>
      <c r="V565">
        <f t="shared" ca="1" si="159"/>
        <v>0</v>
      </c>
      <c r="W565">
        <v>137</v>
      </c>
      <c r="X565" t="str">
        <f t="shared" ca="1" si="160"/>
        <v/>
      </c>
      <c r="Y565" t="s">
        <v>28</v>
      </c>
      <c r="Z565">
        <f t="shared" ca="1" si="161"/>
        <v>0</v>
      </c>
      <c r="AA565" t="str">
        <f t="shared" ca="1" si="162"/>
        <v>SPPN</v>
      </c>
      <c r="AB565">
        <f t="shared" ca="1" si="163"/>
        <v>1</v>
      </c>
      <c r="AC565">
        <f t="shared" ca="1" si="164"/>
        <v>0</v>
      </c>
      <c r="AD565" t="str">
        <f t="shared" si="154"/>
        <v>4093RN153</v>
      </c>
      <c r="AE565">
        <f t="shared" ca="1" si="165"/>
        <v>0</v>
      </c>
      <c r="AF565" t="str">
        <f t="shared" ca="1" si="166"/>
        <v/>
      </c>
      <c r="AG565">
        <v>137</v>
      </c>
      <c r="AH565" t="s">
        <v>136</v>
      </c>
      <c r="AI565" t="str">
        <f t="shared" si="155"/>
        <v>Lutheran Home 25</v>
      </c>
      <c r="AJ565" t="str">
        <f t="shared" si="156"/>
        <v>Green Bay</v>
      </c>
      <c r="AK565" t="str">
        <f t="shared" si="157"/>
        <v>WI</v>
      </c>
    </row>
    <row r="566" spans="18:37" x14ac:dyDescent="0.25">
      <c r="S566">
        <v>308</v>
      </c>
      <c r="T566">
        <f t="shared" si="153"/>
        <v>129</v>
      </c>
      <c r="U566">
        <f t="shared" si="158"/>
        <v>26053</v>
      </c>
      <c r="V566">
        <f t="shared" ca="1" si="159"/>
        <v>0</v>
      </c>
      <c r="W566">
        <v>137</v>
      </c>
      <c r="X566" t="str">
        <f t="shared" ca="1" si="160"/>
        <v/>
      </c>
      <c r="Y566" t="s">
        <v>32</v>
      </c>
      <c r="Z566">
        <f t="shared" ca="1" si="161"/>
        <v>0</v>
      </c>
      <c r="AA566" t="str">
        <f t="shared" ca="1" si="162"/>
        <v>SPPN</v>
      </c>
      <c r="AB566">
        <f t="shared" ca="1" si="163"/>
        <v>1</v>
      </c>
      <c r="AC566">
        <f t="shared" ca="1" si="164"/>
        <v>0</v>
      </c>
      <c r="AD566" t="str">
        <f t="shared" si="154"/>
        <v>4093RN153</v>
      </c>
      <c r="AE566">
        <f t="shared" ca="1" si="165"/>
        <v>0</v>
      </c>
      <c r="AF566" t="str">
        <f t="shared" ca="1" si="166"/>
        <v/>
      </c>
      <c r="AG566">
        <v>137</v>
      </c>
      <c r="AH566" t="s">
        <v>136</v>
      </c>
      <c r="AI566" t="str">
        <f t="shared" si="155"/>
        <v>Lutheran Home 25</v>
      </c>
      <c r="AJ566" t="str">
        <f t="shared" si="156"/>
        <v>Green Bay</v>
      </c>
      <c r="AK566" t="str">
        <f t="shared" si="157"/>
        <v>WI</v>
      </c>
    </row>
    <row r="567" spans="18:37" x14ac:dyDescent="0.25">
      <c r="R567">
        <v>1</v>
      </c>
      <c r="S567">
        <v>309</v>
      </c>
      <c r="T567">
        <f t="shared" si="153"/>
        <v>129</v>
      </c>
      <c r="U567">
        <f t="shared" si="158"/>
        <v>26053</v>
      </c>
      <c r="V567">
        <f t="shared" ca="1" si="159"/>
        <v>0</v>
      </c>
      <c r="W567">
        <v>138</v>
      </c>
      <c r="X567" t="str">
        <f t="shared" ca="1" si="160"/>
        <v/>
      </c>
      <c r="Y567" t="s">
        <v>9</v>
      </c>
      <c r="Z567">
        <f t="shared" ca="1" si="161"/>
        <v>0</v>
      </c>
      <c r="AA567" t="str">
        <f t="shared" ca="1" si="162"/>
        <v>SPPN</v>
      </c>
      <c r="AB567">
        <f t="shared" ca="1" si="163"/>
        <v>1</v>
      </c>
      <c r="AC567" t="str">
        <f t="shared" ca="1" si="164"/>
        <v/>
      </c>
      <c r="AD567" t="str">
        <f t="shared" si="154"/>
        <v>4093RN153</v>
      </c>
      <c r="AE567">
        <f t="shared" ca="1" si="165"/>
        <v>0</v>
      </c>
      <c r="AF567" t="str">
        <f t="shared" ca="1" si="166"/>
        <v/>
      </c>
      <c r="AG567">
        <v>138</v>
      </c>
      <c r="AH567" t="s">
        <v>136</v>
      </c>
      <c r="AI567" t="str">
        <f t="shared" si="155"/>
        <v>Lutheran Home 25</v>
      </c>
      <c r="AJ567" t="str">
        <f t="shared" si="156"/>
        <v>Green Bay</v>
      </c>
      <c r="AK567" t="str">
        <f t="shared" si="157"/>
        <v>WI</v>
      </c>
    </row>
    <row r="568" spans="18:37" x14ac:dyDescent="0.25">
      <c r="S568">
        <v>310</v>
      </c>
      <c r="T568">
        <f t="shared" si="153"/>
        <v>129</v>
      </c>
      <c r="U568">
        <f t="shared" si="158"/>
        <v>26053</v>
      </c>
      <c r="V568">
        <f t="shared" ca="1" si="159"/>
        <v>0</v>
      </c>
      <c r="W568">
        <v>138</v>
      </c>
      <c r="X568" t="str">
        <f t="shared" ca="1" si="160"/>
        <v/>
      </c>
      <c r="Y568" t="s">
        <v>33</v>
      </c>
      <c r="Z568">
        <f t="shared" ca="1" si="161"/>
        <v>0</v>
      </c>
      <c r="AA568" t="str">
        <f t="shared" ca="1" si="162"/>
        <v>SPPN</v>
      </c>
      <c r="AB568">
        <f t="shared" ca="1" si="163"/>
        <v>1</v>
      </c>
      <c r="AC568" t="str">
        <f t="shared" ca="1" si="164"/>
        <v/>
      </c>
      <c r="AD568" t="str">
        <f t="shared" si="154"/>
        <v>4093RN153</v>
      </c>
      <c r="AE568">
        <f t="shared" ca="1" si="165"/>
        <v>0</v>
      </c>
      <c r="AF568" t="str">
        <f t="shared" ca="1" si="166"/>
        <v/>
      </c>
      <c r="AG568">
        <v>138</v>
      </c>
      <c r="AH568" t="s">
        <v>136</v>
      </c>
      <c r="AI568" t="str">
        <f t="shared" si="155"/>
        <v>Lutheran Home 25</v>
      </c>
      <c r="AJ568" t="str">
        <f t="shared" si="156"/>
        <v>Green Bay</v>
      </c>
      <c r="AK568" t="str">
        <f t="shared" si="157"/>
        <v>WI</v>
      </c>
    </row>
    <row r="569" spans="18:37" x14ac:dyDescent="0.25">
      <c r="S569">
        <v>311</v>
      </c>
      <c r="T569">
        <f t="shared" si="153"/>
        <v>129</v>
      </c>
      <c r="U569">
        <f t="shared" si="158"/>
        <v>26053</v>
      </c>
      <c r="V569">
        <f t="shared" ca="1" si="159"/>
        <v>0</v>
      </c>
      <c r="W569">
        <v>138</v>
      </c>
      <c r="X569" t="str">
        <f t="shared" ca="1" si="160"/>
        <v/>
      </c>
      <c r="Y569" t="s">
        <v>28</v>
      </c>
      <c r="Z569">
        <f t="shared" ca="1" si="161"/>
        <v>0</v>
      </c>
      <c r="AA569" t="str">
        <f t="shared" ca="1" si="162"/>
        <v>SPPN</v>
      </c>
      <c r="AB569">
        <f t="shared" ca="1" si="163"/>
        <v>1</v>
      </c>
      <c r="AC569">
        <f t="shared" ca="1" si="164"/>
        <v>0</v>
      </c>
      <c r="AD569" t="str">
        <f t="shared" si="154"/>
        <v>4093RN153</v>
      </c>
      <c r="AE569">
        <f t="shared" ca="1" si="165"/>
        <v>0</v>
      </c>
      <c r="AF569" t="str">
        <f t="shared" ca="1" si="166"/>
        <v/>
      </c>
      <c r="AG569">
        <v>138</v>
      </c>
      <c r="AH569" t="s">
        <v>136</v>
      </c>
      <c r="AI569" t="str">
        <f t="shared" si="155"/>
        <v>Lutheran Home 25</v>
      </c>
      <c r="AJ569" t="str">
        <f t="shared" si="156"/>
        <v>Green Bay</v>
      </c>
      <c r="AK569" t="str">
        <f t="shared" si="157"/>
        <v>WI</v>
      </c>
    </row>
    <row r="570" spans="18:37" x14ac:dyDescent="0.25">
      <c r="S570">
        <v>312</v>
      </c>
      <c r="T570">
        <f t="shared" si="153"/>
        <v>129</v>
      </c>
      <c r="U570">
        <f t="shared" si="158"/>
        <v>26053</v>
      </c>
      <c r="V570">
        <f t="shared" ca="1" si="159"/>
        <v>0</v>
      </c>
      <c r="W570">
        <v>138</v>
      </c>
      <c r="X570" t="str">
        <f t="shared" ca="1" si="160"/>
        <v/>
      </c>
      <c r="Y570" t="s">
        <v>32</v>
      </c>
      <c r="Z570">
        <f t="shared" ca="1" si="161"/>
        <v>0</v>
      </c>
      <c r="AA570" t="str">
        <f t="shared" ca="1" si="162"/>
        <v>SPPN</v>
      </c>
      <c r="AB570">
        <f t="shared" ca="1" si="163"/>
        <v>1</v>
      </c>
      <c r="AC570">
        <f t="shared" ca="1" si="164"/>
        <v>0</v>
      </c>
      <c r="AD570" t="str">
        <f t="shared" si="154"/>
        <v>4093RN153</v>
      </c>
      <c r="AE570">
        <f t="shared" ca="1" si="165"/>
        <v>0</v>
      </c>
      <c r="AF570" t="str">
        <f t="shared" ca="1" si="166"/>
        <v/>
      </c>
      <c r="AG570">
        <v>138</v>
      </c>
      <c r="AH570" t="s">
        <v>136</v>
      </c>
      <c r="AI570" t="str">
        <f t="shared" si="155"/>
        <v>Lutheran Home 25</v>
      </c>
      <c r="AJ570" t="str">
        <f t="shared" si="156"/>
        <v>Green Bay</v>
      </c>
      <c r="AK570" t="str">
        <f t="shared" si="157"/>
        <v>WI</v>
      </c>
    </row>
    <row r="571" spans="18:37" x14ac:dyDescent="0.25">
      <c r="R571">
        <v>1</v>
      </c>
      <c r="S571">
        <v>313</v>
      </c>
      <c r="T571">
        <f t="shared" si="153"/>
        <v>129</v>
      </c>
      <c r="U571">
        <f t="shared" si="158"/>
        <v>26053</v>
      </c>
      <c r="V571">
        <f t="shared" ca="1" si="159"/>
        <v>0</v>
      </c>
      <c r="W571">
        <v>139</v>
      </c>
      <c r="X571" t="str">
        <f t="shared" ca="1" si="160"/>
        <v/>
      </c>
      <c r="Y571" t="s">
        <v>9</v>
      </c>
      <c r="Z571">
        <f t="shared" ca="1" si="161"/>
        <v>0</v>
      </c>
      <c r="AA571" t="str">
        <f t="shared" ca="1" si="162"/>
        <v>SPPN</v>
      </c>
      <c r="AB571">
        <f t="shared" ca="1" si="163"/>
        <v>1</v>
      </c>
      <c r="AC571" t="str">
        <f t="shared" ca="1" si="164"/>
        <v/>
      </c>
      <c r="AD571" t="str">
        <f t="shared" si="154"/>
        <v>4093RN153</v>
      </c>
      <c r="AE571">
        <f t="shared" ca="1" si="165"/>
        <v>0</v>
      </c>
      <c r="AF571" t="str">
        <f t="shared" ca="1" si="166"/>
        <v/>
      </c>
      <c r="AG571">
        <v>139</v>
      </c>
      <c r="AH571" t="s">
        <v>136</v>
      </c>
      <c r="AI571" t="str">
        <f t="shared" si="155"/>
        <v>Lutheran Home 25</v>
      </c>
      <c r="AJ571" t="str">
        <f t="shared" si="156"/>
        <v>Green Bay</v>
      </c>
      <c r="AK571" t="str">
        <f t="shared" si="157"/>
        <v>WI</v>
      </c>
    </row>
    <row r="572" spans="18:37" x14ac:dyDescent="0.25">
      <c r="S572">
        <v>314</v>
      </c>
      <c r="T572">
        <f t="shared" si="153"/>
        <v>129</v>
      </c>
      <c r="U572">
        <f t="shared" si="158"/>
        <v>26053</v>
      </c>
      <c r="V572">
        <f t="shared" ca="1" si="159"/>
        <v>0</v>
      </c>
      <c r="W572">
        <v>139</v>
      </c>
      <c r="X572" t="str">
        <f t="shared" ca="1" si="160"/>
        <v/>
      </c>
      <c r="Y572" t="s">
        <v>33</v>
      </c>
      <c r="Z572">
        <f t="shared" ca="1" si="161"/>
        <v>0</v>
      </c>
      <c r="AA572" t="str">
        <f t="shared" ca="1" si="162"/>
        <v>SPPN</v>
      </c>
      <c r="AB572">
        <f t="shared" ca="1" si="163"/>
        <v>1</v>
      </c>
      <c r="AC572" t="str">
        <f t="shared" ca="1" si="164"/>
        <v/>
      </c>
      <c r="AD572" t="str">
        <f t="shared" si="154"/>
        <v>4093RN153</v>
      </c>
      <c r="AE572">
        <f t="shared" ca="1" si="165"/>
        <v>0</v>
      </c>
      <c r="AF572" t="str">
        <f t="shared" ca="1" si="166"/>
        <v/>
      </c>
      <c r="AG572">
        <v>139</v>
      </c>
      <c r="AH572" t="s">
        <v>136</v>
      </c>
      <c r="AI572" t="str">
        <f t="shared" si="155"/>
        <v>Lutheran Home 25</v>
      </c>
      <c r="AJ572" t="str">
        <f t="shared" si="156"/>
        <v>Green Bay</v>
      </c>
      <c r="AK572" t="str">
        <f t="shared" si="157"/>
        <v>WI</v>
      </c>
    </row>
    <row r="573" spans="18:37" x14ac:dyDescent="0.25">
      <c r="S573">
        <v>315</v>
      </c>
      <c r="T573">
        <f t="shared" si="153"/>
        <v>129</v>
      </c>
      <c r="U573">
        <f t="shared" si="158"/>
        <v>26053</v>
      </c>
      <c r="V573">
        <f t="shared" ca="1" si="159"/>
        <v>0</v>
      </c>
      <c r="W573">
        <v>139</v>
      </c>
      <c r="X573" t="str">
        <f t="shared" ca="1" si="160"/>
        <v/>
      </c>
      <c r="Y573" t="s">
        <v>28</v>
      </c>
      <c r="Z573">
        <f t="shared" ca="1" si="161"/>
        <v>0</v>
      </c>
      <c r="AA573" t="str">
        <f t="shared" ca="1" si="162"/>
        <v>SPPN</v>
      </c>
      <c r="AB573">
        <f t="shared" ca="1" si="163"/>
        <v>1</v>
      </c>
      <c r="AC573">
        <f t="shared" ca="1" si="164"/>
        <v>0</v>
      </c>
      <c r="AD573" t="str">
        <f t="shared" si="154"/>
        <v>4093RN153</v>
      </c>
      <c r="AE573">
        <f t="shared" ca="1" si="165"/>
        <v>0</v>
      </c>
      <c r="AF573" t="str">
        <f t="shared" ca="1" si="166"/>
        <v/>
      </c>
      <c r="AG573">
        <v>139</v>
      </c>
      <c r="AH573" t="s">
        <v>136</v>
      </c>
      <c r="AI573" t="str">
        <f t="shared" si="155"/>
        <v>Lutheran Home 25</v>
      </c>
      <c r="AJ573" t="str">
        <f t="shared" si="156"/>
        <v>Green Bay</v>
      </c>
      <c r="AK573" t="str">
        <f t="shared" si="157"/>
        <v>WI</v>
      </c>
    </row>
    <row r="574" spans="18:37" x14ac:dyDescent="0.25">
      <c r="S574">
        <v>316</v>
      </c>
      <c r="T574">
        <f t="shared" si="153"/>
        <v>129</v>
      </c>
      <c r="U574">
        <f t="shared" si="158"/>
        <v>26053</v>
      </c>
      <c r="V574">
        <f t="shared" ca="1" si="159"/>
        <v>0</v>
      </c>
      <c r="W574">
        <v>139</v>
      </c>
      <c r="X574" t="str">
        <f t="shared" ca="1" si="160"/>
        <v/>
      </c>
      <c r="Y574" t="s">
        <v>32</v>
      </c>
      <c r="Z574">
        <f t="shared" ca="1" si="161"/>
        <v>0</v>
      </c>
      <c r="AA574" t="str">
        <f t="shared" ca="1" si="162"/>
        <v>SPPN</v>
      </c>
      <c r="AB574">
        <f t="shared" ca="1" si="163"/>
        <v>1</v>
      </c>
      <c r="AC574">
        <f t="shared" ca="1" si="164"/>
        <v>0</v>
      </c>
      <c r="AD574" t="str">
        <f t="shared" si="154"/>
        <v>4093RN153</v>
      </c>
      <c r="AE574">
        <f t="shared" ca="1" si="165"/>
        <v>0</v>
      </c>
      <c r="AF574" t="str">
        <f t="shared" ca="1" si="166"/>
        <v/>
      </c>
      <c r="AG574">
        <v>139</v>
      </c>
      <c r="AH574" t="s">
        <v>136</v>
      </c>
      <c r="AI574" t="str">
        <f t="shared" si="155"/>
        <v>Lutheran Home 25</v>
      </c>
      <c r="AJ574" t="str">
        <f t="shared" si="156"/>
        <v>Green Bay</v>
      </c>
      <c r="AK574" t="str">
        <f t="shared" si="157"/>
        <v>WI</v>
      </c>
    </row>
    <row r="575" spans="18:37" x14ac:dyDescent="0.25">
      <c r="R575">
        <v>1</v>
      </c>
      <c r="S575">
        <v>317</v>
      </c>
      <c r="T575">
        <f t="shared" si="153"/>
        <v>129</v>
      </c>
      <c r="U575">
        <f t="shared" si="158"/>
        <v>26053</v>
      </c>
      <c r="V575">
        <f t="shared" ca="1" si="159"/>
        <v>0</v>
      </c>
      <c r="W575">
        <v>140</v>
      </c>
      <c r="X575" t="str">
        <f t="shared" ca="1" si="160"/>
        <v/>
      </c>
      <c r="Y575" t="s">
        <v>9</v>
      </c>
      <c r="Z575">
        <f t="shared" ca="1" si="161"/>
        <v>0</v>
      </c>
      <c r="AA575" t="str">
        <f t="shared" ca="1" si="162"/>
        <v>SPPN</v>
      </c>
      <c r="AB575">
        <f t="shared" ca="1" si="163"/>
        <v>1</v>
      </c>
      <c r="AC575" t="str">
        <f t="shared" ca="1" si="164"/>
        <v/>
      </c>
      <c r="AD575" t="str">
        <f t="shared" si="154"/>
        <v>4093RN153</v>
      </c>
      <c r="AE575">
        <f t="shared" ca="1" si="165"/>
        <v>0</v>
      </c>
      <c r="AF575" t="str">
        <f t="shared" ca="1" si="166"/>
        <v/>
      </c>
      <c r="AG575">
        <v>140</v>
      </c>
      <c r="AH575" t="s">
        <v>136</v>
      </c>
      <c r="AI575" t="str">
        <f t="shared" si="155"/>
        <v>Lutheran Home 25</v>
      </c>
      <c r="AJ575" t="str">
        <f t="shared" si="156"/>
        <v>Green Bay</v>
      </c>
      <c r="AK575" t="str">
        <f t="shared" si="157"/>
        <v>WI</v>
      </c>
    </row>
    <row r="576" spans="18:37" x14ac:dyDescent="0.25">
      <c r="S576">
        <v>318</v>
      </c>
      <c r="T576">
        <f t="shared" si="153"/>
        <v>129</v>
      </c>
      <c r="U576">
        <f t="shared" si="158"/>
        <v>26053</v>
      </c>
      <c r="V576">
        <f t="shared" ca="1" si="159"/>
        <v>0</v>
      </c>
      <c r="W576">
        <v>140</v>
      </c>
      <c r="X576" t="str">
        <f t="shared" ca="1" si="160"/>
        <v/>
      </c>
      <c r="Y576" t="s">
        <v>33</v>
      </c>
      <c r="Z576">
        <f t="shared" ca="1" si="161"/>
        <v>0</v>
      </c>
      <c r="AA576" t="str">
        <f t="shared" ca="1" si="162"/>
        <v>SPPN</v>
      </c>
      <c r="AB576">
        <f t="shared" ca="1" si="163"/>
        <v>1</v>
      </c>
      <c r="AC576" t="str">
        <f t="shared" ca="1" si="164"/>
        <v/>
      </c>
      <c r="AD576" t="str">
        <f t="shared" si="154"/>
        <v>4093RN153</v>
      </c>
      <c r="AE576">
        <f t="shared" ca="1" si="165"/>
        <v>0</v>
      </c>
      <c r="AF576" t="str">
        <f t="shared" ca="1" si="166"/>
        <v/>
      </c>
      <c r="AG576">
        <v>140</v>
      </c>
      <c r="AH576" t="s">
        <v>136</v>
      </c>
      <c r="AI576" t="str">
        <f t="shared" si="155"/>
        <v>Lutheran Home 25</v>
      </c>
      <c r="AJ576" t="str">
        <f t="shared" si="156"/>
        <v>Green Bay</v>
      </c>
      <c r="AK576" t="str">
        <f t="shared" si="157"/>
        <v>WI</v>
      </c>
    </row>
    <row r="577" spans="18:37" x14ac:dyDescent="0.25">
      <c r="S577">
        <v>319</v>
      </c>
      <c r="T577">
        <f t="shared" si="153"/>
        <v>129</v>
      </c>
      <c r="U577">
        <f t="shared" si="158"/>
        <v>26053</v>
      </c>
      <c r="V577">
        <f t="shared" ca="1" si="159"/>
        <v>0</v>
      </c>
      <c r="W577">
        <v>140</v>
      </c>
      <c r="X577" t="str">
        <f t="shared" ca="1" si="160"/>
        <v/>
      </c>
      <c r="Y577" t="s">
        <v>28</v>
      </c>
      <c r="Z577">
        <f t="shared" ca="1" si="161"/>
        <v>0</v>
      </c>
      <c r="AA577" t="str">
        <f t="shared" ca="1" si="162"/>
        <v>SPPN</v>
      </c>
      <c r="AB577">
        <f t="shared" ca="1" si="163"/>
        <v>1</v>
      </c>
      <c r="AC577">
        <f t="shared" ca="1" si="164"/>
        <v>0</v>
      </c>
      <c r="AD577" t="str">
        <f t="shared" si="154"/>
        <v>4093RN153</v>
      </c>
      <c r="AE577">
        <f t="shared" ca="1" si="165"/>
        <v>0</v>
      </c>
      <c r="AF577" t="str">
        <f t="shared" ca="1" si="166"/>
        <v/>
      </c>
      <c r="AG577">
        <v>140</v>
      </c>
      <c r="AH577" t="s">
        <v>136</v>
      </c>
      <c r="AI577" t="str">
        <f t="shared" si="155"/>
        <v>Lutheran Home 25</v>
      </c>
      <c r="AJ577" t="str">
        <f t="shared" si="156"/>
        <v>Green Bay</v>
      </c>
      <c r="AK577" t="str">
        <f t="shared" si="157"/>
        <v>WI</v>
      </c>
    </row>
    <row r="578" spans="18:37" x14ac:dyDescent="0.25">
      <c r="S578">
        <v>320</v>
      </c>
      <c r="T578">
        <f t="shared" si="153"/>
        <v>129</v>
      </c>
      <c r="U578">
        <f t="shared" si="158"/>
        <v>26053</v>
      </c>
      <c r="V578">
        <f t="shared" ca="1" si="159"/>
        <v>0</v>
      </c>
      <c r="W578">
        <v>140</v>
      </c>
      <c r="X578" t="str">
        <f t="shared" ca="1" si="160"/>
        <v/>
      </c>
      <c r="Y578" t="s">
        <v>32</v>
      </c>
      <c r="Z578">
        <f t="shared" ca="1" si="161"/>
        <v>0</v>
      </c>
      <c r="AA578" t="str">
        <f t="shared" ca="1" si="162"/>
        <v>SPPN</v>
      </c>
      <c r="AB578">
        <f t="shared" ca="1" si="163"/>
        <v>1</v>
      </c>
      <c r="AC578">
        <f t="shared" ca="1" si="164"/>
        <v>0</v>
      </c>
      <c r="AD578" t="str">
        <f t="shared" si="154"/>
        <v>4093RN153</v>
      </c>
      <c r="AE578">
        <f t="shared" ca="1" si="165"/>
        <v>0</v>
      </c>
      <c r="AF578" t="str">
        <f t="shared" ca="1" si="166"/>
        <v/>
      </c>
      <c r="AG578">
        <v>140</v>
      </c>
      <c r="AH578" t="s">
        <v>136</v>
      </c>
      <c r="AI578" t="str">
        <f t="shared" si="155"/>
        <v>Lutheran Home 25</v>
      </c>
      <c r="AJ578" t="str">
        <f t="shared" si="156"/>
        <v>Green Bay</v>
      </c>
      <c r="AK578" t="str">
        <f t="shared" si="157"/>
        <v>WI</v>
      </c>
    </row>
    <row r="579" spans="18:37" x14ac:dyDescent="0.25">
      <c r="R579">
        <v>1</v>
      </c>
      <c r="S579">
        <v>321</v>
      </c>
      <c r="T579">
        <f t="shared" si="153"/>
        <v>129</v>
      </c>
      <c r="U579">
        <f t="shared" si="158"/>
        <v>26053</v>
      </c>
      <c r="V579">
        <f t="shared" ca="1" si="159"/>
        <v>0</v>
      </c>
      <c r="W579">
        <v>141</v>
      </c>
      <c r="X579" t="str">
        <f t="shared" ca="1" si="160"/>
        <v/>
      </c>
      <c r="Y579" t="s">
        <v>9</v>
      </c>
      <c r="Z579">
        <f t="shared" ca="1" si="161"/>
        <v>0</v>
      </c>
      <c r="AA579" t="str">
        <f t="shared" ca="1" si="162"/>
        <v>SPPN</v>
      </c>
      <c r="AB579">
        <f t="shared" ca="1" si="163"/>
        <v>1</v>
      </c>
      <c r="AC579" t="str">
        <f t="shared" ca="1" si="164"/>
        <v/>
      </c>
      <c r="AD579" t="str">
        <f t="shared" si="154"/>
        <v>4093RN153</v>
      </c>
      <c r="AE579">
        <f t="shared" ca="1" si="165"/>
        <v>0</v>
      </c>
      <c r="AF579" t="str">
        <f t="shared" ca="1" si="166"/>
        <v/>
      </c>
      <c r="AG579">
        <v>141</v>
      </c>
      <c r="AH579" t="s">
        <v>136</v>
      </c>
      <c r="AI579" t="str">
        <f t="shared" si="155"/>
        <v>Lutheran Home 25</v>
      </c>
      <c r="AJ579" t="str">
        <f t="shared" si="156"/>
        <v>Green Bay</v>
      </c>
      <c r="AK579" t="str">
        <f t="shared" si="157"/>
        <v>WI</v>
      </c>
    </row>
    <row r="580" spans="18:37" x14ac:dyDescent="0.25">
      <c r="S580">
        <v>322</v>
      </c>
      <c r="T580">
        <f t="shared" si="153"/>
        <v>129</v>
      </c>
      <c r="U580">
        <f t="shared" si="158"/>
        <v>26053</v>
      </c>
      <c r="V580">
        <f t="shared" ca="1" si="159"/>
        <v>0</v>
      </c>
      <c r="W580">
        <v>141</v>
      </c>
      <c r="X580" t="str">
        <f t="shared" ca="1" si="160"/>
        <v/>
      </c>
      <c r="Y580" t="s">
        <v>33</v>
      </c>
      <c r="Z580">
        <f t="shared" ca="1" si="161"/>
        <v>0</v>
      </c>
      <c r="AA580" t="str">
        <f t="shared" ca="1" si="162"/>
        <v>SPPN</v>
      </c>
      <c r="AB580">
        <f t="shared" ca="1" si="163"/>
        <v>1</v>
      </c>
      <c r="AC580" t="str">
        <f t="shared" ca="1" si="164"/>
        <v/>
      </c>
      <c r="AD580" t="str">
        <f t="shared" si="154"/>
        <v>4093RN153</v>
      </c>
      <c r="AE580">
        <f t="shared" ca="1" si="165"/>
        <v>0</v>
      </c>
      <c r="AF580" t="str">
        <f t="shared" ca="1" si="166"/>
        <v/>
      </c>
      <c r="AG580">
        <v>141</v>
      </c>
      <c r="AH580" t="s">
        <v>136</v>
      </c>
      <c r="AI580" t="str">
        <f t="shared" si="155"/>
        <v>Lutheran Home 25</v>
      </c>
      <c r="AJ580" t="str">
        <f t="shared" si="156"/>
        <v>Green Bay</v>
      </c>
      <c r="AK580" t="str">
        <f t="shared" si="157"/>
        <v>WI</v>
      </c>
    </row>
    <row r="581" spans="18:37" x14ac:dyDescent="0.25">
      <c r="S581">
        <v>323</v>
      </c>
      <c r="T581">
        <f t="shared" si="153"/>
        <v>129</v>
      </c>
      <c r="U581">
        <f t="shared" si="158"/>
        <v>26053</v>
      </c>
      <c r="V581">
        <f t="shared" ca="1" si="159"/>
        <v>0</v>
      </c>
      <c r="W581">
        <v>141</v>
      </c>
      <c r="X581" t="str">
        <f t="shared" ca="1" si="160"/>
        <v/>
      </c>
      <c r="Y581" t="s">
        <v>28</v>
      </c>
      <c r="Z581">
        <f t="shared" ca="1" si="161"/>
        <v>0</v>
      </c>
      <c r="AA581" t="str">
        <f t="shared" ca="1" si="162"/>
        <v>SPPN</v>
      </c>
      <c r="AB581">
        <f t="shared" ca="1" si="163"/>
        <v>1</v>
      </c>
      <c r="AC581">
        <f t="shared" ca="1" si="164"/>
        <v>0</v>
      </c>
      <c r="AD581" t="str">
        <f t="shared" si="154"/>
        <v>4093RN153</v>
      </c>
      <c r="AE581">
        <f t="shared" ca="1" si="165"/>
        <v>0</v>
      </c>
      <c r="AF581" t="str">
        <f t="shared" ca="1" si="166"/>
        <v/>
      </c>
      <c r="AG581">
        <v>141</v>
      </c>
      <c r="AH581" t="s">
        <v>136</v>
      </c>
      <c r="AI581" t="str">
        <f t="shared" si="155"/>
        <v>Lutheran Home 25</v>
      </c>
      <c r="AJ581" t="str">
        <f t="shared" si="156"/>
        <v>Green Bay</v>
      </c>
      <c r="AK581" t="str">
        <f t="shared" si="157"/>
        <v>WI</v>
      </c>
    </row>
    <row r="582" spans="18:37" x14ac:dyDescent="0.25">
      <c r="S582">
        <v>324</v>
      </c>
      <c r="T582">
        <f t="shared" si="153"/>
        <v>129</v>
      </c>
      <c r="U582">
        <f t="shared" si="158"/>
        <v>26053</v>
      </c>
      <c r="V582">
        <f t="shared" ca="1" si="159"/>
        <v>0</v>
      </c>
      <c r="W582">
        <v>141</v>
      </c>
      <c r="X582" t="str">
        <f t="shared" ca="1" si="160"/>
        <v/>
      </c>
      <c r="Y582" t="s">
        <v>32</v>
      </c>
      <c r="Z582">
        <f t="shared" ca="1" si="161"/>
        <v>0</v>
      </c>
      <c r="AA582" t="str">
        <f t="shared" ca="1" si="162"/>
        <v>SPPN</v>
      </c>
      <c r="AB582">
        <f t="shared" ca="1" si="163"/>
        <v>1</v>
      </c>
      <c r="AC582">
        <f t="shared" ca="1" si="164"/>
        <v>0</v>
      </c>
      <c r="AD582" t="str">
        <f t="shared" si="154"/>
        <v>4093RN153</v>
      </c>
      <c r="AE582">
        <f t="shared" ca="1" si="165"/>
        <v>0</v>
      </c>
      <c r="AF582" t="str">
        <f t="shared" ca="1" si="166"/>
        <v/>
      </c>
      <c r="AG582">
        <v>141</v>
      </c>
      <c r="AH582" t="s">
        <v>136</v>
      </c>
      <c r="AI582" t="str">
        <f t="shared" si="155"/>
        <v>Lutheran Home 25</v>
      </c>
      <c r="AJ582" t="str">
        <f t="shared" si="156"/>
        <v>Green Bay</v>
      </c>
      <c r="AK582" t="str">
        <f t="shared" si="157"/>
        <v>WI</v>
      </c>
    </row>
    <row r="583" spans="18:37" x14ac:dyDescent="0.25">
      <c r="R583">
        <v>1</v>
      </c>
      <c r="S583">
        <v>325</v>
      </c>
      <c r="T583">
        <f t="shared" si="153"/>
        <v>129</v>
      </c>
      <c r="U583">
        <f t="shared" si="158"/>
        <v>26053</v>
      </c>
      <c r="V583">
        <f t="shared" ca="1" si="159"/>
        <v>0</v>
      </c>
      <c r="W583">
        <v>142</v>
      </c>
      <c r="X583" t="str">
        <f t="shared" ca="1" si="160"/>
        <v/>
      </c>
      <c r="Y583" t="s">
        <v>9</v>
      </c>
      <c r="Z583">
        <f t="shared" ca="1" si="161"/>
        <v>0</v>
      </c>
      <c r="AA583" t="str">
        <f t="shared" ca="1" si="162"/>
        <v>SPPN</v>
      </c>
      <c r="AB583">
        <f t="shared" ca="1" si="163"/>
        <v>1</v>
      </c>
      <c r="AC583" t="str">
        <f t="shared" ca="1" si="164"/>
        <v/>
      </c>
      <c r="AD583" t="str">
        <f t="shared" si="154"/>
        <v>4093RN153</v>
      </c>
      <c r="AE583">
        <f t="shared" ca="1" si="165"/>
        <v>0</v>
      </c>
      <c r="AF583" t="str">
        <f t="shared" ca="1" si="166"/>
        <v/>
      </c>
      <c r="AG583">
        <v>142</v>
      </c>
      <c r="AH583" t="s">
        <v>136</v>
      </c>
      <c r="AI583" t="str">
        <f t="shared" si="155"/>
        <v>Lutheran Home 25</v>
      </c>
      <c r="AJ583" t="str">
        <f t="shared" si="156"/>
        <v>Green Bay</v>
      </c>
      <c r="AK583" t="str">
        <f t="shared" si="157"/>
        <v>WI</v>
      </c>
    </row>
    <row r="584" spans="18:37" x14ac:dyDescent="0.25">
      <c r="S584">
        <v>326</v>
      </c>
      <c r="T584">
        <f t="shared" si="153"/>
        <v>129</v>
      </c>
      <c r="U584">
        <f t="shared" si="158"/>
        <v>26053</v>
      </c>
      <c r="V584">
        <f t="shared" ca="1" si="159"/>
        <v>0</v>
      </c>
      <c r="W584">
        <v>142</v>
      </c>
      <c r="X584" t="str">
        <f t="shared" ca="1" si="160"/>
        <v/>
      </c>
      <c r="Y584" t="s">
        <v>33</v>
      </c>
      <c r="Z584">
        <f t="shared" ca="1" si="161"/>
        <v>0</v>
      </c>
      <c r="AA584" t="str">
        <f t="shared" ca="1" si="162"/>
        <v>SPPN</v>
      </c>
      <c r="AB584">
        <f t="shared" ca="1" si="163"/>
        <v>1</v>
      </c>
      <c r="AC584" t="str">
        <f t="shared" ca="1" si="164"/>
        <v/>
      </c>
      <c r="AD584" t="str">
        <f t="shared" si="154"/>
        <v>4093RN153</v>
      </c>
      <c r="AE584">
        <f t="shared" ca="1" si="165"/>
        <v>0</v>
      </c>
      <c r="AF584" t="str">
        <f t="shared" ca="1" si="166"/>
        <v/>
      </c>
      <c r="AG584">
        <v>142</v>
      </c>
      <c r="AH584" t="s">
        <v>136</v>
      </c>
      <c r="AI584" t="str">
        <f t="shared" si="155"/>
        <v>Lutheran Home 25</v>
      </c>
      <c r="AJ584" t="str">
        <f t="shared" si="156"/>
        <v>Green Bay</v>
      </c>
      <c r="AK584" t="str">
        <f t="shared" si="157"/>
        <v>WI</v>
      </c>
    </row>
    <row r="585" spans="18:37" x14ac:dyDescent="0.25">
      <c r="S585">
        <v>327</v>
      </c>
      <c r="T585">
        <f t="shared" si="153"/>
        <v>129</v>
      </c>
      <c r="U585">
        <f t="shared" si="158"/>
        <v>26053</v>
      </c>
      <c r="V585">
        <f t="shared" ca="1" si="159"/>
        <v>0</v>
      </c>
      <c r="W585">
        <v>142</v>
      </c>
      <c r="X585" t="str">
        <f t="shared" ca="1" si="160"/>
        <v/>
      </c>
      <c r="Y585" t="s">
        <v>28</v>
      </c>
      <c r="Z585">
        <f t="shared" ca="1" si="161"/>
        <v>0</v>
      </c>
      <c r="AA585" t="str">
        <f t="shared" ca="1" si="162"/>
        <v>SPPN</v>
      </c>
      <c r="AB585">
        <f t="shared" ca="1" si="163"/>
        <v>1</v>
      </c>
      <c r="AC585">
        <f t="shared" ca="1" si="164"/>
        <v>0</v>
      </c>
      <c r="AD585" t="str">
        <f t="shared" si="154"/>
        <v>4093RN153</v>
      </c>
      <c r="AE585">
        <f t="shared" ca="1" si="165"/>
        <v>0</v>
      </c>
      <c r="AF585" t="str">
        <f t="shared" ca="1" si="166"/>
        <v/>
      </c>
      <c r="AG585">
        <v>142</v>
      </c>
      <c r="AH585" t="s">
        <v>136</v>
      </c>
      <c r="AI585" t="str">
        <f t="shared" si="155"/>
        <v>Lutheran Home 25</v>
      </c>
      <c r="AJ585" t="str">
        <f t="shared" si="156"/>
        <v>Green Bay</v>
      </c>
      <c r="AK585" t="str">
        <f t="shared" si="157"/>
        <v>WI</v>
      </c>
    </row>
    <row r="586" spans="18:37" x14ac:dyDescent="0.25">
      <c r="S586">
        <v>328</v>
      </c>
      <c r="T586">
        <f t="shared" si="153"/>
        <v>129</v>
      </c>
      <c r="U586">
        <f t="shared" si="158"/>
        <v>26053</v>
      </c>
      <c r="V586">
        <f t="shared" ca="1" si="159"/>
        <v>0</v>
      </c>
      <c r="W586">
        <v>142</v>
      </c>
      <c r="X586" t="str">
        <f t="shared" ca="1" si="160"/>
        <v/>
      </c>
      <c r="Y586" t="s">
        <v>32</v>
      </c>
      <c r="Z586">
        <f t="shared" ca="1" si="161"/>
        <v>0</v>
      </c>
      <c r="AA586" t="str">
        <f t="shared" ca="1" si="162"/>
        <v>SPPN</v>
      </c>
      <c r="AB586">
        <f t="shared" ca="1" si="163"/>
        <v>1</v>
      </c>
      <c r="AC586">
        <f t="shared" ca="1" si="164"/>
        <v>0</v>
      </c>
      <c r="AD586" t="str">
        <f t="shared" si="154"/>
        <v>4093RN153</v>
      </c>
      <c r="AE586">
        <f t="shared" ca="1" si="165"/>
        <v>0</v>
      </c>
      <c r="AF586" t="str">
        <f t="shared" ca="1" si="166"/>
        <v/>
      </c>
      <c r="AG586">
        <v>142</v>
      </c>
      <c r="AH586" t="s">
        <v>136</v>
      </c>
      <c r="AI586" t="str">
        <f t="shared" si="155"/>
        <v>Lutheran Home 25</v>
      </c>
      <c r="AJ586" t="str">
        <f t="shared" si="156"/>
        <v>Green Bay</v>
      </c>
      <c r="AK586" t="str">
        <f t="shared" si="157"/>
        <v>WI</v>
      </c>
    </row>
    <row r="587" spans="18:37" x14ac:dyDescent="0.25">
      <c r="R587">
        <v>1</v>
      </c>
      <c r="S587">
        <v>329</v>
      </c>
      <c r="T587">
        <f t="shared" si="153"/>
        <v>129</v>
      </c>
      <c r="U587">
        <f t="shared" si="158"/>
        <v>26053</v>
      </c>
      <c r="V587">
        <f t="shared" ca="1" si="159"/>
        <v>0</v>
      </c>
      <c r="W587">
        <v>143</v>
      </c>
      <c r="X587" t="str">
        <f t="shared" ca="1" si="160"/>
        <v/>
      </c>
      <c r="Y587" t="s">
        <v>9</v>
      </c>
      <c r="Z587">
        <f t="shared" ca="1" si="161"/>
        <v>0</v>
      </c>
      <c r="AA587" t="str">
        <f t="shared" ca="1" si="162"/>
        <v>SPPN</v>
      </c>
      <c r="AB587">
        <f t="shared" ca="1" si="163"/>
        <v>1</v>
      </c>
      <c r="AC587" t="str">
        <f t="shared" ca="1" si="164"/>
        <v/>
      </c>
      <c r="AD587" t="str">
        <f t="shared" si="154"/>
        <v>4093RN153</v>
      </c>
      <c r="AE587">
        <f t="shared" ca="1" si="165"/>
        <v>0</v>
      </c>
      <c r="AF587" t="str">
        <f t="shared" ca="1" si="166"/>
        <v/>
      </c>
      <c r="AG587">
        <v>143</v>
      </c>
      <c r="AH587" t="s">
        <v>136</v>
      </c>
      <c r="AI587" t="str">
        <f t="shared" si="155"/>
        <v>Lutheran Home 25</v>
      </c>
      <c r="AJ587" t="str">
        <f t="shared" si="156"/>
        <v>Green Bay</v>
      </c>
      <c r="AK587" t="str">
        <f t="shared" si="157"/>
        <v>WI</v>
      </c>
    </row>
    <row r="588" spans="18:37" x14ac:dyDescent="0.25">
      <c r="S588">
        <v>330</v>
      </c>
      <c r="T588">
        <f t="shared" si="153"/>
        <v>129</v>
      </c>
      <c r="U588">
        <f t="shared" si="158"/>
        <v>26053</v>
      </c>
      <c r="V588">
        <f t="shared" ca="1" si="159"/>
        <v>0</v>
      </c>
      <c r="W588">
        <v>143</v>
      </c>
      <c r="X588" t="str">
        <f t="shared" ca="1" si="160"/>
        <v/>
      </c>
      <c r="Y588" t="s">
        <v>33</v>
      </c>
      <c r="Z588">
        <f t="shared" ca="1" si="161"/>
        <v>0</v>
      </c>
      <c r="AA588" t="str">
        <f t="shared" ca="1" si="162"/>
        <v>SPPN</v>
      </c>
      <c r="AB588">
        <f t="shared" ca="1" si="163"/>
        <v>1</v>
      </c>
      <c r="AC588" t="str">
        <f t="shared" ca="1" si="164"/>
        <v/>
      </c>
      <c r="AD588" t="str">
        <f t="shared" si="154"/>
        <v>4093RN153</v>
      </c>
      <c r="AE588">
        <f t="shared" ca="1" si="165"/>
        <v>0</v>
      </c>
      <c r="AF588" t="str">
        <f t="shared" ca="1" si="166"/>
        <v/>
      </c>
      <c r="AG588">
        <v>143</v>
      </c>
      <c r="AH588" t="s">
        <v>136</v>
      </c>
      <c r="AI588" t="str">
        <f t="shared" si="155"/>
        <v>Lutheran Home 25</v>
      </c>
      <c r="AJ588" t="str">
        <f t="shared" si="156"/>
        <v>Green Bay</v>
      </c>
      <c r="AK588" t="str">
        <f t="shared" si="157"/>
        <v>WI</v>
      </c>
    </row>
    <row r="589" spans="18:37" x14ac:dyDescent="0.25">
      <c r="S589">
        <v>331</v>
      </c>
      <c r="T589">
        <f t="shared" si="153"/>
        <v>129</v>
      </c>
      <c r="U589">
        <f t="shared" si="158"/>
        <v>26053</v>
      </c>
      <c r="V589">
        <f t="shared" ca="1" si="159"/>
        <v>0</v>
      </c>
      <c r="W589">
        <v>143</v>
      </c>
      <c r="X589" t="str">
        <f t="shared" ca="1" si="160"/>
        <v/>
      </c>
      <c r="Y589" t="s">
        <v>28</v>
      </c>
      <c r="Z589">
        <f t="shared" ca="1" si="161"/>
        <v>0</v>
      </c>
      <c r="AA589" t="str">
        <f t="shared" ca="1" si="162"/>
        <v>SPPN</v>
      </c>
      <c r="AB589">
        <f t="shared" ca="1" si="163"/>
        <v>1</v>
      </c>
      <c r="AC589">
        <f t="shared" ca="1" si="164"/>
        <v>0</v>
      </c>
      <c r="AD589" t="str">
        <f t="shared" si="154"/>
        <v>4093RN153</v>
      </c>
      <c r="AE589">
        <f t="shared" ca="1" si="165"/>
        <v>0</v>
      </c>
      <c r="AF589" t="str">
        <f t="shared" ca="1" si="166"/>
        <v/>
      </c>
      <c r="AG589">
        <v>143</v>
      </c>
      <c r="AH589" t="s">
        <v>136</v>
      </c>
      <c r="AI589" t="str">
        <f t="shared" si="155"/>
        <v>Lutheran Home 25</v>
      </c>
      <c r="AJ589" t="str">
        <f t="shared" si="156"/>
        <v>Green Bay</v>
      </c>
      <c r="AK589" t="str">
        <f t="shared" si="157"/>
        <v>WI</v>
      </c>
    </row>
    <row r="590" spans="18:37" x14ac:dyDescent="0.25">
      <c r="S590">
        <v>332</v>
      </c>
      <c r="T590">
        <f t="shared" si="153"/>
        <v>129</v>
      </c>
      <c r="U590">
        <f t="shared" si="158"/>
        <v>26053</v>
      </c>
      <c r="V590">
        <f t="shared" ca="1" si="159"/>
        <v>0</v>
      </c>
      <c r="W590">
        <v>143</v>
      </c>
      <c r="X590" t="str">
        <f t="shared" ca="1" si="160"/>
        <v/>
      </c>
      <c r="Y590" t="s">
        <v>32</v>
      </c>
      <c r="Z590">
        <f t="shared" ca="1" si="161"/>
        <v>0</v>
      </c>
      <c r="AA590" t="str">
        <f t="shared" ca="1" si="162"/>
        <v>SPPN</v>
      </c>
      <c r="AB590">
        <f t="shared" ca="1" si="163"/>
        <v>1</v>
      </c>
      <c r="AC590">
        <f t="shared" ca="1" si="164"/>
        <v>0</v>
      </c>
      <c r="AD590" t="str">
        <f t="shared" si="154"/>
        <v>4093RN153</v>
      </c>
      <c r="AE590">
        <f t="shared" ca="1" si="165"/>
        <v>0</v>
      </c>
      <c r="AF590" t="str">
        <f t="shared" ca="1" si="166"/>
        <v/>
      </c>
      <c r="AG590">
        <v>143</v>
      </c>
      <c r="AH590" t="s">
        <v>136</v>
      </c>
      <c r="AI590" t="str">
        <f t="shared" si="155"/>
        <v>Lutheran Home 25</v>
      </c>
      <c r="AJ590" t="str">
        <f t="shared" si="156"/>
        <v>Green Bay</v>
      </c>
      <c r="AK590" t="str">
        <f t="shared" si="157"/>
        <v>WI</v>
      </c>
    </row>
    <row r="591" spans="18:37" x14ac:dyDescent="0.25">
      <c r="R591">
        <v>1</v>
      </c>
      <c r="S591">
        <v>333</v>
      </c>
      <c r="T591">
        <f t="shared" si="153"/>
        <v>129</v>
      </c>
      <c r="U591">
        <f t="shared" si="158"/>
        <v>26053</v>
      </c>
      <c r="V591">
        <f t="shared" ca="1" si="159"/>
        <v>0</v>
      </c>
      <c r="W591">
        <v>144</v>
      </c>
      <c r="X591" t="str">
        <f t="shared" ca="1" si="160"/>
        <v/>
      </c>
      <c r="Y591" t="s">
        <v>9</v>
      </c>
      <c r="Z591">
        <f t="shared" ca="1" si="161"/>
        <v>0</v>
      </c>
      <c r="AA591" t="str">
        <f t="shared" ca="1" si="162"/>
        <v>SPPN</v>
      </c>
      <c r="AB591">
        <f t="shared" ca="1" si="163"/>
        <v>1</v>
      </c>
      <c r="AC591" t="str">
        <f t="shared" ca="1" si="164"/>
        <v/>
      </c>
      <c r="AD591" t="str">
        <f t="shared" si="154"/>
        <v>4093RN153</v>
      </c>
      <c r="AE591">
        <f t="shared" ca="1" si="165"/>
        <v>0</v>
      </c>
      <c r="AF591" t="str">
        <f t="shared" ca="1" si="166"/>
        <v/>
      </c>
      <c r="AG591">
        <v>144</v>
      </c>
      <c r="AH591" t="s">
        <v>136</v>
      </c>
      <c r="AI591" t="str">
        <f t="shared" si="155"/>
        <v>Lutheran Home 25</v>
      </c>
      <c r="AJ591" t="str">
        <f t="shared" si="156"/>
        <v>Green Bay</v>
      </c>
      <c r="AK591" t="str">
        <f t="shared" si="157"/>
        <v>WI</v>
      </c>
    </row>
    <row r="592" spans="18:37" x14ac:dyDescent="0.25">
      <c r="S592">
        <v>334</v>
      </c>
      <c r="T592">
        <f t="shared" si="153"/>
        <v>129</v>
      </c>
      <c r="U592">
        <f t="shared" si="158"/>
        <v>26053</v>
      </c>
      <c r="V592">
        <f t="shared" ca="1" si="159"/>
        <v>0</v>
      </c>
      <c r="W592">
        <v>144</v>
      </c>
      <c r="X592" t="str">
        <f t="shared" ca="1" si="160"/>
        <v/>
      </c>
      <c r="Y592" t="s">
        <v>33</v>
      </c>
      <c r="Z592">
        <f t="shared" ca="1" si="161"/>
        <v>0</v>
      </c>
      <c r="AA592" t="str">
        <f t="shared" ca="1" si="162"/>
        <v>SPPN</v>
      </c>
      <c r="AB592">
        <f t="shared" ca="1" si="163"/>
        <v>1</v>
      </c>
      <c r="AC592" t="str">
        <f t="shared" ca="1" si="164"/>
        <v/>
      </c>
      <c r="AD592" t="str">
        <f t="shared" si="154"/>
        <v>4093RN153</v>
      </c>
      <c r="AE592">
        <f t="shared" ca="1" si="165"/>
        <v>0</v>
      </c>
      <c r="AF592" t="str">
        <f t="shared" ca="1" si="166"/>
        <v/>
      </c>
      <c r="AG592">
        <v>144</v>
      </c>
      <c r="AH592" t="s">
        <v>136</v>
      </c>
      <c r="AI592" t="str">
        <f t="shared" si="155"/>
        <v>Lutheran Home 25</v>
      </c>
      <c r="AJ592" t="str">
        <f t="shared" si="156"/>
        <v>Green Bay</v>
      </c>
      <c r="AK592" t="str">
        <f t="shared" si="157"/>
        <v>WI</v>
      </c>
    </row>
    <row r="593" spans="18:37" x14ac:dyDescent="0.25">
      <c r="S593">
        <v>335</v>
      </c>
      <c r="T593">
        <f t="shared" si="153"/>
        <v>129</v>
      </c>
      <c r="U593">
        <f t="shared" si="158"/>
        <v>26053</v>
      </c>
      <c r="V593">
        <f t="shared" ca="1" si="159"/>
        <v>0</v>
      </c>
      <c r="W593">
        <v>144</v>
      </c>
      <c r="X593" t="str">
        <f t="shared" ca="1" si="160"/>
        <v/>
      </c>
      <c r="Y593" t="s">
        <v>28</v>
      </c>
      <c r="Z593">
        <f t="shared" ca="1" si="161"/>
        <v>0</v>
      </c>
      <c r="AA593" t="str">
        <f t="shared" ca="1" si="162"/>
        <v>SPPN</v>
      </c>
      <c r="AB593">
        <f t="shared" ca="1" si="163"/>
        <v>1</v>
      </c>
      <c r="AC593">
        <f t="shared" ca="1" si="164"/>
        <v>0</v>
      </c>
      <c r="AD593" t="str">
        <f t="shared" si="154"/>
        <v>4093RN153</v>
      </c>
      <c r="AE593">
        <f t="shared" ca="1" si="165"/>
        <v>0</v>
      </c>
      <c r="AF593" t="str">
        <f t="shared" ca="1" si="166"/>
        <v/>
      </c>
      <c r="AG593">
        <v>144</v>
      </c>
      <c r="AH593" t="s">
        <v>136</v>
      </c>
      <c r="AI593" t="str">
        <f t="shared" si="155"/>
        <v>Lutheran Home 25</v>
      </c>
      <c r="AJ593" t="str">
        <f t="shared" si="156"/>
        <v>Green Bay</v>
      </c>
      <c r="AK593" t="str">
        <f t="shared" si="157"/>
        <v>WI</v>
      </c>
    </row>
    <row r="594" spans="18:37" x14ac:dyDescent="0.25">
      <c r="S594">
        <v>336</v>
      </c>
      <c r="T594">
        <f t="shared" si="153"/>
        <v>129</v>
      </c>
      <c r="U594">
        <f t="shared" si="158"/>
        <v>26053</v>
      </c>
      <c r="V594">
        <f t="shared" ca="1" si="159"/>
        <v>0</v>
      </c>
      <c r="W594">
        <v>144</v>
      </c>
      <c r="X594" t="str">
        <f t="shared" ca="1" si="160"/>
        <v/>
      </c>
      <c r="Y594" t="s">
        <v>32</v>
      </c>
      <c r="Z594">
        <f t="shared" ca="1" si="161"/>
        <v>0</v>
      </c>
      <c r="AA594" t="str">
        <f t="shared" ca="1" si="162"/>
        <v>SPPN</v>
      </c>
      <c r="AB594">
        <f t="shared" ca="1" si="163"/>
        <v>1</v>
      </c>
      <c r="AC594">
        <f t="shared" ca="1" si="164"/>
        <v>0</v>
      </c>
      <c r="AD594" t="str">
        <f t="shared" si="154"/>
        <v>4093RN153</v>
      </c>
      <c r="AE594">
        <f t="shared" ca="1" si="165"/>
        <v>0</v>
      </c>
      <c r="AF594" t="str">
        <f t="shared" ca="1" si="166"/>
        <v/>
      </c>
      <c r="AG594">
        <v>144</v>
      </c>
      <c r="AH594" t="s">
        <v>136</v>
      </c>
      <c r="AI594" t="str">
        <f t="shared" si="155"/>
        <v>Lutheran Home 25</v>
      </c>
      <c r="AJ594" t="str">
        <f t="shared" si="156"/>
        <v>Green Bay</v>
      </c>
      <c r="AK594" t="str">
        <f t="shared" si="157"/>
        <v>WI</v>
      </c>
    </row>
    <row r="595" spans="18:37" x14ac:dyDescent="0.25">
      <c r="R595">
        <v>1</v>
      </c>
      <c r="S595">
        <v>337</v>
      </c>
      <c r="T595">
        <f t="shared" ref="T595:T658" si="167">$H$14</f>
        <v>129</v>
      </c>
      <c r="U595">
        <f t="shared" si="158"/>
        <v>26053</v>
      </c>
      <c r="V595">
        <f t="shared" ca="1" si="159"/>
        <v>0</v>
      </c>
      <c r="W595">
        <v>145</v>
      </c>
      <c r="X595" t="str">
        <f t="shared" ca="1" si="160"/>
        <v/>
      </c>
      <c r="Y595" t="s">
        <v>9</v>
      </c>
      <c r="Z595">
        <f t="shared" ca="1" si="161"/>
        <v>0</v>
      </c>
      <c r="AA595" t="str">
        <f t="shared" ca="1" si="162"/>
        <v>SPPN</v>
      </c>
      <c r="AB595">
        <f t="shared" ca="1" si="163"/>
        <v>1</v>
      </c>
      <c r="AC595" t="str">
        <f t="shared" ca="1" si="164"/>
        <v/>
      </c>
      <c r="AD595" t="str">
        <f t="shared" ref="AD595:AD658" si="168">$H$5</f>
        <v>4093RN153</v>
      </c>
      <c r="AE595">
        <f t="shared" ca="1" si="165"/>
        <v>0</v>
      </c>
      <c r="AF595" t="str">
        <f t="shared" ca="1" si="166"/>
        <v/>
      </c>
      <c r="AG595">
        <v>145</v>
      </c>
      <c r="AH595" t="s">
        <v>136</v>
      </c>
      <c r="AI595" t="str">
        <f t="shared" ref="AI595:AI658" si="169">$H$6</f>
        <v>Lutheran Home 25</v>
      </c>
      <c r="AJ595" t="str">
        <f t="shared" ref="AJ595:AJ658" si="170">$H$7</f>
        <v>Green Bay</v>
      </c>
      <c r="AK595" t="str">
        <f t="shared" ref="AK595:AK658" si="171">$H$8</f>
        <v>WI</v>
      </c>
    </row>
    <row r="596" spans="18:37" x14ac:dyDescent="0.25">
      <c r="S596">
        <v>338</v>
      </c>
      <c r="T596">
        <f t="shared" si="167"/>
        <v>129</v>
      </c>
      <c r="U596">
        <f t="shared" ref="U596:U659" si="172">$H$2</f>
        <v>26053</v>
      </c>
      <c r="V596">
        <f t="shared" ref="V596:V659" ca="1" si="173">(OFFSET($B$19,INT((ROW(A578)-1)/4),0))</f>
        <v>0</v>
      </c>
      <c r="W596">
        <v>145</v>
      </c>
      <c r="X596" t="str">
        <f t="shared" ref="X596:X659" ca="1" si="174">IF((OFFSET($J$19,INT((ROW(A578)-1)/4),0))="JE","JE",IF((OFFSET($J$19,INT((ROW(A578)-1)/4),0))="Drilled","JC",""))</f>
        <v/>
      </c>
      <c r="Y596" t="s">
        <v>33</v>
      </c>
      <c r="Z596">
        <f t="shared" ref="Z596:Z659" ca="1" si="175">(OFFSET($F$19,INT((ROW(A578)-1)/4),0))</f>
        <v>0</v>
      </c>
      <c r="AA596" t="str">
        <f t="shared" ref="AA596:AA659" ca="1" si="176">IF((OFFSET($K$19,INT((ROW(A578)-1)/4),0))="Poplar","PAINT",IF((OFFSET($K$19,INT((ROW(A578)-1)/4),0))="Red Oak","SGO",IF((OFFSET($K$19,INT((ROW(A578)-1)/4),0))="Maple","SM","SPPN")))</f>
        <v>SPPN</v>
      </c>
      <c r="AB596">
        <f t="shared" ref="AB596:AB659" ca="1" si="177">(OFFSET($I$19,INT((ROW(A578)-1)/4),0))</f>
        <v>1</v>
      </c>
      <c r="AC596" t="str">
        <f t="shared" ref="AC596:AC659" ca="1" si="178">IF(OR(Y596="L",Y596="R"),(OFFSET($M$19,INT((ROW(A578)-1)/4),0)),IF(Y596="B",IF((OFFSET($A$19,INT((ROW(A578)-1)/4),0))="3 Sided Patio Door",0,(OFFSET($G$19,INT((ROW(A578)-1)/4),0))),(OFFSET($G$19,INT((ROW(A578)-1)/4),0))))</f>
        <v/>
      </c>
      <c r="AD596" t="str">
        <f t="shared" si="168"/>
        <v>4093RN153</v>
      </c>
      <c r="AE596">
        <f t="shared" ref="AE596:AE659" ca="1" si="179">(OFFSET($L$19,INT((ROW(A578)-1)/4),0))</f>
        <v>0</v>
      </c>
      <c r="AF596" t="str">
        <f t="shared" ref="AF596:AF659" ca="1" si="180">IF((OFFSET($A$19,INT((ROW(A578)-1)/4),0))="3 sided Patio door", "Unassemble","")</f>
        <v/>
      </c>
      <c r="AG596">
        <v>145</v>
      </c>
      <c r="AH596" t="s">
        <v>136</v>
      </c>
      <c r="AI596" t="str">
        <f t="shared" si="169"/>
        <v>Lutheran Home 25</v>
      </c>
      <c r="AJ596" t="str">
        <f t="shared" si="170"/>
        <v>Green Bay</v>
      </c>
      <c r="AK596" t="str">
        <f t="shared" si="171"/>
        <v>WI</v>
      </c>
    </row>
    <row r="597" spans="18:37" x14ac:dyDescent="0.25">
      <c r="S597">
        <v>339</v>
      </c>
      <c r="T597">
        <f t="shared" si="167"/>
        <v>129</v>
      </c>
      <c r="U597">
        <f t="shared" si="172"/>
        <v>26053</v>
      </c>
      <c r="V597">
        <f t="shared" ca="1" si="173"/>
        <v>0</v>
      </c>
      <c r="W597">
        <v>145</v>
      </c>
      <c r="X597" t="str">
        <f t="shared" ca="1" si="174"/>
        <v/>
      </c>
      <c r="Y597" t="s">
        <v>28</v>
      </c>
      <c r="Z597">
        <f t="shared" ca="1" si="175"/>
        <v>0</v>
      </c>
      <c r="AA597" t="str">
        <f t="shared" ca="1" si="176"/>
        <v>SPPN</v>
      </c>
      <c r="AB597">
        <f t="shared" ca="1" si="177"/>
        <v>1</v>
      </c>
      <c r="AC597">
        <f t="shared" ca="1" si="178"/>
        <v>0</v>
      </c>
      <c r="AD597" t="str">
        <f t="shared" si="168"/>
        <v>4093RN153</v>
      </c>
      <c r="AE597">
        <f t="shared" ca="1" si="179"/>
        <v>0</v>
      </c>
      <c r="AF597" t="str">
        <f t="shared" ca="1" si="180"/>
        <v/>
      </c>
      <c r="AG597">
        <v>145</v>
      </c>
      <c r="AH597" t="s">
        <v>136</v>
      </c>
      <c r="AI597" t="str">
        <f t="shared" si="169"/>
        <v>Lutheran Home 25</v>
      </c>
      <c r="AJ597" t="str">
        <f t="shared" si="170"/>
        <v>Green Bay</v>
      </c>
      <c r="AK597" t="str">
        <f t="shared" si="171"/>
        <v>WI</v>
      </c>
    </row>
    <row r="598" spans="18:37" x14ac:dyDescent="0.25">
      <c r="S598">
        <v>340</v>
      </c>
      <c r="T598">
        <f t="shared" si="167"/>
        <v>129</v>
      </c>
      <c r="U598">
        <f t="shared" si="172"/>
        <v>26053</v>
      </c>
      <c r="V598">
        <f t="shared" ca="1" si="173"/>
        <v>0</v>
      </c>
      <c r="W598">
        <v>145</v>
      </c>
      <c r="X598" t="str">
        <f t="shared" ca="1" si="174"/>
        <v/>
      </c>
      <c r="Y598" t="s">
        <v>32</v>
      </c>
      <c r="Z598">
        <f t="shared" ca="1" si="175"/>
        <v>0</v>
      </c>
      <c r="AA598" t="str">
        <f t="shared" ca="1" si="176"/>
        <v>SPPN</v>
      </c>
      <c r="AB598">
        <f t="shared" ca="1" si="177"/>
        <v>1</v>
      </c>
      <c r="AC598">
        <f t="shared" ca="1" si="178"/>
        <v>0</v>
      </c>
      <c r="AD598" t="str">
        <f t="shared" si="168"/>
        <v>4093RN153</v>
      </c>
      <c r="AE598">
        <f t="shared" ca="1" si="179"/>
        <v>0</v>
      </c>
      <c r="AF598" t="str">
        <f t="shared" ca="1" si="180"/>
        <v/>
      </c>
      <c r="AG598">
        <v>145</v>
      </c>
      <c r="AH598" t="s">
        <v>136</v>
      </c>
      <c r="AI598" t="str">
        <f t="shared" si="169"/>
        <v>Lutheran Home 25</v>
      </c>
      <c r="AJ598" t="str">
        <f t="shared" si="170"/>
        <v>Green Bay</v>
      </c>
      <c r="AK598" t="str">
        <f t="shared" si="171"/>
        <v>WI</v>
      </c>
    </row>
    <row r="599" spans="18:37" x14ac:dyDescent="0.25">
      <c r="R599">
        <v>1</v>
      </c>
      <c r="S599">
        <v>341</v>
      </c>
      <c r="T599">
        <f t="shared" si="167"/>
        <v>129</v>
      </c>
      <c r="U599">
        <f t="shared" si="172"/>
        <v>26053</v>
      </c>
      <c r="V599">
        <f t="shared" ca="1" si="173"/>
        <v>0</v>
      </c>
      <c r="W599">
        <v>146</v>
      </c>
      <c r="X599" t="str">
        <f t="shared" ca="1" si="174"/>
        <v/>
      </c>
      <c r="Y599" t="s">
        <v>9</v>
      </c>
      <c r="Z599">
        <f t="shared" ca="1" si="175"/>
        <v>0</v>
      </c>
      <c r="AA599" t="str">
        <f t="shared" ca="1" si="176"/>
        <v>SPPN</v>
      </c>
      <c r="AB599">
        <f t="shared" ca="1" si="177"/>
        <v>1</v>
      </c>
      <c r="AC599" t="str">
        <f t="shared" ca="1" si="178"/>
        <v/>
      </c>
      <c r="AD599" t="str">
        <f t="shared" si="168"/>
        <v>4093RN153</v>
      </c>
      <c r="AE599">
        <f t="shared" ca="1" si="179"/>
        <v>0</v>
      </c>
      <c r="AF599" t="str">
        <f t="shared" ca="1" si="180"/>
        <v/>
      </c>
      <c r="AG599">
        <v>146</v>
      </c>
      <c r="AH599" t="s">
        <v>136</v>
      </c>
      <c r="AI599" t="str">
        <f t="shared" si="169"/>
        <v>Lutheran Home 25</v>
      </c>
      <c r="AJ599" t="str">
        <f t="shared" si="170"/>
        <v>Green Bay</v>
      </c>
      <c r="AK599" t="str">
        <f t="shared" si="171"/>
        <v>WI</v>
      </c>
    </row>
    <row r="600" spans="18:37" x14ac:dyDescent="0.25">
      <c r="S600">
        <v>342</v>
      </c>
      <c r="T600">
        <f t="shared" si="167"/>
        <v>129</v>
      </c>
      <c r="U600">
        <f t="shared" si="172"/>
        <v>26053</v>
      </c>
      <c r="V600">
        <f t="shared" ca="1" si="173"/>
        <v>0</v>
      </c>
      <c r="W600">
        <v>146</v>
      </c>
      <c r="X600" t="str">
        <f t="shared" ca="1" si="174"/>
        <v/>
      </c>
      <c r="Y600" t="s">
        <v>33</v>
      </c>
      <c r="Z600">
        <f t="shared" ca="1" si="175"/>
        <v>0</v>
      </c>
      <c r="AA600" t="str">
        <f t="shared" ca="1" si="176"/>
        <v>SPPN</v>
      </c>
      <c r="AB600">
        <f t="shared" ca="1" si="177"/>
        <v>1</v>
      </c>
      <c r="AC600" t="str">
        <f t="shared" ca="1" si="178"/>
        <v/>
      </c>
      <c r="AD600" t="str">
        <f t="shared" si="168"/>
        <v>4093RN153</v>
      </c>
      <c r="AE600">
        <f t="shared" ca="1" si="179"/>
        <v>0</v>
      </c>
      <c r="AF600" t="str">
        <f t="shared" ca="1" si="180"/>
        <v/>
      </c>
      <c r="AG600">
        <v>146</v>
      </c>
      <c r="AH600" t="s">
        <v>136</v>
      </c>
      <c r="AI600" t="str">
        <f t="shared" si="169"/>
        <v>Lutheran Home 25</v>
      </c>
      <c r="AJ600" t="str">
        <f t="shared" si="170"/>
        <v>Green Bay</v>
      </c>
      <c r="AK600" t="str">
        <f t="shared" si="171"/>
        <v>WI</v>
      </c>
    </row>
    <row r="601" spans="18:37" x14ac:dyDescent="0.25">
      <c r="S601">
        <v>343</v>
      </c>
      <c r="T601">
        <f t="shared" si="167"/>
        <v>129</v>
      </c>
      <c r="U601">
        <f t="shared" si="172"/>
        <v>26053</v>
      </c>
      <c r="V601">
        <f t="shared" ca="1" si="173"/>
        <v>0</v>
      </c>
      <c r="W601">
        <v>146</v>
      </c>
      <c r="X601" t="str">
        <f t="shared" ca="1" si="174"/>
        <v/>
      </c>
      <c r="Y601" t="s">
        <v>28</v>
      </c>
      <c r="Z601">
        <f t="shared" ca="1" si="175"/>
        <v>0</v>
      </c>
      <c r="AA601" t="str">
        <f t="shared" ca="1" si="176"/>
        <v>SPPN</v>
      </c>
      <c r="AB601">
        <f t="shared" ca="1" si="177"/>
        <v>1</v>
      </c>
      <c r="AC601">
        <f t="shared" ca="1" si="178"/>
        <v>0</v>
      </c>
      <c r="AD601" t="str">
        <f t="shared" si="168"/>
        <v>4093RN153</v>
      </c>
      <c r="AE601">
        <f t="shared" ca="1" si="179"/>
        <v>0</v>
      </c>
      <c r="AF601" t="str">
        <f t="shared" ca="1" si="180"/>
        <v/>
      </c>
      <c r="AG601">
        <v>146</v>
      </c>
      <c r="AH601" t="s">
        <v>136</v>
      </c>
      <c r="AI601" t="str">
        <f t="shared" si="169"/>
        <v>Lutheran Home 25</v>
      </c>
      <c r="AJ601" t="str">
        <f t="shared" si="170"/>
        <v>Green Bay</v>
      </c>
      <c r="AK601" t="str">
        <f t="shared" si="171"/>
        <v>WI</v>
      </c>
    </row>
    <row r="602" spans="18:37" x14ac:dyDescent="0.25">
      <c r="S602">
        <v>344</v>
      </c>
      <c r="T602">
        <f t="shared" si="167"/>
        <v>129</v>
      </c>
      <c r="U602">
        <f t="shared" si="172"/>
        <v>26053</v>
      </c>
      <c r="V602">
        <f t="shared" ca="1" si="173"/>
        <v>0</v>
      </c>
      <c r="W602">
        <v>146</v>
      </c>
      <c r="X602" t="str">
        <f t="shared" ca="1" si="174"/>
        <v/>
      </c>
      <c r="Y602" t="s">
        <v>32</v>
      </c>
      <c r="Z602">
        <f t="shared" ca="1" si="175"/>
        <v>0</v>
      </c>
      <c r="AA602" t="str">
        <f t="shared" ca="1" si="176"/>
        <v>SPPN</v>
      </c>
      <c r="AB602">
        <f t="shared" ca="1" si="177"/>
        <v>1</v>
      </c>
      <c r="AC602">
        <f t="shared" ca="1" si="178"/>
        <v>0</v>
      </c>
      <c r="AD602" t="str">
        <f t="shared" si="168"/>
        <v>4093RN153</v>
      </c>
      <c r="AE602">
        <f t="shared" ca="1" si="179"/>
        <v>0</v>
      </c>
      <c r="AF602" t="str">
        <f t="shared" ca="1" si="180"/>
        <v/>
      </c>
      <c r="AG602">
        <v>146</v>
      </c>
      <c r="AH602" t="s">
        <v>136</v>
      </c>
      <c r="AI602" t="str">
        <f t="shared" si="169"/>
        <v>Lutheran Home 25</v>
      </c>
      <c r="AJ602" t="str">
        <f t="shared" si="170"/>
        <v>Green Bay</v>
      </c>
      <c r="AK602" t="str">
        <f t="shared" si="171"/>
        <v>WI</v>
      </c>
    </row>
    <row r="603" spans="18:37" x14ac:dyDescent="0.25">
      <c r="R603">
        <v>1</v>
      </c>
      <c r="S603">
        <v>345</v>
      </c>
      <c r="T603">
        <f t="shared" si="167"/>
        <v>129</v>
      </c>
      <c r="U603">
        <f t="shared" si="172"/>
        <v>26053</v>
      </c>
      <c r="V603">
        <f t="shared" ca="1" si="173"/>
        <v>0</v>
      </c>
      <c r="W603">
        <v>147</v>
      </c>
      <c r="X603" t="str">
        <f t="shared" ca="1" si="174"/>
        <v/>
      </c>
      <c r="Y603" t="s">
        <v>9</v>
      </c>
      <c r="Z603">
        <f t="shared" ca="1" si="175"/>
        <v>0</v>
      </c>
      <c r="AA603" t="str">
        <f t="shared" ca="1" si="176"/>
        <v>SPPN</v>
      </c>
      <c r="AB603">
        <f t="shared" ca="1" si="177"/>
        <v>1</v>
      </c>
      <c r="AC603" t="str">
        <f t="shared" ca="1" si="178"/>
        <v/>
      </c>
      <c r="AD603" t="str">
        <f t="shared" si="168"/>
        <v>4093RN153</v>
      </c>
      <c r="AE603">
        <f t="shared" ca="1" si="179"/>
        <v>0</v>
      </c>
      <c r="AF603" t="str">
        <f t="shared" ca="1" si="180"/>
        <v/>
      </c>
      <c r="AG603">
        <v>147</v>
      </c>
      <c r="AH603" t="s">
        <v>136</v>
      </c>
      <c r="AI603" t="str">
        <f t="shared" si="169"/>
        <v>Lutheran Home 25</v>
      </c>
      <c r="AJ603" t="str">
        <f t="shared" si="170"/>
        <v>Green Bay</v>
      </c>
      <c r="AK603" t="str">
        <f t="shared" si="171"/>
        <v>WI</v>
      </c>
    </row>
    <row r="604" spans="18:37" x14ac:dyDescent="0.25">
      <c r="S604">
        <v>346</v>
      </c>
      <c r="T604">
        <f t="shared" si="167"/>
        <v>129</v>
      </c>
      <c r="U604">
        <f t="shared" si="172"/>
        <v>26053</v>
      </c>
      <c r="V604">
        <f t="shared" ca="1" si="173"/>
        <v>0</v>
      </c>
      <c r="W604">
        <v>147</v>
      </c>
      <c r="X604" t="str">
        <f t="shared" ca="1" si="174"/>
        <v/>
      </c>
      <c r="Y604" t="s">
        <v>33</v>
      </c>
      <c r="Z604">
        <f t="shared" ca="1" si="175"/>
        <v>0</v>
      </c>
      <c r="AA604" t="str">
        <f t="shared" ca="1" si="176"/>
        <v>SPPN</v>
      </c>
      <c r="AB604">
        <f t="shared" ca="1" si="177"/>
        <v>1</v>
      </c>
      <c r="AC604" t="str">
        <f t="shared" ca="1" si="178"/>
        <v/>
      </c>
      <c r="AD604" t="str">
        <f t="shared" si="168"/>
        <v>4093RN153</v>
      </c>
      <c r="AE604">
        <f t="shared" ca="1" si="179"/>
        <v>0</v>
      </c>
      <c r="AF604" t="str">
        <f t="shared" ca="1" si="180"/>
        <v/>
      </c>
      <c r="AG604">
        <v>147</v>
      </c>
      <c r="AH604" t="s">
        <v>136</v>
      </c>
      <c r="AI604" t="str">
        <f t="shared" si="169"/>
        <v>Lutheran Home 25</v>
      </c>
      <c r="AJ604" t="str">
        <f t="shared" si="170"/>
        <v>Green Bay</v>
      </c>
      <c r="AK604" t="str">
        <f t="shared" si="171"/>
        <v>WI</v>
      </c>
    </row>
    <row r="605" spans="18:37" x14ac:dyDescent="0.25">
      <c r="S605">
        <v>347</v>
      </c>
      <c r="T605">
        <f t="shared" si="167"/>
        <v>129</v>
      </c>
      <c r="U605">
        <f t="shared" si="172"/>
        <v>26053</v>
      </c>
      <c r="V605">
        <f t="shared" ca="1" si="173"/>
        <v>0</v>
      </c>
      <c r="W605">
        <v>147</v>
      </c>
      <c r="X605" t="str">
        <f t="shared" ca="1" si="174"/>
        <v/>
      </c>
      <c r="Y605" t="s">
        <v>28</v>
      </c>
      <c r="Z605">
        <f t="shared" ca="1" si="175"/>
        <v>0</v>
      </c>
      <c r="AA605" t="str">
        <f t="shared" ca="1" si="176"/>
        <v>SPPN</v>
      </c>
      <c r="AB605">
        <f t="shared" ca="1" si="177"/>
        <v>1</v>
      </c>
      <c r="AC605">
        <f t="shared" ca="1" si="178"/>
        <v>0</v>
      </c>
      <c r="AD605" t="str">
        <f t="shared" si="168"/>
        <v>4093RN153</v>
      </c>
      <c r="AE605">
        <f t="shared" ca="1" si="179"/>
        <v>0</v>
      </c>
      <c r="AF605" t="str">
        <f t="shared" ca="1" si="180"/>
        <v/>
      </c>
      <c r="AG605">
        <v>147</v>
      </c>
      <c r="AH605" t="s">
        <v>136</v>
      </c>
      <c r="AI605" t="str">
        <f t="shared" si="169"/>
        <v>Lutheran Home 25</v>
      </c>
      <c r="AJ605" t="str">
        <f t="shared" si="170"/>
        <v>Green Bay</v>
      </c>
      <c r="AK605" t="str">
        <f t="shared" si="171"/>
        <v>WI</v>
      </c>
    </row>
    <row r="606" spans="18:37" x14ac:dyDescent="0.25">
      <c r="S606">
        <v>348</v>
      </c>
      <c r="T606">
        <f t="shared" si="167"/>
        <v>129</v>
      </c>
      <c r="U606">
        <f t="shared" si="172"/>
        <v>26053</v>
      </c>
      <c r="V606">
        <f t="shared" ca="1" si="173"/>
        <v>0</v>
      </c>
      <c r="W606">
        <v>147</v>
      </c>
      <c r="X606" t="str">
        <f t="shared" ca="1" si="174"/>
        <v/>
      </c>
      <c r="Y606" t="s">
        <v>32</v>
      </c>
      <c r="Z606">
        <f t="shared" ca="1" si="175"/>
        <v>0</v>
      </c>
      <c r="AA606" t="str">
        <f t="shared" ca="1" si="176"/>
        <v>SPPN</v>
      </c>
      <c r="AB606">
        <f t="shared" ca="1" si="177"/>
        <v>1</v>
      </c>
      <c r="AC606">
        <f t="shared" ca="1" si="178"/>
        <v>0</v>
      </c>
      <c r="AD606" t="str">
        <f t="shared" si="168"/>
        <v>4093RN153</v>
      </c>
      <c r="AE606">
        <f t="shared" ca="1" si="179"/>
        <v>0</v>
      </c>
      <c r="AF606" t="str">
        <f t="shared" ca="1" si="180"/>
        <v/>
      </c>
      <c r="AG606">
        <v>147</v>
      </c>
      <c r="AH606" t="s">
        <v>136</v>
      </c>
      <c r="AI606" t="str">
        <f t="shared" si="169"/>
        <v>Lutheran Home 25</v>
      </c>
      <c r="AJ606" t="str">
        <f t="shared" si="170"/>
        <v>Green Bay</v>
      </c>
      <c r="AK606" t="str">
        <f t="shared" si="171"/>
        <v>WI</v>
      </c>
    </row>
    <row r="607" spans="18:37" x14ac:dyDescent="0.25">
      <c r="R607">
        <v>1</v>
      </c>
      <c r="S607">
        <v>349</v>
      </c>
      <c r="T607">
        <f t="shared" si="167"/>
        <v>129</v>
      </c>
      <c r="U607">
        <f t="shared" si="172"/>
        <v>26053</v>
      </c>
      <c r="V607">
        <f t="shared" ca="1" si="173"/>
        <v>0</v>
      </c>
      <c r="W607">
        <v>148</v>
      </c>
      <c r="X607" t="str">
        <f t="shared" ca="1" si="174"/>
        <v/>
      </c>
      <c r="Y607" t="s">
        <v>9</v>
      </c>
      <c r="Z607">
        <f t="shared" ca="1" si="175"/>
        <v>0</v>
      </c>
      <c r="AA607" t="str">
        <f t="shared" ca="1" si="176"/>
        <v>SPPN</v>
      </c>
      <c r="AB607">
        <f t="shared" ca="1" si="177"/>
        <v>1</v>
      </c>
      <c r="AC607" t="str">
        <f t="shared" ca="1" si="178"/>
        <v/>
      </c>
      <c r="AD607" t="str">
        <f t="shared" si="168"/>
        <v>4093RN153</v>
      </c>
      <c r="AE607">
        <f t="shared" ca="1" si="179"/>
        <v>0</v>
      </c>
      <c r="AF607" t="str">
        <f t="shared" ca="1" si="180"/>
        <v/>
      </c>
      <c r="AG607">
        <v>148</v>
      </c>
      <c r="AH607" t="s">
        <v>136</v>
      </c>
      <c r="AI607" t="str">
        <f t="shared" si="169"/>
        <v>Lutheran Home 25</v>
      </c>
      <c r="AJ607" t="str">
        <f t="shared" si="170"/>
        <v>Green Bay</v>
      </c>
      <c r="AK607" t="str">
        <f t="shared" si="171"/>
        <v>WI</v>
      </c>
    </row>
    <row r="608" spans="18:37" x14ac:dyDescent="0.25">
      <c r="S608">
        <v>350</v>
      </c>
      <c r="T608">
        <f t="shared" si="167"/>
        <v>129</v>
      </c>
      <c r="U608">
        <f t="shared" si="172"/>
        <v>26053</v>
      </c>
      <c r="V608">
        <f t="shared" ca="1" si="173"/>
        <v>0</v>
      </c>
      <c r="W608">
        <v>148</v>
      </c>
      <c r="X608" t="str">
        <f t="shared" ca="1" si="174"/>
        <v/>
      </c>
      <c r="Y608" t="s">
        <v>33</v>
      </c>
      <c r="Z608">
        <f t="shared" ca="1" si="175"/>
        <v>0</v>
      </c>
      <c r="AA608" t="str">
        <f t="shared" ca="1" si="176"/>
        <v>SPPN</v>
      </c>
      <c r="AB608">
        <f t="shared" ca="1" si="177"/>
        <v>1</v>
      </c>
      <c r="AC608" t="str">
        <f t="shared" ca="1" si="178"/>
        <v/>
      </c>
      <c r="AD608" t="str">
        <f t="shared" si="168"/>
        <v>4093RN153</v>
      </c>
      <c r="AE608">
        <f t="shared" ca="1" si="179"/>
        <v>0</v>
      </c>
      <c r="AF608" t="str">
        <f t="shared" ca="1" si="180"/>
        <v/>
      </c>
      <c r="AG608">
        <v>148</v>
      </c>
      <c r="AH608" t="s">
        <v>136</v>
      </c>
      <c r="AI608" t="str">
        <f t="shared" si="169"/>
        <v>Lutheran Home 25</v>
      </c>
      <c r="AJ608" t="str">
        <f t="shared" si="170"/>
        <v>Green Bay</v>
      </c>
      <c r="AK608" t="str">
        <f t="shared" si="171"/>
        <v>WI</v>
      </c>
    </row>
    <row r="609" spans="18:37" x14ac:dyDescent="0.25">
      <c r="S609">
        <v>351</v>
      </c>
      <c r="T609">
        <f t="shared" si="167"/>
        <v>129</v>
      </c>
      <c r="U609">
        <f t="shared" si="172"/>
        <v>26053</v>
      </c>
      <c r="V609">
        <f t="shared" ca="1" si="173"/>
        <v>0</v>
      </c>
      <c r="W609">
        <v>148</v>
      </c>
      <c r="X609" t="str">
        <f t="shared" ca="1" si="174"/>
        <v/>
      </c>
      <c r="Y609" t="s">
        <v>28</v>
      </c>
      <c r="Z609">
        <f t="shared" ca="1" si="175"/>
        <v>0</v>
      </c>
      <c r="AA609" t="str">
        <f t="shared" ca="1" si="176"/>
        <v>SPPN</v>
      </c>
      <c r="AB609">
        <f t="shared" ca="1" si="177"/>
        <v>1</v>
      </c>
      <c r="AC609">
        <f t="shared" ca="1" si="178"/>
        <v>0</v>
      </c>
      <c r="AD609" t="str">
        <f t="shared" si="168"/>
        <v>4093RN153</v>
      </c>
      <c r="AE609">
        <f t="shared" ca="1" si="179"/>
        <v>0</v>
      </c>
      <c r="AF609" t="str">
        <f t="shared" ca="1" si="180"/>
        <v/>
      </c>
      <c r="AG609">
        <v>148</v>
      </c>
      <c r="AH609" t="s">
        <v>136</v>
      </c>
      <c r="AI609" t="str">
        <f t="shared" si="169"/>
        <v>Lutheran Home 25</v>
      </c>
      <c r="AJ609" t="str">
        <f t="shared" si="170"/>
        <v>Green Bay</v>
      </c>
      <c r="AK609" t="str">
        <f t="shared" si="171"/>
        <v>WI</v>
      </c>
    </row>
    <row r="610" spans="18:37" x14ac:dyDescent="0.25">
      <c r="S610">
        <v>352</v>
      </c>
      <c r="T610">
        <f t="shared" si="167"/>
        <v>129</v>
      </c>
      <c r="U610">
        <f t="shared" si="172"/>
        <v>26053</v>
      </c>
      <c r="V610">
        <f t="shared" ca="1" si="173"/>
        <v>0</v>
      </c>
      <c r="W610">
        <v>148</v>
      </c>
      <c r="X610" t="str">
        <f t="shared" ca="1" si="174"/>
        <v/>
      </c>
      <c r="Y610" t="s">
        <v>32</v>
      </c>
      <c r="Z610">
        <f t="shared" ca="1" si="175"/>
        <v>0</v>
      </c>
      <c r="AA610" t="str">
        <f t="shared" ca="1" si="176"/>
        <v>SPPN</v>
      </c>
      <c r="AB610">
        <f t="shared" ca="1" si="177"/>
        <v>1</v>
      </c>
      <c r="AC610">
        <f t="shared" ca="1" si="178"/>
        <v>0</v>
      </c>
      <c r="AD610" t="str">
        <f t="shared" si="168"/>
        <v>4093RN153</v>
      </c>
      <c r="AE610">
        <f t="shared" ca="1" si="179"/>
        <v>0</v>
      </c>
      <c r="AF610" t="str">
        <f t="shared" ca="1" si="180"/>
        <v/>
      </c>
      <c r="AG610">
        <v>148</v>
      </c>
      <c r="AH610" t="s">
        <v>136</v>
      </c>
      <c r="AI610" t="str">
        <f t="shared" si="169"/>
        <v>Lutheran Home 25</v>
      </c>
      <c r="AJ610" t="str">
        <f t="shared" si="170"/>
        <v>Green Bay</v>
      </c>
      <c r="AK610" t="str">
        <f t="shared" si="171"/>
        <v>WI</v>
      </c>
    </row>
    <row r="611" spans="18:37" x14ac:dyDescent="0.25">
      <c r="R611">
        <v>1</v>
      </c>
      <c r="S611">
        <v>353</v>
      </c>
      <c r="T611">
        <f t="shared" si="167"/>
        <v>129</v>
      </c>
      <c r="U611">
        <f t="shared" si="172"/>
        <v>26053</v>
      </c>
      <c r="V611">
        <f t="shared" ca="1" si="173"/>
        <v>0</v>
      </c>
      <c r="W611">
        <v>149</v>
      </c>
      <c r="X611" t="str">
        <f t="shared" ca="1" si="174"/>
        <v/>
      </c>
      <c r="Y611" t="s">
        <v>9</v>
      </c>
      <c r="Z611">
        <f t="shared" ca="1" si="175"/>
        <v>0</v>
      </c>
      <c r="AA611" t="str">
        <f t="shared" ca="1" si="176"/>
        <v>SPPN</v>
      </c>
      <c r="AB611">
        <f t="shared" ca="1" si="177"/>
        <v>1</v>
      </c>
      <c r="AC611" t="str">
        <f t="shared" ca="1" si="178"/>
        <v/>
      </c>
      <c r="AD611" t="str">
        <f t="shared" si="168"/>
        <v>4093RN153</v>
      </c>
      <c r="AE611">
        <f t="shared" ca="1" si="179"/>
        <v>0</v>
      </c>
      <c r="AF611" t="str">
        <f t="shared" ca="1" si="180"/>
        <v/>
      </c>
      <c r="AG611">
        <v>149</v>
      </c>
      <c r="AH611" t="s">
        <v>136</v>
      </c>
      <c r="AI611" t="str">
        <f t="shared" si="169"/>
        <v>Lutheran Home 25</v>
      </c>
      <c r="AJ611" t="str">
        <f t="shared" si="170"/>
        <v>Green Bay</v>
      </c>
      <c r="AK611" t="str">
        <f t="shared" si="171"/>
        <v>WI</v>
      </c>
    </row>
    <row r="612" spans="18:37" x14ac:dyDescent="0.25">
      <c r="S612">
        <v>354</v>
      </c>
      <c r="T612">
        <f t="shared" si="167"/>
        <v>129</v>
      </c>
      <c r="U612">
        <f t="shared" si="172"/>
        <v>26053</v>
      </c>
      <c r="V612">
        <f t="shared" ca="1" si="173"/>
        <v>0</v>
      </c>
      <c r="W612">
        <v>149</v>
      </c>
      <c r="X612" t="str">
        <f t="shared" ca="1" si="174"/>
        <v/>
      </c>
      <c r="Y612" t="s">
        <v>33</v>
      </c>
      <c r="Z612">
        <f t="shared" ca="1" si="175"/>
        <v>0</v>
      </c>
      <c r="AA612" t="str">
        <f t="shared" ca="1" si="176"/>
        <v>SPPN</v>
      </c>
      <c r="AB612">
        <f t="shared" ca="1" si="177"/>
        <v>1</v>
      </c>
      <c r="AC612" t="str">
        <f t="shared" ca="1" si="178"/>
        <v/>
      </c>
      <c r="AD612" t="str">
        <f t="shared" si="168"/>
        <v>4093RN153</v>
      </c>
      <c r="AE612">
        <f t="shared" ca="1" si="179"/>
        <v>0</v>
      </c>
      <c r="AF612" t="str">
        <f t="shared" ca="1" si="180"/>
        <v/>
      </c>
      <c r="AG612">
        <v>149</v>
      </c>
      <c r="AH612" t="s">
        <v>136</v>
      </c>
      <c r="AI612" t="str">
        <f t="shared" si="169"/>
        <v>Lutheran Home 25</v>
      </c>
      <c r="AJ612" t="str">
        <f t="shared" si="170"/>
        <v>Green Bay</v>
      </c>
      <c r="AK612" t="str">
        <f t="shared" si="171"/>
        <v>WI</v>
      </c>
    </row>
    <row r="613" spans="18:37" x14ac:dyDescent="0.25">
      <c r="S613">
        <v>355</v>
      </c>
      <c r="T613">
        <f t="shared" si="167"/>
        <v>129</v>
      </c>
      <c r="U613">
        <f t="shared" si="172"/>
        <v>26053</v>
      </c>
      <c r="V613">
        <f t="shared" ca="1" si="173"/>
        <v>0</v>
      </c>
      <c r="W613">
        <v>149</v>
      </c>
      <c r="X613" t="str">
        <f t="shared" ca="1" si="174"/>
        <v/>
      </c>
      <c r="Y613" t="s">
        <v>28</v>
      </c>
      <c r="Z613">
        <f t="shared" ca="1" si="175"/>
        <v>0</v>
      </c>
      <c r="AA613" t="str">
        <f t="shared" ca="1" si="176"/>
        <v>SPPN</v>
      </c>
      <c r="AB613">
        <f t="shared" ca="1" si="177"/>
        <v>1</v>
      </c>
      <c r="AC613">
        <f t="shared" ca="1" si="178"/>
        <v>0</v>
      </c>
      <c r="AD613" t="str">
        <f t="shared" si="168"/>
        <v>4093RN153</v>
      </c>
      <c r="AE613">
        <f t="shared" ca="1" si="179"/>
        <v>0</v>
      </c>
      <c r="AF613" t="str">
        <f t="shared" ca="1" si="180"/>
        <v/>
      </c>
      <c r="AG613">
        <v>149</v>
      </c>
      <c r="AH613" t="s">
        <v>136</v>
      </c>
      <c r="AI613" t="str">
        <f t="shared" si="169"/>
        <v>Lutheran Home 25</v>
      </c>
      <c r="AJ613" t="str">
        <f t="shared" si="170"/>
        <v>Green Bay</v>
      </c>
      <c r="AK613" t="str">
        <f t="shared" si="171"/>
        <v>WI</v>
      </c>
    </row>
    <row r="614" spans="18:37" x14ac:dyDescent="0.25">
      <c r="S614">
        <v>356</v>
      </c>
      <c r="T614">
        <f t="shared" si="167"/>
        <v>129</v>
      </c>
      <c r="U614">
        <f t="shared" si="172"/>
        <v>26053</v>
      </c>
      <c r="V614">
        <f t="shared" ca="1" si="173"/>
        <v>0</v>
      </c>
      <c r="W614">
        <v>149</v>
      </c>
      <c r="X614" t="str">
        <f t="shared" ca="1" si="174"/>
        <v/>
      </c>
      <c r="Y614" t="s">
        <v>32</v>
      </c>
      <c r="Z614">
        <f t="shared" ca="1" si="175"/>
        <v>0</v>
      </c>
      <c r="AA614" t="str">
        <f t="shared" ca="1" si="176"/>
        <v>SPPN</v>
      </c>
      <c r="AB614">
        <f t="shared" ca="1" si="177"/>
        <v>1</v>
      </c>
      <c r="AC614">
        <f t="shared" ca="1" si="178"/>
        <v>0</v>
      </c>
      <c r="AD614" t="str">
        <f t="shared" si="168"/>
        <v>4093RN153</v>
      </c>
      <c r="AE614">
        <f t="shared" ca="1" si="179"/>
        <v>0</v>
      </c>
      <c r="AF614" t="str">
        <f t="shared" ca="1" si="180"/>
        <v/>
      </c>
      <c r="AG614">
        <v>149</v>
      </c>
      <c r="AH614" t="s">
        <v>136</v>
      </c>
      <c r="AI614" t="str">
        <f t="shared" si="169"/>
        <v>Lutheran Home 25</v>
      </c>
      <c r="AJ614" t="str">
        <f t="shared" si="170"/>
        <v>Green Bay</v>
      </c>
      <c r="AK614" t="str">
        <f t="shared" si="171"/>
        <v>WI</v>
      </c>
    </row>
    <row r="615" spans="18:37" x14ac:dyDescent="0.25">
      <c r="R615">
        <v>1</v>
      </c>
      <c r="S615">
        <v>357</v>
      </c>
      <c r="T615">
        <f t="shared" si="167"/>
        <v>129</v>
      </c>
      <c r="U615">
        <f t="shared" si="172"/>
        <v>26053</v>
      </c>
      <c r="V615">
        <f t="shared" ca="1" si="173"/>
        <v>0</v>
      </c>
      <c r="W615">
        <v>150</v>
      </c>
      <c r="X615" t="str">
        <f t="shared" ca="1" si="174"/>
        <v/>
      </c>
      <c r="Y615" t="s">
        <v>9</v>
      </c>
      <c r="Z615">
        <f t="shared" ca="1" si="175"/>
        <v>0</v>
      </c>
      <c r="AA615" t="str">
        <f t="shared" ca="1" si="176"/>
        <v>SPPN</v>
      </c>
      <c r="AB615">
        <f t="shared" ca="1" si="177"/>
        <v>1</v>
      </c>
      <c r="AC615" t="str">
        <f t="shared" ca="1" si="178"/>
        <v/>
      </c>
      <c r="AD615" t="str">
        <f t="shared" si="168"/>
        <v>4093RN153</v>
      </c>
      <c r="AE615">
        <f t="shared" ca="1" si="179"/>
        <v>0</v>
      </c>
      <c r="AF615" t="str">
        <f t="shared" ca="1" si="180"/>
        <v/>
      </c>
      <c r="AG615">
        <v>150</v>
      </c>
      <c r="AH615" t="s">
        <v>136</v>
      </c>
      <c r="AI615" t="str">
        <f t="shared" si="169"/>
        <v>Lutheran Home 25</v>
      </c>
      <c r="AJ615" t="str">
        <f t="shared" si="170"/>
        <v>Green Bay</v>
      </c>
      <c r="AK615" t="str">
        <f t="shared" si="171"/>
        <v>WI</v>
      </c>
    </row>
    <row r="616" spans="18:37" x14ac:dyDescent="0.25">
      <c r="S616">
        <v>358</v>
      </c>
      <c r="T616">
        <f t="shared" si="167"/>
        <v>129</v>
      </c>
      <c r="U616">
        <f t="shared" si="172"/>
        <v>26053</v>
      </c>
      <c r="V616">
        <f t="shared" ca="1" si="173"/>
        <v>0</v>
      </c>
      <c r="W616">
        <v>150</v>
      </c>
      <c r="X616" t="str">
        <f t="shared" ca="1" si="174"/>
        <v/>
      </c>
      <c r="Y616" t="s">
        <v>33</v>
      </c>
      <c r="Z616">
        <f t="shared" ca="1" si="175"/>
        <v>0</v>
      </c>
      <c r="AA616" t="str">
        <f t="shared" ca="1" si="176"/>
        <v>SPPN</v>
      </c>
      <c r="AB616">
        <f t="shared" ca="1" si="177"/>
        <v>1</v>
      </c>
      <c r="AC616" t="str">
        <f t="shared" ca="1" si="178"/>
        <v/>
      </c>
      <c r="AD616" t="str">
        <f t="shared" si="168"/>
        <v>4093RN153</v>
      </c>
      <c r="AE616">
        <f t="shared" ca="1" si="179"/>
        <v>0</v>
      </c>
      <c r="AF616" t="str">
        <f t="shared" ca="1" si="180"/>
        <v/>
      </c>
      <c r="AG616">
        <v>150</v>
      </c>
      <c r="AH616" t="s">
        <v>136</v>
      </c>
      <c r="AI616" t="str">
        <f t="shared" si="169"/>
        <v>Lutheran Home 25</v>
      </c>
      <c r="AJ616" t="str">
        <f t="shared" si="170"/>
        <v>Green Bay</v>
      </c>
      <c r="AK616" t="str">
        <f t="shared" si="171"/>
        <v>WI</v>
      </c>
    </row>
    <row r="617" spans="18:37" x14ac:dyDescent="0.25">
      <c r="S617">
        <v>359</v>
      </c>
      <c r="T617">
        <f t="shared" si="167"/>
        <v>129</v>
      </c>
      <c r="U617">
        <f t="shared" si="172"/>
        <v>26053</v>
      </c>
      <c r="V617">
        <f t="shared" ca="1" si="173"/>
        <v>0</v>
      </c>
      <c r="W617">
        <v>150</v>
      </c>
      <c r="X617" t="str">
        <f t="shared" ca="1" si="174"/>
        <v/>
      </c>
      <c r="Y617" t="s">
        <v>28</v>
      </c>
      <c r="Z617">
        <f t="shared" ca="1" si="175"/>
        <v>0</v>
      </c>
      <c r="AA617" t="str">
        <f t="shared" ca="1" si="176"/>
        <v>SPPN</v>
      </c>
      <c r="AB617">
        <f t="shared" ca="1" si="177"/>
        <v>1</v>
      </c>
      <c r="AC617">
        <f t="shared" ca="1" si="178"/>
        <v>0</v>
      </c>
      <c r="AD617" t="str">
        <f t="shared" si="168"/>
        <v>4093RN153</v>
      </c>
      <c r="AE617">
        <f t="shared" ca="1" si="179"/>
        <v>0</v>
      </c>
      <c r="AF617" t="str">
        <f t="shared" ca="1" si="180"/>
        <v/>
      </c>
      <c r="AG617">
        <v>150</v>
      </c>
      <c r="AH617" t="s">
        <v>136</v>
      </c>
      <c r="AI617" t="str">
        <f t="shared" si="169"/>
        <v>Lutheran Home 25</v>
      </c>
      <c r="AJ617" t="str">
        <f t="shared" si="170"/>
        <v>Green Bay</v>
      </c>
      <c r="AK617" t="str">
        <f t="shared" si="171"/>
        <v>WI</v>
      </c>
    </row>
    <row r="618" spans="18:37" x14ac:dyDescent="0.25">
      <c r="S618">
        <v>360</v>
      </c>
      <c r="T618">
        <f t="shared" si="167"/>
        <v>129</v>
      </c>
      <c r="U618">
        <f t="shared" si="172"/>
        <v>26053</v>
      </c>
      <c r="V618">
        <f t="shared" ca="1" si="173"/>
        <v>0</v>
      </c>
      <c r="W618">
        <v>150</v>
      </c>
      <c r="X618" t="str">
        <f t="shared" ca="1" si="174"/>
        <v/>
      </c>
      <c r="Y618" t="s">
        <v>32</v>
      </c>
      <c r="Z618">
        <f t="shared" ca="1" si="175"/>
        <v>0</v>
      </c>
      <c r="AA618" t="str">
        <f t="shared" ca="1" si="176"/>
        <v>SPPN</v>
      </c>
      <c r="AB618">
        <f t="shared" ca="1" si="177"/>
        <v>1</v>
      </c>
      <c r="AC618">
        <f t="shared" ca="1" si="178"/>
        <v>0</v>
      </c>
      <c r="AD618" t="str">
        <f t="shared" si="168"/>
        <v>4093RN153</v>
      </c>
      <c r="AE618">
        <f t="shared" ca="1" si="179"/>
        <v>0</v>
      </c>
      <c r="AF618" t="str">
        <f t="shared" ca="1" si="180"/>
        <v/>
      </c>
      <c r="AG618">
        <v>150</v>
      </c>
      <c r="AH618" t="s">
        <v>136</v>
      </c>
      <c r="AI618" t="str">
        <f t="shared" si="169"/>
        <v>Lutheran Home 25</v>
      </c>
      <c r="AJ618" t="str">
        <f t="shared" si="170"/>
        <v>Green Bay</v>
      </c>
      <c r="AK618" t="str">
        <f t="shared" si="171"/>
        <v>WI</v>
      </c>
    </row>
    <row r="619" spans="18:37" x14ac:dyDescent="0.25">
      <c r="R619">
        <v>1</v>
      </c>
      <c r="S619">
        <v>361</v>
      </c>
      <c r="T619">
        <f t="shared" si="167"/>
        <v>129</v>
      </c>
      <c r="U619">
        <f t="shared" si="172"/>
        <v>26053</v>
      </c>
      <c r="V619">
        <f t="shared" ca="1" si="173"/>
        <v>0</v>
      </c>
      <c r="W619">
        <v>151</v>
      </c>
      <c r="X619" t="str">
        <f t="shared" ca="1" si="174"/>
        <v/>
      </c>
      <c r="Y619" t="s">
        <v>9</v>
      </c>
      <c r="Z619">
        <f t="shared" ca="1" si="175"/>
        <v>0</v>
      </c>
      <c r="AA619" t="str">
        <f t="shared" ca="1" si="176"/>
        <v>SPPN</v>
      </c>
      <c r="AB619">
        <f t="shared" ca="1" si="177"/>
        <v>1</v>
      </c>
      <c r="AC619" t="str">
        <f t="shared" ca="1" si="178"/>
        <v/>
      </c>
      <c r="AD619" t="str">
        <f t="shared" si="168"/>
        <v>4093RN153</v>
      </c>
      <c r="AE619">
        <f t="shared" ca="1" si="179"/>
        <v>0</v>
      </c>
      <c r="AF619" t="str">
        <f t="shared" ca="1" si="180"/>
        <v/>
      </c>
      <c r="AG619">
        <v>151</v>
      </c>
      <c r="AH619" t="s">
        <v>136</v>
      </c>
      <c r="AI619" t="str">
        <f t="shared" si="169"/>
        <v>Lutheran Home 25</v>
      </c>
      <c r="AJ619" t="str">
        <f t="shared" si="170"/>
        <v>Green Bay</v>
      </c>
      <c r="AK619" t="str">
        <f t="shared" si="171"/>
        <v>WI</v>
      </c>
    </row>
    <row r="620" spans="18:37" x14ac:dyDescent="0.25">
      <c r="S620">
        <v>362</v>
      </c>
      <c r="T620">
        <f t="shared" si="167"/>
        <v>129</v>
      </c>
      <c r="U620">
        <f t="shared" si="172"/>
        <v>26053</v>
      </c>
      <c r="V620">
        <f t="shared" ca="1" si="173"/>
        <v>0</v>
      </c>
      <c r="W620">
        <v>151</v>
      </c>
      <c r="X620" t="str">
        <f t="shared" ca="1" si="174"/>
        <v/>
      </c>
      <c r="Y620" t="s">
        <v>33</v>
      </c>
      <c r="Z620">
        <f t="shared" ca="1" si="175"/>
        <v>0</v>
      </c>
      <c r="AA620" t="str">
        <f t="shared" ca="1" si="176"/>
        <v>SPPN</v>
      </c>
      <c r="AB620">
        <f t="shared" ca="1" si="177"/>
        <v>1</v>
      </c>
      <c r="AC620" t="str">
        <f t="shared" ca="1" si="178"/>
        <v/>
      </c>
      <c r="AD620" t="str">
        <f t="shared" si="168"/>
        <v>4093RN153</v>
      </c>
      <c r="AE620">
        <f t="shared" ca="1" si="179"/>
        <v>0</v>
      </c>
      <c r="AF620" t="str">
        <f t="shared" ca="1" si="180"/>
        <v/>
      </c>
      <c r="AG620">
        <v>151</v>
      </c>
      <c r="AH620" t="s">
        <v>136</v>
      </c>
      <c r="AI620" t="str">
        <f t="shared" si="169"/>
        <v>Lutheran Home 25</v>
      </c>
      <c r="AJ620" t="str">
        <f t="shared" si="170"/>
        <v>Green Bay</v>
      </c>
      <c r="AK620" t="str">
        <f t="shared" si="171"/>
        <v>WI</v>
      </c>
    </row>
    <row r="621" spans="18:37" x14ac:dyDescent="0.25">
      <c r="S621">
        <v>363</v>
      </c>
      <c r="T621">
        <f t="shared" si="167"/>
        <v>129</v>
      </c>
      <c r="U621">
        <f t="shared" si="172"/>
        <v>26053</v>
      </c>
      <c r="V621">
        <f t="shared" ca="1" si="173"/>
        <v>0</v>
      </c>
      <c r="W621">
        <v>151</v>
      </c>
      <c r="X621" t="str">
        <f t="shared" ca="1" si="174"/>
        <v/>
      </c>
      <c r="Y621" t="s">
        <v>28</v>
      </c>
      <c r="Z621">
        <f t="shared" ca="1" si="175"/>
        <v>0</v>
      </c>
      <c r="AA621" t="str">
        <f t="shared" ca="1" si="176"/>
        <v>SPPN</v>
      </c>
      <c r="AB621">
        <f t="shared" ca="1" si="177"/>
        <v>1</v>
      </c>
      <c r="AC621">
        <f t="shared" ca="1" si="178"/>
        <v>0</v>
      </c>
      <c r="AD621" t="str">
        <f t="shared" si="168"/>
        <v>4093RN153</v>
      </c>
      <c r="AE621">
        <f t="shared" ca="1" si="179"/>
        <v>0</v>
      </c>
      <c r="AF621" t="str">
        <f t="shared" ca="1" si="180"/>
        <v/>
      </c>
      <c r="AG621">
        <v>151</v>
      </c>
      <c r="AH621" t="s">
        <v>136</v>
      </c>
      <c r="AI621" t="str">
        <f t="shared" si="169"/>
        <v>Lutheran Home 25</v>
      </c>
      <c r="AJ621" t="str">
        <f t="shared" si="170"/>
        <v>Green Bay</v>
      </c>
      <c r="AK621" t="str">
        <f t="shared" si="171"/>
        <v>WI</v>
      </c>
    </row>
    <row r="622" spans="18:37" x14ac:dyDescent="0.25">
      <c r="S622">
        <v>364</v>
      </c>
      <c r="T622">
        <f t="shared" si="167"/>
        <v>129</v>
      </c>
      <c r="U622">
        <f t="shared" si="172"/>
        <v>26053</v>
      </c>
      <c r="V622">
        <f t="shared" ca="1" si="173"/>
        <v>0</v>
      </c>
      <c r="W622">
        <v>151</v>
      </c>
      <c r="X622" t="str">
        <f t="shared" ca="1" si="174"/>
        <v/>
      </c>
      <c r="Y622" t="s">
        <v>32</v>
      </c>
      <c r="Z622">
        <f t="shared" ca="1" si="175"/>
        <v>0</v>
      </c>
      <c r="AA622" t="str">
        <f t="shared" ca="1" si="176"/>
        <v>SPPN</v>
      </c>
      <c r="AB622">
        <f t="shared" ca="1" si="177"/>
        <v>1</v>
      </c>
      <c r="AC622">
        <f t="shared" ca="1" si="178"/>
        <v>0</v>
      </c>
      <c r="AD622" t="str">
        <f t="shared" si="168"/>
        <v>4093RN153</v>
      </c>
      <c r="AE622">
        <f t="shared" ca="1" si="179"/>
        <v>0</v>
      </c>
      <c r="AF622" t="str">
        <f t="shared" ca="1" si="180"/>
        <v/>
      </c>
      <c r="AG622">
        <v>151</v>
      </c>
      <c r="AH622" t="s">
        <v>136</v>
      </c>
      <c r="AI622" t="str">
        <f t="shared" si="169"/>
        <v>Lutheran Home 25</v>
      </c>
      <c r="AJ622" t="str">
        <f t="shared" si="170"/>
        <v>Green Bay</v>
      </c>
      <c r="AK622" t="str">
        <f t="shared" si="171"/>
        <v>WI</v>
      </c>
    </row>
    <row r="623" spans="18:37" x14ac:dyDescent="0.25">
      <c r="R623">
        <v>1</v>
      </c>
      <c r="S623">
        <v>365</v>
      </c>
      <c r="T623">
        <f t="shared" si="167"/>
        <v>129</v>
      </c>
      <c r="U623">
        <f t="shared" si="172"/>
        <v>26053</v>
      </c>
      <c r="V623">
        <f t="shared" ca="1" si="173"/>
        <v>0</v>
      </c>
      <c r="W623">
        <v>152</v>
      </c>
      <c r="X623" t="str">
        <f t="shared" ca="1" si="174"/>
        <v/>
      </c>
      <c r="Y623" t="s">
        <v>9</v>
      </c>
      <c r="Z623">
        <f t="shared" ca="1" si="175"/>
        <v>0</v>
      </c>
      <c r="AA623" t="str">
        <f t="shared" ca="1" si="176"/>
        <v>SPPN</v>
      </c>
      <c r="AB623">
        <f t="shared" ca="1" si="177"/>
        <v>1</v>
      </c>
      <c r="AC623" t="str">
        <f t="shared" ca="1" si="178"/>
        <v/>
      </c>
      <c r="AD623" t="str">
        <f t="shared" si="168"/>
        <v>4093RN153</v>
      </c>
      <c r="AE623">
        <f t="shared" ca="1" si="179"/>
        <v>0</v>
      </c>
      <c r="AF623" t="str">
        <f t="shared" ca="1" si="180"/>
        <v/>
      </c>
      <c r="AG623">
        <v>152</v>
      </c>
      <c r="AH623" t="s">
        <v>136</v>
      </c>
      <c r="AI623" t="str">
        <f t="shared" si="169"/>
        <v>Lutheran Home 25</v>
      </c>
      <c r="AJ623" t="str">
        <f t="shared" si="170"/>
        <v>Green Bay</v>
      </c>
      <c r="AK623" t="str">
        <f t="shared" si="171"/>
        <v>WI</v>
      </c>
    </row>
    <row r="624" spans="18:37" x14ac:dyDescent="0.25">
      <c r="S624">
        <v>366</v>
      </c>
      <c r="T624">
        <f t="shared" si="167"/>
        <v>129</v>
      </c>
      <c r="U624">
        <f t="shared" si="172"/>
        <v>26053</v>
      </c>
      <c r="V624">
        <f t="shared" ca="1" si="173"/>
        <v>0</v>
      </c>
      <c r="W624">
        <v>152</v>
      </c>
      <c r="X624" t="str">
        <f t="shared" ca="1" si="174"/>
        <v/>
      </c>
      <c r="Y624" t="s">
        <v>33</v>
      </c>
      <c r="Z624">
        <f t="shared" ca="1" si="175"/>
        <v>0</v>
      </c>
      <c r="AA624" t="str">
        <f t="shared" ca="1" si="176"/>
        <v>SPPN</v>
      </c>
      <c r="AB624">
        <f t="shared" ca="1" si="177"/>
        <v>1</v>
      </c>
      <c r="AC624" t="str">
        <f t="shared" ca="1" si="178"/>
        <v/>
      </c>
      <c r="AD624" t="str">
        <f t="shared" si="168"/>
        <v>4093RN153</v>
      </c>
      <c r="AE624">
        <f t="shared" ca="1" si="179"/>
        <v>0</v>
      </c>
      <c r="AF624" t="str">
        <f t="shared" ca="1" si="180"/>
        <v/>
      </c>
      <c r="AG624">
        <v>152</v>
      </c>
      <c r="AH624" t="s">
        <v>136</v>
      </c>
      <c r="AI624" t="str">
        <f t="shared" si="169"/>
        <v>Lutheran Home 25</v>
      </c>
      <c r="AJ624" t="str">
        <f t="shared" si="170"/>
        <v>Green Bay</v>
      </c>
      <c r="AK624" t="str">
        <f t="shared" si="171"/>
        <v>WI</v>
      </c>
    </row>
    <row r="625" spans="18:37" x14ac:dyDescent="0.25">
      <c r="S625">
        <v>367</v>
      </c>
      <c r="T625">
        <f t="shared" si="167"/>
        <v>129</v>
      </c>
      <c r="U625">
        <f t="shared" si="172"/>
        <v>26053</v>
      </c>
      <c r="V625">
        <f t="shared" ca="1" si="173"/>
        <v>0</v>
      </c>
      <c r="W625">
        <v>152</v>
      </c>
      <c r="X625" t="str">
        <f t="shared" ca="1" si="174"/>
        <v/>
      </c>
      <c r="Y625" t="s">
        <v>28</v>
      </c>
      <c r="Z625">
        <f t="shared" ca="1" si="175"/>
        <v>0</v>
      </c>
      <c r="AA625" t="str">
        <f t="shared" ca="1" si="176"/>
        <v>SPPN</v>
      </c>
      <c r="AB625">
        <f t="shared" ca="1" si="177"/>
        <v>1</v>
      </c>
      <c r="AC625">
        <f t="shared" ca="1" si="178"/>
        <v>0</v>
      </c>
      <c r="AD625" t="str">
        <f t="shared" si="168"/>
        <v>4093RN153</v>
      </c>
      <c r="AE625">
        <f t="shared" ca="1" si="179"/>
        <v>0</v>
      </c>
      <c r="AF625" t="str">
        <f t="shared" ca="1" si="180"/>
        <v/>
      </c>
      <c r="AG625">
        <v>152</v>
      </c>
      <c r="AH625" t="s">
        <v>136</v>
      </c>
      <c r="AI625" t="str">
        <f t="shared" si="169"/>
        <v>Lutheran Home 25</v>
      </c>
      <c r="AJ625" t="str">
        <f t="shared" si="170"/>
        <v>Green Bay</v>
      </c>
      <c r="AK625" t="str">
        <f t="shared" si="171"/>
        <v>WI</v>
      </c>
    </row>
    <row r="626" spans="18:37" x14ac:dyDescent="0.25">
      <c r="S626">
        <v>368</v>
      </c>
      <c r="T626">
        <f t="shared" si="167"/>
        <v>129</v>
      </c>
      <c r="U626">
        <f t="shared" si="172"/>
        <v>26053</v>
      </c>
      <c r="V626">
        <f t="shared" ca="1" si="173"/>
        <v>0</v>
      </c>
      <c r="W626">
        <v>152</v>
      </c>
      <c r="X626" t="str">
        <f t="shared" ca="1" si="174"/>
        <v/>
      </c>
      <c r="Y626" t="s">
        <v>32</v>
      </c>
      <c r="Z626">
        <f t="shared" ca="1" si="175"/>
        <v>0</v>
      </c>
      <c r="AA626" t="str">
        <f t="shared" ca="1" si="176"/>
        <v>SPPN</v>
      </c>
      <c r="AB626">
        <f t="shared" ca="1" si="177"/>
        <v>1</v>
      </c>
      <c r="AC626">
        <f t="shared" ca="1" si="178"/>
        <v>0</v>
      </c>
      <c r="AD626" t="str">
        <f t="shared" si="168"/>
        <v>4093RN153</v>
      </c>
      <c r="AE626">
        <f t="shared" ca="1" si="179"/>
        <v>0</v>
      </c>
      <c r="AF626" t="str">
        <f t="shared" ca="1" si="180"/>
        <v/>
      </c>
      <c r="AG626">
        <v>152</v>
      </c>
      <c r="AH626" t="s">
        <v>136</v>
      </c>
      <c r="AI626" t="str">
        <f t="shared" si="169"/>
        <v>Lutheran Home 25</v>
      </c>
      <c r="AJ626" t="str">
        <f t="shared" si="170"/>
        <v>Green Bay</v>
      </c>
      <c r="AK626" t="str">
        <f t="shared" si="171"/>
        <v>WI</v>
      </c>
    </row>
    <row r="627" spans="18:37" x14ac:dyDescent="0.25">
      <c r="R627">
        <v>1</v>
      </c>
      <c r="S627">
        <v>369</v>
      </c>
      <c r="T627">
        <f t="shared" si="167"/>
        <v>129</v>
      </c>
      <c r="U627">
        <f t="shared" si="172"/>
        <v>26053</v>
      </c>
      <c r="V627">
        <f t="shared" ca="1" si="173"/>
        <v>0</v>
      </c>
      <c r="W627">
        <v>153</v>
      </c>
      <c r="X627" t="str">
        <f t="shared" ca="1" si="174"/>
        <v/>
      </c>
      <c r="Y627" t="s">
        <v>9</v>
      </c>
      <c r="Z627">
        <f t="shared" ca="1" si="175"/>
        <v>0</v>
      </c>
      <c r="AA627" t="str">
        <f t="shared" ca="1" si="176"/>
        <v>SPPN</v>
      </c>
      <c r="AB627">
        <f t="shared" ca="1" si="177"/>
        <v>1</v>
      </c>
      <c r="AC627" t="str">
        <f t="shared" ca="1" si="178"/>
        <v/>
      </c>
      <c r="AD627" t="str">
        <f t="shared" si="168"/>
        <v>4093RN153</v>
      </c>
      <c r="AE627">
        <f t="shared" ca="1" si="179"/>
        <v>0</v>
      </c>
      <c r="AF627" t="str">
        <f t="shared" ca="1" si="180"/>
        <v/>
      </c>
      <c r="AG627">
        <v>153</v>
      </c>
      <c r="AH627" t="s">
        <v>136</v>
      </c>
      <c r="AI627" t="str">
        <f t="shared" si="169"/>
        <v>Lutheran Home 25</v>
      </c>
      <c r="AJ627" t="str">
        <f t="shared" si="170"/>
        <v>Green Bay</v>
      </c>
      <c r="AK627" t="str">
        <f t="shared" si="171"/>
        <v>WI</v>
      </c>
    </row>
    <row r="628" spans="18:37" x14ac:dyDescent="0.25">
      <c r="S628">
        <v>370</v>
      </c>
      <c r="T628">
        <f t="shared" si="167"/>
        <v>129</v>
      </c>
      <c r="U628">
        <f t="shared" si="172"/>
        <v>26053</v>
      </c>
      <c r="V628">
        <f t="shared" ca="1" si="173"/>
        <v>0</v>
      </c>
      <c r="W628">
        <v>153</v>
      </c>
      <c r="X628" t="str">
        <f t="shared" ca="1" si="174"/>
        <v/>
      </c>
      <c r="Y628" t="s">
        <v>33</v>
      </c>
      <c r="Z628">
        <f t="shared" ca="1" si="175"/>
        <v>0</v>
      </c>
      <c r="AA628" t="str">
        <f t="shared" ca="1" si="176"/>
        <v>SPPN</v>
      </c>
      <c r="AB628">
        <f t="shared" ca="1" si="177"/>
        <v>1</v>
      </c>
      <c r="AC628" t="str">
        <f t="shared" ca="1" si="178"/>
        <v/>
      </c>
      <c r="AD628" t="str">
        <f t="shared" si="168"/>
        <v>4093RN153</v>
      </c>
      <c r="AE628">
        <f t="shared" ca="1" si="179"/>
        <v>0</v>
      </c>
      <c r="AF628" t="str">
        <f t="shared" ca="1" si="180"/>
        <v/>
      </c>
      <c r="AG628">
        <v>153</v>
      </c>
      <c r="AH628" t="s">
        <v>136</v>
      </c>
      <c r="AI628" t="str">
        <f t="shared" si="169"/>
        <v>Lutheran Home 25</v>
      </c>
      <c r="AJ628" t="str">
        <f t="shared" si="170"/>
        <v>Green Bay</v>
      </c>
      <c r="AK628" t="str">
        <f t="shared" si="171"/>
        <v>WI</v>
      </c>
    </row>
    <row r="629" spans="18:37" x14ac:dyDescent="0.25">
      <c r="S629">
        <v>371</v>
      </c>
      <c r="T629">
        <f t="shared" si="167"/>
        <v>129</v>
      </c>
      <c r="U629">
        <f t="shared" si="172"/>
        <v>26053</v>
      </c>
      <c r="V629">
        <f t="shared" ca="1" si="173"/>
        <v>0</v>
      </c>
      <c r="W629">
        <v>153</v>
      </c>
      <c r="X629" t="str">
        <f t="shared" ca="1" si="174"/>
        <v/>
      </c>
      <c r="Y629" t="s">
        <v>28</v>
      </c>
      <c r="Z629">
        <f t="shared" ca="1" si="175"/>
        <v>0</v>
      </c>
      <c r="AA629" t="str">
        <f t="shared" ca="1" si="176"/>
        <v>SPPN</v>
      </c>
      <c r="AB629">
        <f t="shared" ca="1" si="177"/>
        <v>1</v>
      </c>
      <c r="AC629">
        <f t="shared" ca="1" si="178"/>
        <v>0</v>
      </c>
      <c r="AD629" t="str">
        <f t="shared" si="168"/>
        <v>4093RN153</v>
      </c>
      <c r="AE629">
        <f t="shared" ca="1" si="179"/>
        <v>0</v>
      </c>
      <c r="AF629" t="str">
        <f t="shared" ca="1" si="180"/>
        <v/>
      </c>
      <c r="AG629">
        <v>153</v>
      </c>
      <c r="AH629" t="s">
        <v>136</v>
      </c>
      <c r="AI629" t="str">
        <f t="shared" si="169"/>
        <v>Lutheran Home 25</v>
      </c>
      <c r="AJ629" t="str">
        <f t="shared" si="170"/>
        <v>Green Bay</v>
      </c>
      <c r="AK629" t="str">
        <f t="shared" si="171"/>
        <v>WI</v>
      </c>
    </row>
    <row r="630" spans="18:37" x14ac:dyDescent="0.25">
      <c r="S630">
        <v>372</v>
      </c>
      <c r="T630">
        <f t="shared" si="167"/>
        <v>129</v>
      </c>
      <c r="U630">
        <f t="shared" si="172"/>
        <v>26053</v>
      </c>
      <c r="V630">
        <f t="shared" ca="1" si="173"/>
        <v>0</v>
      </c>
      <c r="W630">
        <v>153</v>
      </c>
      <c r="X630" t="str">
        <f t="shared" ca="1" si="174"/>
        <v/>
      </c>
      <c r="Y630" t="s">
        <v>32</v>
      </c>
      <c r="Z630">
        <f t="shared" ca="1" si="175"/>
        <v>0</v>
      </c>
      <c r="AA630" t="str">
        <f t="shared" ca="1" si="176"/>
        <v>SPPN</v>
      </c>
      <c r="AB630">
        <f t="shared" ca="1" si="177"/>
        <v>1</v>
      </c>
      <c r="AC630">
        <f t="shared" ca="1" si="178"/>
        <v>0</v>
      </c>
      <c r="AD630" t="str">
        <f t="shared" si="168"/>
        <v>4093RN153</v>
      </c>
      <c r="AE630">
        <f t="shared" ca="1" si="179"/>
        <v>0</v>
      </c>
      <c r="AF630" t="str">
        <f t="shared" ca="1" si="180"/>
        <v/>
      </c>
      <c r="AG630">
        <v>153</v>
      </c>
      <c r="AH630" t="s">
        <v>136</v>
      </c>
      <c r="AI630" t="str">
        <f t="shared" si="169"/>
        <v>Lutheran Home 25</v>
      </c>
      <c r="AJ630" t="str">
        <f t="shared" si="170"/>
        <v>Green Bay</v>
      </c>
      <c r="AK630" t="str">
        <f t="shared" si="171"/>
        <v>WI</v>
      </c>
    </row>
    <row r="631" spans="18:37" x14ac:dyDescent="0.25">
      <c r="R631">
        <v>1</v>
      </c>
      <c r="S631">
        <v>373</v>
      </c>
      <c r="T631">
        <f t="shared" si="167"/>
        <v>129</v>
      </c>
      <c r="U631">
        <f t="shared" si="172"/>
        <v>26053</v>
      </c>
      <c r="V631">
        <f t="shared" ca="1" si="173"/>
        <v>0</v>
      </c>
      <c r="W631">
        <v>154</v>
      </c>
      <c r="X631" t="str">
        <f t="shared" ca="1" si="174"/>
        <v/>
      </c>
      <c r="Y631" t="s">
        <v>9</v>
      </c>
      <c r="Z631">
        <f t="shared" ca="1" si="175"/>
        <v>0</v>
      </c>
      <c r="AA631" t="str">
        <f t="shared" ca="1" si="176"/>
        <v>SPPN</v>
      </c>
      <c r="AB631">
        <f t="shared" ca="1" si="177"/>
        <v>1</v>
      </c>
      <c r="AC631" t="str">
        <f t="shared" ca="1" si="178"/>
        <v/>
      </c>
      <c r="AD631" t="str">
        <f t="shared" si="168"/>
        <v>4093RN153</v>
      </c>
      <c r="AE631">
        <f t="shared" ca="1" si="179"/>
        <v>0</v>
      </c>
      <c r="AF631" t="str">
        <f t="shared" ca="1" si="180"/>
        <v/>
      </c>
      <c r="AG631">
        <v>154</v>
      </c>
      <c r="AH631" t="s">
        <v>136</v>
      </c>
      <c r="AI631" t="str">
        <f t="shared" si="169"/>
        <v>Lutheran Home 25</v>
      </c>
      <c r="AJ631" t="str">
        <f t="shared" si="170"/>
        <v>Green Bay</v>
      </c>
      <c r="AK631" t="str">
        <f t="shared" si="171"/>
        <v>WI</v>
      </c>
    </row>
    <row r="632" spans="18:37" x14ac:dyDescent="0.25">
      <c r="S632">
        <v>374</v>
      </c>
      <c r="T632">
        <f t="shared" si="167"/>
        <v>129</v>
      </c>
      <c r="U632">
        <f t="shared" si="172"/>
        <v>26053</v>
      </c>
      <c r="V632">
        <f t="shared" ca="1" si="173"/>
        <v>0</v>
      </c>
      <c r="W632">
        <v>154</v>
      </c>
      <c r="X632" t="str">
        <f t="shared" ca="1" si="174"/>
        <v/>
      </c>
      <c r="Y632" t="s">
        <v>33</v>
      </c>
      <c r="Z632">
        <f t="shared" ca="1" si="175"/>
        <v>0</v>
      </c>
      <c r="AA632" t="str">
        <f t="shared" ca="1" si="176"/>
        <v>SPPN</v>
      </c>
      <c r="AB632">
        <f t="shared" ca="1" si="177"/>
        <v>1</v>
      </c>
      <c r="AC632" t="str">
        <f t="shared" ca="1" si="178"/>
        <v/>
      </c>
      <c r="AD632" t="str">
        <f t="shared" si="168"/>
        <v>4093RN153</v>
      </c>
      <c r="AE632">
        <f t="shared" ca="1" si="179"/>
        <v>0</v>
      </c>
      <c r="AF632" t="str">
        <f t="shared" ca="1" si="180"/>
        <v/>
      </c>
      <c r="AG632">
        <v>154</v>
      </c>
      <c r="AH632" t="s">
        <v>136</v>
      </c>
      <c r="AI632" t="str">
        <f t="shared" si="169"/>
        <v>Lutheran Home 25</v>
      </c>
      <c r="AJ632" t="str">
        <f t="shared" si="170"/>
        <v>Green Bay</v>
      </c>
      <c r="AK632" t="str">
        <f t="shared" si="171"/>
        <v>WI</v>
      </c>
    </row>
    <row r="633" spans="18:37" x14ac:dyDescent="0.25">
      <c r="S633">
        <v>375</v>
      </c>
      <c r="T633">
        <f t="shared" si="167"/>
        <v>129</v>
      </c>
      <c r="U633">
        <f t="shared" si="172"/>
        <v>26053</v>
      </c>
      <c r="V633">
        <f t="shared" ca="1" si="173"/>
        <v>0</v>
      </c>
      <c r="W633">
        <v>154</v>
      </c>
      <c r="X633" t="str">
        <f t="shared" ca="1" si="174"/>
        <v/>
      </c>
      <c r="Y633" t="s">
        <v>28</v>
      </c>
      <c r="Z633">
        <f t="shared" ca="1" si="175"/>
        <v>0</v>
      </c>
      <c r="AA633" t="str">
        <f t="shared" ca="1" si="176"/>
        <v>SPPN</v>
      </c>
      <c r="AB633">
        <f t="shared" ca="1" si="177"/>
        <v>1</v>
      </c>
      <c r="AC633">
        <f t="shared" ca="1" si="178"/>
        <v>0</v>
      </c>
      <c r="AD633" t="str">
        <f t="shared" si="168"/>
        <v>4093RN153</v>
      </c>
      <c r="AE633">
        <f t="shared" ca="1" si="179"/>
        <v>0</v>
      </c>
      <c r="AF633" t="str">
        <f t="shared" ca="1" si="180"/>
        <v/>
      </c>
      <c r="AG633">
        <v>154</v>
      </c>
      <c r="AH633" t="s">
        <v>136</v>
      </c>
      <c r="AI633" t="str">
        <f t="shared" si="169"/>
        <v>Lutheran Home 25</v>
      </c>
      <c r="AJ633" t="str">
        <f t="shared" si="170"/>
        <v>Green Bay</v>
      </c>
      <c r="AK633" t="str">
        <f t="shared" si="171"/>
        <v>WI</v>
      </c>
    </row>
    <row r="634" spans="18:37" x14ac:dyDescent="0.25">
      <c r="S634">
        <v>376</v>
      </c>
      <c r="T634">
        <f t="shared" si="167"/>
        <v>129</v>
      </c>
      <c r="U634">
        <f t="shared" si="172"/>
        <v>26053</v>
      </c>
      <c r="V634">
        <f t="shared" ca="1" si="173"/>
        <v>0</v>
      </c>
      <c r="W634">
        <v>154</v>
      </c>
      <c r="X634" t="str">
        <f t="shared" ca="1" si="174"/>
        <v/>
      </c>
      <c r="Y634" t="s">
        <v>32</v>
      </c>
      <c r="Z634">
        <f t="shared" ca="1" si="175"/>
        <v>0</v>
      </c>
      <c r="AA634" t="str">
        <f t="shared" ca="1" si="176"/>
        <v>SPPN</v>
      </c>
      <c r="AB634">
        <f t="shared" ca="1" si="177"/>
        <v>1</v>
      </c>
      <c r="AC634">
        <f t="shared" ca="1" si="178"/>
        <v>0</v>
      </c>
      <c r="AD634" t="str">
        <f t="shared" si="168"/>
        <v>4093RN153</v>
      </c>
      <c r="AE634">
        <f t="shared" ca="1" si="179"/>
        <v>0</v>
      </c>
      <c r="AF634" t="str">
        <f t="shared" ca="1" si="180"/>
        <v/>
      </c>
      <c r="AG634">
        <v>154</v>
      </c>
      <c r="AH634" t="s">
        <v>136</v>
      </c>
      <c r="AI634" t="str">
        <f t="shared" si="169"/>
        <v>Lutheran Home 25</v>
      </c>
      <c r="AJ634" t="str">
        <f t="shared" si="170"/>
        <v>Green Bay</v>
      </c>
      <c r="AK634" t="str">
        <f t="shared" si="171"/>
        <v>WI</v>
      </c>
    </row>
    <row r="635" spans="18:37" x14ac:dyDescent="0.25">
      <c r="R635">
        <v>1</v>
      </c>
      <c r="S635">
        <v>377</v>
      </c>
      <c r="T635">
        <f t="shared" si="167"/>
        <v>129</v>
      </c>
      <c r="U635">
        <f t="shared" si="172"/>
        <v>26053</v>
      </c>
      <c r="V635">
        <f t="shared" ca="1" si="173"/>
        <v>0</v>
      </c>
      <c r="W635">
        <v>155</v>
      </c>
      <c r="X635" t="str">
        <f t="shared" ca="1" si="174"/>
        <v/>
      </c>
      <c r="Y635" t="s">
        <v>9</v>
      </c>
      <c r="Z635">
        <f t="shared" ca="1" si="175"/>
        <v>0</v>
      </c>
      <c r="AA635" t="str">
        <f t="shared" ca="1" si="176"/>
        <v>SPPN</v>
      </c>
      <c r="AB635">
        <f t="shared" ca="1" si="177"/>
        <v>1</v>
      </c>
      <c r="AC635" t="str">
        <f t="shared" ca="1" si="178"/>
        <v/>
      </c>
      <c r="AD635" t="str">
        <f t="shared" si="168"/>
        <v>4093RN153</v>
      </c>
      <c r="AE635">
        <f t="shared" ca="1" si="179"/>
        <v>0</v>
      </c>
      <c r="AF635" t="str">
        <f t="shared" ca="1" si="180"/>
        <v/>
      </c>
      <c r="AG635">
        <v>155</v>
      </c>
      <c r="AH635" t="s">
        <v>136</v>
      </c>
      <c r="AI635" t="str">
        <f t="shared" si="169"/>
        <v>Lutheran Home 25</v>
      </c>
      <c r="AJ635" t="str">
        <f t="shared" si="170"/>
        <v>Green Bay</v>
      </c>
      <c r="AK635" t="str">
        <f t="shared" si="171"/>
        <v>WI</v>
      </c>
    </row>
    <row r="636" spans="18:37" x14ac:dyDescent="0.25">
      <c r="S636">
        <v>378</v>
      </c>
      <c r="T636">
        <f t="shared" si="167"/>
        <v>129</v>
      </c>
      <c r="U636">
        <f t="shared" si="172"/>
        <v>26053</v>
      </c>
      <c r="V636">
        <f t="shared" ca="1" si="173"/>
        <v>0</v>
      </c>
      <c r="W636">
        <v>155</v>
      </c>
      <c r="X636" t="str">
        <f t="shared" ca="1" si="174"/>
        <v/>
      </c>
      <c r="Y636" t="s">
        <v>33</v>
      </c>
      <c r="Z636">
        <f t="shared" ca="1" si="175"/>
        <v>0</v>
      </c>
      <c r="AA636" t="str">
        <f t="shared" ca="1" si="176"/>
        <v>SPPN</v>
      </c>
      <c r="AB636">
        <f t="shared" ca="1" si="177"/>
        <v>1</v>
      </c>
      <c r="AC636" t="str">
        <f t="shared" ca="1" si="178"/>
        <v/>
      </c>
      <c r="AD636" t="str">
        <f t="shared" si="168"/>
        <v>4093RN153</v>
      </c>
      <c r="AE636">
        <f t="shared" ca="1" si="179"/>
        <v>0</v>
      </c>
      <c r="AF636" t="str">
        <f t="shared" ca="1" si="180"/>
        <v/>
      </c>
      <c r="AG636">
        <v>155</v>
      </c>
      <c r="AH636" t="s">
        <v>136</v>
      </c>
      <c r="AI636" t="str">
        <f t="shared" si="169"/>
        <v>Lutheran Home 25</v>
      </c>
      <c r="AJ636" t="str">
        <f t="shared" si="170"/>
        <v>Green Bay</v>
      </c>
      <c r="AK636" t="str">
        <f t="shared" si="171"/>
        <v>WI</v>
      </c>
    </row>
    <row r="637" spans="18:37" x14ac:dyDescent="0.25">
      <c r="S637">
        <v>379</v>
      </c>
      <c r="T637">
        <f t="shared" si="167"/>
        <v>129</v>
      </c>
      <c r="U637">
        <f t="shared" si="172"/>
        <v>26053</v>
      </c>
      <c r="V637">
        <f t="shared" ca="1" si="173"/>
        <v>0</v>
      </c>
      <c r="W637">
        <v>155</v>
      </c>
      <c r="X637" t="str">
        <f t="shared" ca="1" si="174"/>
        <v/>
      </c>
      <c r="Y637" t="s">
        <v>28</v>
      </c>
      <c r="Z637">
        <f t="shared" ca="1" si="175"/>
        <v>0</v>
      </c>
      <c r="AA637" t="str">
        <f t="shared" ca="1" si="176"/>
        <v>SPPN</v>
      </c>
      <c r="AB637">
        <f t="shared" ca="1" si="177"/>
        <v>1</v>
      </c>
      <c r="AC637">
        <f t="shared" ca="1" si="178"/>
        <v>0</v>
      </c>
      <c r="AD637" t="str">
        <f t="shared" si="168"/>
        <v>4093RN153</v>
      </c>
      <c r="AE637">
        <f t="shared" ca="1" si="179"/>
        <v>0</v>
      </c>
      <c r="AF637" t="str">
        <f t="shared" ca="1" si="180"/>
        <v/>
      </c>
      <c r="AG637">
        <v>155</v>
      </c>
      <c r="AH637" t="s">
        <v>136</v>
      </c>
      <c r="AI637" t="str">
        <f t="shared" si="169"/>
        <v>Lutheran Home 25</v>
      </c>
      <c r="AJ637" t="str">
        <f t="shared" si="170"/>
        <v>Green Bay</v>
      </c>
      <c r="AK637" t="str">
        <f t="shared" si="171"/>
        <v>WI</v>
      </c>
    </row>
    <row r="638" spans="18:37" x14ac:dyDescent="0.25">
      <c r="S638">
        <v>380</v>
      </c>
      <c r="T638">
        <f t="shared" si="167"/>
        <v>129</v>
      </c>
      <c r="U638">
        <f t="shared" si="172"/>
        <v>26053</v>
      </c>
      <c r="V638">
        <f t="shared" ca="1" si="173"/>
        <v>0</v>
      </c>
      <c r="W638">
        <v>155</v>
      </c>
      <c r="X638" t="str">
        <f t="shared" ca="1" si="174"/>
        <v/>
      </c>
      <c r="Y638" t="s">
        <v>32</v>
      </c>
      <c r="Z638">
        <f t="shared" ca="1" si="175"/>
        <v>0</v>
      </c>
      <c r="AA638" t="str">
        <f t="shared" ca="1" si="176"/>
        <v>SPPN</v>
      </c>
      <c r="AB638">
        <f t="shared" ca="1" si="177"/>
        <v>1</v>
      </c>
      <c r="AC638">
        <f t="shared" ca="1" si="178"/>
        <v>0</v>
      </c>
      <c r="AD638" t="str">
        <f t="shared" si="168"/>
        <v>4093RN153</v>
      </c>
      <c r="AE638">
        <f t="shared" ca="1" si="179"/>
        <v>0</v>
      </c>
      <c r="AF638" t="str">
        <f t="shared" ca="1" si="180"/>
        <v/>
      </c>
      <c r="AG638">
        <v>155</v>
      </c>
      <c r="AH638" t="s">
        <v>136</v>
      </c>
      <c r="AI638" t="str">
        <f t="shared" si="169"/>
        <v>Lutheran Home 25</v>
      </c>
      <c r="AJ638" t="str">
        <f t="shared" si="170"/>
        <v>Green Bay</v>
      </c>
      <c r="AK638" t="str">
        <f t="shared" si="171"/>
        <v>WI</v>
      </c>
    </row>
    <row r="639" spans="18:37" x14ac:dyDescent="0.25">
      <c r="R639">
        <v>1</v>
      </c>
      <c r="S639">
        <v>381</v>
      </c>
      <c r="T639">
        <f t="shared" si="167"/>
        <v>129</v>
      </c>
      <c r="U639">
        <f t="shared" si="172"/>
        <v>26053</v>
      </c>
      <c r="V639">
        <f t="shared" ca="1" si="173"/>
        <v>0</v>
      </c>
      <c r="W639">
        <v>156</v>
      </c>
      <c r="X639" t="str">
        <f t="shared" ca="1" si="174"/>
        <v/>
      </c>
      <c r="Y639" t="s">
        <v>9</v>
      </c>
      <c r="Z639">
        <f t="shared" ca="1" si="175"/>
        <v>0</v>
      </c>
      <c r="AA639" t="str">
        <f t="shared" ca="1" si="176"/>
        <v>SPPN</v>
      </c>
      <c r="AB639">
        <f t="shared" ca="1" si="177"/>
        <v>1</v>
      </c>
      <c r="AC639" t="str">
        <f t="shared" ca="1" si="178"/>
        <v/>
      </c>
      <c r="AD639" t="str">
        <f t="shared" si="168"/>
        <v>4093RN153</v>
      </c>
      <c r="AE639">
        <f t="shared" ca="1" si="179"/>
        <v>0</v>
      </c>
      <c r="AF639" t="str">
        <f t="shared" ca="1" si="180"/>
        <v/>
      </c>
      <c r="AG639">
        <v>156</v>
      </c>
      <c r="AH639" t="s">
        <v>136</v>
      </c>
      <c r="AI639" t="str">
        <f t="shared" si="169"/>
        <v>Lutheran Home 25</v>
      </c>
      <c r="AJ639" t="str">
        <f t="shared" si="170"/>
        <v>Green Bay</v>
      </c>
      <c r="AK639" t="str">
        <f t="shared" si="171"/>
        <v>WI</v>
      </c>
    </row>
    <row r="640" spans="18:37" x14ac:dyDescent="0.25">
      <c r="S640">
        <v>382</v>
      </c>
      <c r="T640">
        <f t="shared" si="167"/>
        <v>129</v>
      </c>
      <c r="U640">
        <f t="shared" si="172"/>
        <v>26053</v>
      </c>
      <c r="V640">
        <f t="shared" ca="1" si="173"/>
        <v>0</v>
      </c>
      <c r="W640">
        <v>156</v>
      </c>
      <c r="X640" t="str">
        <f t="shared" ca="1" si="174"/>
        <v/>
      </c>
      <c r="Y640" t="s">
        <v>33</v>
      </c>
      <c r="Z640">
        <f t="shared" ca="1" si="175"/>
        <v>0</v>
      </c>
      <c r="AA640" t="str">
        <f t="shared" ca="1" si="176"/>
        <v>SPPN</v>
      </c>
      <c r="AB640">
        <f t="shared" ca="1" si="177"/>
        <v>1</v>
      </c>
      <c r="AC640" t="str">
        <f t="shared" ca="1" si="178"/>
        <v/>
      </c>
      <c r="AD640" t="str">
        <f t="shared" si="168"/>
        <v>4093RN153</v>
      </c>
      <c r="AE640">
        <f t="shared" ca="1" si="179"/>
        <v>0</v>
      </c>
      <c r="AF640" t="str">
        <f t="shared" ca="1" si="180"/>
        <v/>
      </c>
      <c r="AG640">
        <v>156</v>
      </c>
      <c r="AH640" t="s">
        <v>136</v>
      </c>
      <c r="AI640" t="str">
        <f t="shared" si="169"/>
        <v>Lutheran Home 25</v>
      </c>
      <c r="AJ640" t="str">
        <f t="shared" si="170"/>
        <v>Green Bay</v>
      </c>
      <c r="AK640" t="str">
        <f t="shared" si="171"/>
        <v>WI</v>
      </c>
    </row>
    <row r="641" spans="18:37" x14ac:dyDescent="0.25">
      <c r="S641">
        <v>383</v>
      </c>
      <c r="T641">
        <f t="shared" si="167"/>
        <v>129</v>
      </c>
      <c r="U641">
        <f t="shared" si="172"/>
        <v>26053</v>
      </c>
      <c r="V641">
        <f t="shared" ca="1" si="173"/>
        <v>0</v>
      </c>
      <c r="W641">
        <v>156</v>
      </c>
      <c r="X641" t="str">
        <f t="shared" ca="1" si="174"/>
        <v/>
      </c>
      <c r="Y641" t="s">
        <v>28</v>
      </c>
      <c r="Z641">
        <f t="shared" ca="1" si="175"/>
        <v>0</v>
      </c>
      <c r="AA641" t="str">
        <f t="shared" ca="1" si="176"/>
        <v>SPPN</v>
      </c>
      <c r="AB641">
        <f t="shared" ca="1" si="177"/>
        <v>1</v>
      </c>
      <c r="AC641">
        <f t="shared" ca="1" si="178"/>
        <v>0</v>
      </c>
      <c r="AD641" t="str">
        <f t="shared" si="168"/>
        <v>4093RN153</v>
      </c>
      <c r="AE641">
        <f t="shared" ca="1" si="179"/>
        <v>0</v>
      </c>
      <c r="AF641" t="str">
        <f t="shared" ca="1" si="180"/>
        <v/>
      </c>
      <c r="AG641">
        <v>156</v>
      </c>
      <c r="AH641" t="s">
        <v>136</v>
      </c>
      <c r="AI641" t="str">
        <f t="shared" si="169"/>
        <v>Lutheran Home 25</v>
      </c>
      <c r="AJ641" t="str">
        <f t="shared" si="170"/>
        <v>Green Bay</v>
      </c>
      <c r="AK641" t="str">
        <f t="shared" si="171"/>
        <v>WI</v>
      </c>
    </row>
    <row r="642" spans="18:37" x14ac:dyDescent="0.25">
      <c r="S642">
        <v>384</v>
      </c>
      <c r="T642">
        <f t="shared" si="167"/>
        <v>129</v>
      </c>
      <c r="U642">
        <f t="shared" si="172"/>
        <v>26053</v>
      </c>
      <c r="V642">
        <f t="shared" ca="1" si="173"/>
        <v>0</v>
      </c>
      <c r="W642">
        <v>156</v>
      </c>
      <c r="X642" t="str">
        <f t="shared" ca="1" si="174"/>
        <v/>
      </c>
      <c r="Y642" t="s">
        <v>32</v>
      </c>
      <c r="Z642">
        <f t="shared" ca="1" si="175"/>
        <v>0</v>
      </c>
      <c r="AA642" t="str">
        <f t="shared" ca="1" si="176"/>
        <v>SPPN</v>
      </c>
      <c r="AB642">
        <f t="shared" ca="1" si="177"/>
        <v>1</v>
      </c>
      <c r="AC642">
        <f t="shared" ca="1" si="178"/>
        <v>0</v>
      </c>
      <c r="AD642" t="str">
        <f t="shared" si="168"/>
        <v>4093RN153</v>
      </c>
      <c r="AE642">
        <f t="shared" ca="1" si="179"/>
        <v>0</v>
      </c>
      <c r="AF642" t="str">
        <f t="shared" ca="1" si="180"/>
        <v/>
      </c>
      <c r="AG642">
        <v>156</v>
      </c>
      <c r="AH642" t="s">
        <v>136</v>
      </c>
      <c r="AI642" t="str">
        <f t="shared" si="169"/>
        <v>Lutheran Home 25</v>
      </c>
      <c r="AJ642" t="str">
        <f t="shared" si="170"/>
        <v>Green Bay</v>
      </c>
      <c r="AK642" t="str">
        <f t="shared" si="171"/>
        <v>WI</v>
      </c>
    </row>
    <row r="643" spans="18:37" x14ac:dyDescent="0.25">
      <c r="R643">
        <v>1</v>
      </c>
      <c r="S643">
        <v>385</v>
      </c>
      <c r="T643">
        <f t="shared" si="167"/>
        <v>129</v>
      </c>
      <c r="U643">
        <f t="shared" si="172"/>
        <v>26053</v>
      </c>
      <c r="V643">
        <f t="shared" ca="1" si="173"/>
        <v>0</v>
      </c>
      <c r="W643">
        <v>157</v>
      </c>
      <c r="X643" t="str">
        <f t="shared" ca="1" si="174"/>
        <v/>
      </c>
      <c r="Y643" t="s">
        <v>9</v>
      </c>
      <c r="Z643">
        <f t="shared" ca="1" si="175"/>
        <v>0</v>
      </c>
      <c r="AA643" t="str">
        <f t="shared" ca="1" si="176"/>
        <v>SPPN</v>
      </c>
      <c r="AB643">
        <f t="shared" ca="1" si="177"/>
        <v>1</v>
      </c>
      <c r="AC643" t="str">
        <f t="shared" ca="1" si="178"/>
        <v/>
      </c>
      <c r="AD643" t="str">
        <f t="shared" si="168"/>
        <v>4093RN153</v>
      </c>
      <c r="AE643">
        <f t="shared" ca="1" si="179"/>
        <v>0</v>
      </c>
      <c r="AF643" t="str">
        <f t="shared" ca="1" si="180"/>
        <v/>
      </c>
      <c r="AG643">
        <v>157</v>
      </c>
      <c r="AH643" t="s">
        <v>136</v>
      </c>
      <c r="AI643" t="str">
        <f t="shared" si="169"/>
        <v>Lutheran Home 25</v>
      </c>
      <c r="AJ643" t="str">
        <f t="shared" si="170"/>
        <v>Green Bay</v>
      </c>
      <c r="AK643" t="str">
        <f t="shared" si="171"/>
        <v>WI</v>
      </c>
    </row>
    <row r="644" spans="18:37" x14ac:dyDescent="0.25">
      <c r="S644">
        <v>386</v>
      </c>
      <c r="T644">
        <f t="shared" si="167"/>
        <v>129</v>
      </c>
      <c r="U644">
        <f t="shared" si="172"/>
        <v>26053</v>
      </c>
      <c r="V644">
        <f t="shared" ca="1" si="173"/>
        <v>0</v>
      </c>
      <c r="W644">
        <v>157</v>
      </c>
      <c r="X644" t="str">
        <f t="shared" ca="1" si="174"/>
        <v/>
      </c>
      <c r="Y644" t="s">
        <v>33</v>
      </c>
      <c r="Z644">
        <f t="shared" ca="1" si="175"/>
        <v>0</v>
      </c>
      <c r="AA644" t="str">
        <f t="shared" ca="1" si="176"/>
        <v>SPPN</v>
      </c>
      <c r="AB644">
        <f t="shared" ca="1" si="177"/>
        <v>1</v>
      </c>
      <c r="AC644" t="str">
        <f t="shared" ca="1" si="178"/>
        <v/>
      </c>
      <c r="AD644" t="str">
        <f t="shared" si="168"/>
        <v>4093RN153</v>
      </c>
      <c r="AE644">
        <f t="shared" ca="1" si="179"/>
        <v>0</v>
      </c>
      <c r="AF644" t="str">
        <f t="shared" ca="1" si="180"/>
        <v/>
      </c>
      <c r="AG644">
        <v>157</v>
      </c>
      <c r="AH644" t="s">
        <v>136</v>
      </c>
      <c r="AI644" t="str">
        <f t="shared" si="169"/>
        <v>Lutheran Home 25</v>
      </c>
      <c r="AJ644" t="str">
        <f t="shared" si="170"/>
        <v>Green Bay</v>
      </c>
      <c r="AK644" t="str">
        <f t="shared" si="171"/>
        <v>WI</v>
      </c>
    </row>
    <row r="645" spans="18:37" x14ac:dyDescent="0.25">
      <c r="S645">
        <v>387</v>
      </c>
      <c r="T645">
        <f t="shared" si="167"/>
        <v>129</v>
      </c>
      <c r="U645">
        <f t="shared" si="172"/>
        <v>26053</v>
      </c>
      <c r="V645">
        <f t="shared" ca="1" si="173"/>
        <v>0</v>
      </c>
      <c r="W645">
        <v>157</v>
      </c>
      <c r="X645" t="str">
        <f t="shared" ca="1" si="174"/>
        <v/>
      </c>
      <c r="Y645" t="s">
        <v>28</v>
      </c>
      <c r="Z645">
        <f t="shared" ca="1" si="175"/>
        <v>0</v>
      </c>
      <c r="AA645" t="str">
        <f t="shared" ca="1" si="176"/>
        <v>SPPN</v>
      </c>
      <c r="AB645">
        <f t="shared" ca="1" si="177"/>
        <v>1</v>
      </c>
      <c r="AC645">
        <f t="shared" ca="1" si="178"/>
        <v>0</v>
      </c>
      <c r="AD645" t="str">
        <f t="shared" si="168"/>
        <v>4093RN153</v>
      </c>
      <c r="AE645">
        <f t="shared" ca="1" si="179"/>
        <v>0</v>
      </c>
      <c r="AF645" t="str">
        <f t="shared" ca="1" si="180"/>
        <v/>
      </c>
      <c r="AG645">
        <v>157</v>
      </c>
      <c r="AH645" t="s">
        <v>136</v>
      </c>
      <c r="AI645" t="str">
        <f t="shared" si="169"/>
        <v>Lutheran Home 25</v>
      </c>
      <c r="AJ645" t="str">
        <f t="shared" si="170"/>
        <v>Green Bay</v>
      </c>
      <c r="AK645" t="str">
        <f t="shared" si="171"/>
        <v>WI</v>
      </c>
    </row>
    <row r="646" spans="18:37" x14ac:dyDescent="0.25">
      <c r="S646">
        <v>388</v>
      </c>
      <c r="T646">
        <f t="shared" si="167"/>
        <v>129</v>
      </c>
      <c r="U646">
        <f t="shared" si="172"/>
        <v>26053</v>
      </c>
      <c r="V646">
        <f t="shared" ca="1" si="173"/>
        <v>0</v>
      </c>
      <c r="W646">
        <v>157</v>
      </c>
      <c r="X646" t="str">
        <f t="shared" ca="1" si="174"/>
        <v/>
      </c>
      <c r="Y646" t="s">
        <v>32</v>
      </c>
      <c r="Z646">
        <f t="shared" ca="1" si="175"/>
        <v>0</v>
      </c>
      <c r="AA646" t="str">
        <f t="shared" ca="1" si="176"/>
        <v>SPPN</v>
      </c>
      <c r="AB646">
        <f t="shared" ca="1" si="177"/>
        <v>1</v>
      </c>
      <c r="AC646">
        <f t="shared" ca="1" si="178"/>
        <v>0</v>
      </c>
      <c r="AD646" t="str">
        <f t="shared" si="168"/>
        <v>4093RN153</v>
      </c>
      <c r="AE646">
        <f t="shared" ca="1" si="179"/>
        <v>0</v>
      </c>
      <c r="AF646" t="str">
        <f t="shared" ca="1" si="180"/>
        <v/>
      </c>
      <c r="AG646">
        <v>157</v>
      </c>
      <c r="AH646" t="s">
        <v>136</v>
      </c>
      <c r="AI646" t="str">
        <f t="shared" si="169"/>
        <v>Lutheran Home 25</v>
      </c>
      <c r="AJ646" t="str">
        <f t="shared" si="170"/>
        <v>Green Bay</v>
      </c>
      <c r="AK646" t="str">
        <f t="shared" si="171"/>
        <v>WI</v>
      </c>
    </row>
    <row r="647" spans="18:37" x14ac:dyDescent="0.25">
      <c r="R647">
        <v>1</v>
      </c>
      <c r="S647">
        <v>389</v>
      </c>
      <c r="T647">
        <f t="shared" si="167"/>
        <v>129</v>
      </c>
      <c r="U647">
        <f t="shared" si="172"/>
        <v>26053</v>
      </c>
      <c r="V647">
        <f t="shared" ca="1" si="173"/>
        <v>0</v>
      </c>
      <c r="W647">
        <v>158</v>
      </c>
      <c r="X647" t="str">
        <f t="shared" ca="1" si="174"/>
        <v/>
      </c>
      <c r="Y647" t="s">
        <v>9</v>
      </c>
      <c r="Z647">
        <f t="shared" ca="1" si="175"/>
        <v>0</v>
      </c>
      <c r="AA647" t="str">
        <f t="shared" ca="1" si="176"/>
        <v>SPPN</v>
      </c>
      <c r="AB647">
        <f t="shared" ca="1" si="177"/>
        <v>1</v>
      </c>
      <c r="AC647" t="str">
        <f t="shared" ca="1" si="178"/>
        <v/>
      </c>
      <c r="AD647" t="str">
        <f t="shared" si="168"/>
        <v>4093RN153</v>
      </c>
      <c r="AE647">
        <f t="shared" ca="1" si="179"/>
        <v>0</v>
      </c>
      <c r="AF647" t="str">
        <f t="shared" ca="1" si="180"/>
        <v/>
      </c>
      <c r="AG647">
        <v>158</v>
      </c>
      <c r="AH647" t="s">
        <v>136</v>
      </c>
      <c r="AI647" t="str">
        <f t="shared" si="169"/>
        <v>Lutheran Home 25</v>
      </c>
      <c r="AJ647" t="str">
        <f t="shared" si="170"/>
        <v>Green Bay</v>
      </c>
      <c r="AK647" t="str">
        <f t="shared" si="171"/>
        <v>WI</v>
      </c>
    </row>
    <row r="648" spans="18:37" x14ac:dyDescent="0.25">
      <c r="S648">
        <v>390</v>
      </c>
      <c r="T648">
        <f t="shared" si="167"/>
        <v>129</v>
      </c>
      <c r="U648">
        <f t="shared" si="172"/>
        <v>26053</v>
      </c>
      <c r="V648">
        <f t="shared" ca="1" si="173"/>
        <v>0</v>
      </c>
      <c r="W648">
        <v>158</v>
      </c>
      <c r="X648" t="str">
        <f t="shared" ca="1" si="174"/>
        <v/>
      </c>
      <c r="Y648" t="s">
        <v>33</v>
      </c>
      <c r="Z648">
        <f t="shared" ca="1" si="175"/>
        <v>0</v>
      </c>
      <c r="AA648" t="str">
        <f t="shared" ca="1" si="176"/>
        <v>SPPN</v>
      </c>
      <c r="AB648">
        <f t="shared" ca="1" si="177"/>
        <v>1</v>
      </c>
      <c r="AC648" t="str">
        <f t="shared" ca="1" si="178"/>
        <v/>
      </c>
      <c r="AD648" t="str">
        <f t="shared" si="168"/>
        <v>4093RN153</v>
      </c>
      <c r="AE648">
        <f t="shared" ca="1" si="179"/>
        <v>0</v>
      </c>
      <c r="AF648" t="str">
        <f t="shared" ca="1" si="180"/>
        <v/>
      </c>
      <c r="AG648">
        <v>158</v>
      </c>
      <c r="AH648" t="s">
        <v>136</v>
      </c>
      <c r="AI648" t="str">
        <f t="shared" si="169"/>
        <v>Lutheran Home 25</v>
      </c>
      <c r="AJ648" t="str">
        <f t="shared" si="170"/>
        <v>Green Bay</v>
      </c>
      <c r="AK648" t="str">
        <f t="shared" si="171"/>
        <v>WI</v>
      </c>
    </row>
    <row r="649" spans="18:37" x14ac:dyDescent="0.25">
      <c r="S649">
        <v>391</v>
      </c>
      <c r="T649">
        <f t="shared" si="167"/>
        <v>129</v>
      </c>
      <c r="U649">
        <f t="shared" si="172"/>
        <v>26053</v>
      </c>
      <c r="V649">
        <f t="shared" ca="1" si="173"/>
        <v>0</v>
      </c>
      <c r="W649">
        <v>158</v>
      </c>
      <c r="X649" t="str">
        <f t="shared" ca="1" si="174"/>
        <v/>
      </c>
      <c r="Y649" t="s">
        <v>28</v>
      </c>
      <c r="Z649">
        <f t="shared" ca="1" si="175"/>
        <v>0</v>
      </c>
      <c r="AA649" t="str">
        <f t="shared" ca="1" si="176"/>
        <v>SPPN</v>
      </c>
      <c r="AB649">
        <f t="shared" ca="1" si="177"/>
        <v>1</v>
      </c>
      <c r="AC649">
        <f t="shared" ca="1" si="178"/>
        <v>0</v>
      </c>
      <c r="AD649" t="str">
        <f t="shared" si="168"/>
        <v>4093RN153</v>
      </c>
      <c r="AE649">
        <f t="shared" ca="1" si="179"/>
        <v>0</v>
      </c>
      <c r="AF649" t="str">
        <f t="shared" ca="1" si="180"/>
        <v/>
      </c>
      <c r="AG649">
        <v>158</v>
      </c>
      <c r="AH649" t="s">
        <v>136</v>
      </c>
      <c r="AI649" t="str">
        <f t="shared" si="169"/>
        <v>Lutheran Home 25</v>
      </c>
      <c r="AJ649" t="str">
        <f t="shared" si="170"/>
        <v>Green Bay</v>
      </c>
      <c r="AK649" t="str">
        <f t="shared" si="171"/>
        <v>WI</v>
      </c>
    </row>
    <row r="650" spans="18:37" x14ac:dyDescent="0.25">
      <c r="S650">
        <v>392</v>
      </c>
      <c r="T650">
        <f t="shared" si="167"/>
        <v>129</v>
      </c>
      <c r="U650">
        <f t="shared" si="172"/>
        <v>26053</v>
      </c>
      <c r="V650">
        <f t="shared" ca="1" si="173"/>
        <v>0</v>
      </c>
      <c r="W650">
        <v>158</v>
      </c>
      <c r="X650" t="str">
        <f t="shared" ca="1" si="174"/>
        <v/>
      </c>
      <c r="Y650" t="s">
        <v>32</v>
      </c>
      <c r="Z650">
        <f t="shared" ca="1" si="175"/>
        <v>0</v>
      </c>
      <c r="AA650" t="str">
        <f t="shared" ca="1" si="176"/>
        <v>SPPN</v>
      </c>
      <c r="AB650">
        <f t="shared" ca="1" si="177"/>
        <v>1</v>
      </c>
      <c r="AC650">
        <f t="shared" ca="1" si="178"/>
        <v>0</v>
      </c>
      <c r="AD650" t="str">
        <f t="shared" si="168"/>
        <v>4093RN153</v>
      </c>
      <c r="AE650">
        <f t="shared" ca="1" si="179"/>
        <v>0</v>
      </c>
      <c r="AF650" t="str">
        <f t="shared" ca="1" si="180"/>
        <v/>
      </c>
      <c r="AG650">
        <v>158</v>
      </c>
      <c r="AH650" t="s">
        <v>136</v>
      </c>
      <c r="AI650" t="str">
        <f t="shared" si="169"/>
        <v>Lutheran Home 25</v>
      </c>
      <c r="AJ650" t="str">
        <f t="shared" si="170"/>
        <v>Green Bay</v>
      </c>
      <c r="AK650" t="str">
        <f t="shared" si="171"/>
        <v>WI</v>
      </c>
    </row>
    <row r="651" spans="18:37" x14ac:dyDescent="0.25">
      <c r="R651">
        <v>1</v>
      </c>
      <c r="S651">
        <v>393</v>
      </c>
      <c r="T651">
        <f t="shared" si="167"/>
        <v>129</v>
      </c>
      <c r="U651">
        <f t="shared" si="172"/>
        <v>26053</v>
      </c>
      <c r="V651">
        <f t="shared" ca="1" si="173"/>
        <v>0</v>
      </c>
      <c r="W651">
        <v>159</v>
      </c>
      <c r="X651" t="str">
        <f t="shared" ca="1" si="174"/>
        <v/>
      </c>
      <c r="Y651" t="s">
        <v>9</v>
      </c>
      <c r="Z651">
        <f t="shared" ca="1" si="175"/>
        <v>0</v>
      </c>
      <c r="AA651" t="str">
        <f t="shared" ca="1" si="176"/>
        <v>SPPN</v>
      </c>
      <c r="AB651">
        <f t="shared" ca="1" si="177"/>
        <v>1</v>
      </c>
      <c r="AC651" t="str">
        <f t="shared" ca="1" si="178"/>
        <v/>
      </c>
      <c r="AD651" t="str">
        <f t="shared" si="168"/>
        <v>4093RN153</v>
      </c>
      <c r="AE651">
        <f t="shared" ca="1" si="179"/>
        <v>0</v>
      </c>
      <c r="AF651" t="str">
        <f t="shared" ca="1" si="180"/>
        <v/>
      </c>
      <c r="AG651">
        <v>159</v>
      </c>
      <c r="AH651" t="s">
        <v>136</v>
      </c>
      <c r="AI651" t="str">
        <f t="shared" si="169"/>
        <v>Lutheran Home 25</v>
      </c>
      <c r="AJ651" t="str">
        <f t="shared" si="170"/>
        <v>Green Bay</v>
      </c>
      <c r="AK651" t="str">
        <f t="shared" si="171"/>
        <v>WI</v>
      </c>
    </row>
    <row r="652" spans="18:37" x14ac:dyDescent="0.25">
      <c r="S652">
        <v>394</v>
      </c>
      <c r="T652">
        <f t="shared" si="167"/>
        <v>129</v>
      </c>
      <c r="U652">
        <f t="shared" si="172"/>
        <v>26053</v>
      </c>
      <c r="V652">
        <f t="shared" ca="1" si="173"/>
        <v>0</v>
      </c>
      <c r="W652">
        <v>159</v>
      </c>
      <c r="X652" t="str">
        <f t="shared" ca="1" si="174"/>
        <v/>
      </c>
      <c r="Y652" t="s">
        <v>33</v>
      </c>
      <c r="Z652">
        <f t="shared" ca="1" si="175"/>
        <v>0</v>
      </c>
      <c r="AA652" t="str">
        <f t="shared" ca="1" si="176"/>
        <v>SPPN</v>
      </c>
      <c r="AB652">
        <f t="shared" ca="1" si="177"/>
        <v>1</v>
      </c>
      <c r="AC652" t="str">
        <f t="shared" ca="1" si="178"/>
        <v/>
      </c>
      <c r="AD652" t="str">
        <f t="shared" si="168"/>
        <v>4093RN153</v>
      </c>
      <c r="AE652">
        <f t="shared" ca="1" si="179"/>
        <v>0</v>
      </c>
      <c r="AF652" t="str">
        <f t="shared" ca="1" si="180"/>
        <v/>
      </c>
      <c r="AG652">
        <v>159</v>
      </c>
      <c r="AH652" t="s">
        <v>136</v>
      </c>
      <c r="AI652" t="str">
        <f t="shared" si="169"/>
        <v>Lutheran Home 25</v>
      </c>
      <c r="AJ652" t="str">
        <f t="shared" si="170"/>
        <v>Green Bay</v>
      </c>
      <c r="AK652" t="str">
        <f t="shared" si="171"/>
        <v>WI</v>
      </c>
    </row>
    <row r="653" spans="18:37" x14ac:dyDescent="0.25">
      <c r="S653">
        <v>395</v>
      </c>
      <c r="T653">
        <f t="shared" si="167"/>
        <v>129</v>
      </c>
      <c r="U653">
        <f t="shared" si="172"/>
        <v>26053</v>
      </c>
      <c r="V653">
        <f t="shared" ca="1" si="173"/>
        <v>0</v>
      </c>
      <c r="W653">
        <v>159</v>
      </c>
      <c r="X653" t="str">
        <f t="shared" ca="1" si="174"/>
        <v/>
      </c>
      <c r="Y653" t="s">
        <v>28</v>
      </c>
      <c r="Z653">
        <f t="shared" ca="1" si="175"/>
        <v>0</v>
      </c>
      <c r="AA653" t="str">
        <f t="shared" ca="1" si="176"/>
        <v>SPPN</v>
      </c>
      <c r="AB653">
        <f t="shared" ca="1" si="177"/>
        <v>1</v>
      </c>
      <c r="AC653">
        <f t="shared" ca="1" si="178"/>
        <v>0</v>
      </c>
      <c r="AD653" t="str">
        <f t="shared" si="168"/>
        <v>4093RN153</v>
      </c>
      <c r="AE653">
        <f t="shared" ca="1" si="179"/>
        <v>0</v>
      </c>
      <c r="AF653" t="str">
        <f t="shared" ca="1" si="180"/>
        <v/>
      </c>
      <c r="AG653">
        <v>159</v>
      </c>
      <c r="AH653" t="s">
        <v>136</v>
      </c>
      <c r="AI653" t="str">
        <f t="shared" si="169"/>
        <v>Lutheran Home 25</v>
      </c>
      <c r="AJ653" t="str">
        <f t="shared" si="170"/>
        <v>Green Bay</v>
      </c>
      <c r="AK653" t="str">
        <f t="shared" si="171"/>
        <v>WI</v>
      </c>
    </row>
    <row r="654" spans="18:37" x14ac:dyDescent="0.25">
      <c r="S654">
        <v>396</v>
      </c>
      <c r="T654">
        <f t="shared" si="167"/>
        <v>129</v>
      </c>
      <c r="U654">
        <f t="shared" si="172"/>
        <v>26053</v>
      </c>
      <c r="V654">
        <f t="shared" ca="1" si="173"/>
        <v>0</v>
      </c>
      <c r="W654">
        <v>159</v>
      </c>
      <c r="X654" t="str">
        <f t="shared" ca="1" si="174"/>
        <v/>
      </c>
      <c r="Y654" t="s">
        <v>32</v>
      </c>
      <c r="Z654">
        <f t="shared" ca="1" si="175"/>
        <v>0</v>
      </c>
      <c r="AA654" t="str">
        <f t="shared" ca="1" si="176"/>
        <v>SPPN</v>
      </c>
      <c r="AB654">
        <f t="shared" ca="1" si="177"/>
        <v>1</v>
      </c>
      <c r="AC654">
        <f t="shared" ca="1" si="178"/>
        <v>0</v>
      </c>
      <c r="AD654" t="str">
        <f t="shared" si="168"/>
        <v>4093RN153</v>
      </c>
      <c r="AE654">
        <f t="shared" ca="1" si="179"/>
        <v>0</v>
      </c>
      <c r="AF654" t="str">
        <f t="shared" ca="1" si="180"/>
        <v/>
      </c>
      <c r="AG654">
        <v>159</v>
      </c>
      <c r="AH654" t="s">
        <v>136</v>
      </c>
      <c r="AI654" t="str">
        <f t="shared" si="169"/>
        <v>Lutheran Home 25</v>
      </c>
      <c r="AJ654" t="str">
        <f t="shared" si="170"/>
        <v>Green Bay</v>
      </c>
      <c r="AK654" t="str">
        <f t="shared" si="171"/>
        <v>WI</v>
      </c>
    </row>
    <row r="655" spans="18:37" x14ac:dyDescent="0.25">
      <c r="R655">
        <v>1</v>
      </c>
      <c r="S655">
        <v>397</v>
      </c>
      <c r="T655">
        <f t="shared" si="167"/>
        <v>129</v>
      </c>
      <c r="U655">
        <f t="shared" si="172"/>
        <v>26053</v>
      </c>
      <c r="V655">
        <f t="shared" ca="1" si="173"/>
        <v>0</v>
      </c>
      <c r="W655">
        <v>160</v>
      </c>
      <c r="X655" t="str">
        <f t="shared" ca="1" si="174"/>
        <v/>
      </c>
      <c r="Y655" t="s">
        <v>9</v>
      </c>
      <c r="Z655">
        <f t="shared" ca="1" si="175"/>
        <v>0</v>
      </c>
      <c r="AA655" t="str">
        <f t="shared" ca="1" si="176"/>
        <v>SPPN</v>
      </c>
      <c r="AB655">
        <f t="shared" ca="1" si="177"/>
        <v>1</v>
      </c>
      <c r="AC655" t="str">
        <f t="shared" ca="1" si="178"/>
        <v/>
      </c>
      <c r="AD655" t="str">
        <f t="shared" si="168"/>
        <v>4093RN153</v>
      </c>
      <c r="AE655">
        <f t="shared" ca="1" si="179"/>
        <v>0</v>
      </c>
      <c r="AF655" t="str">
        <f t="shared" ca="1" si="180"/>
        <v/>
      </c>
      <c r="AG655">
        <v>160</v>
      </c>
      <c r="AH655" t="s">
        <v>136</v>
      </c>
      <c r="AI655" t="str">
        <f t="shared" si="169"/>
        <v>Lutheran Home 25</v>
      </c>
      <c r="AJ655" t="str">
        <f t="shared" si="170"/>
        <v>Green Bay</v>
      </c>
      <c r="AK655" t="str">
        <f t="shared" si="171"/>
        <v>WI</v>
      </c>
    </row>
    <row r="656" spans="18:37" x14ac:dyDescent="0.25">
      <c r="S656">
        <v>398</v>
      </c>
      <c r="T656">
        <f t="shared" si="167"/>
        <v>129</v>
      </c>
      <c r="U656">
        <f t="shared" si="172"/>
        <v>26053</v>
      </c>
      <c r="V656">
        <f t="shared" ca="1" si="173"/>
        <v>0</v>
      </c>
      <c r="W656">
        <v>160</v>
      </c>
      <c r="X656" t="str">
        <f t="shared" ca="1" si="174"/>
        <v/>
      </c>
      <c r="Y656" t="s">
        <v>33</v>
      </c>
      <c r="Z656">
        <f t="shared" ca="1" si="175"/>
        <v>0</v>
      </c>
      <c r="AA656" t="str">
        <f t="shared" ca="1" si="176"/>
        <v>SPPN</v>
      </c>
      <c r="AB656">
        <f t="shared" ca="1" si="177"/>
        <v>1</v>
      </c>
      <c r="AC656" t="str">
        <f t="shared" ca="1" si="178"/>
        <v/>
      </c>
      <c r="AD656" t="str">
        <f t="shared" si="168"/>
        <v>4093RN153</v>
      </c>
      <c r="AE656">
        <f t="shared" ca="1" si="179"/>
        <v>0</v>
      </c>
      <c r="AF656" t="str">
        <f t="shared" ca="1" si="180"/>
        <v/>
      </c>
      <c r="AG656">
        <v>160</v>
      </c>
      <c r="AH656" t="s">
        <v>136</v>
      </c>
      <c r="AI656" t="str">
        <f t="shared" si="169"/>
        <v>Lutheran Home 25</v>
      </c>
      <c r="AJ656" t="str">
        <f t="shared" si="170"/>
        <v>Green Bay</v>
      </c>
      <c r="AK656" t="str">
        <f t="shared" si="171"/>
        <v>WI</v>
      </c>
    </row>
    <row r="657" spans="18:37" x14ac:dyDescent="0.25">
      <c r="S657">
        <v>399</v>
      </c>
      <c r="T657">
        <f t="shared" si="167"/>
        <v>129</v>
      </c>
      <c r="U657">
        <f t="shared" si="172"/>
        <v>26053</v>
      </c>
      <c r="V657">
        <f t="shared" ca="1" si="173"/>
        <v>0</v>
      </c>
      <c r="W657">
        <v>160</v>
      </c>
      <c r="X657" t="str">
        <f t="shared" ca="1" si="174"/>
        <v/>
      </c>
      <c r="Y657" t="s">
        <v>28</v>
      </c>
      <c r="Z657">
        <f t="shared" ca="1" si="175"/>
        <v>0</v>
      </c>
      <c r="AA657" t="str">
        <f t="shared" ca="1" si="176"/>
        <v>SPPN</v>
      </c>
      <c r="AB657">
        <f t="shared" ca="1" si="177"/>
        <v>1</v>
      </c>
      <c r="AC657">
        <f t="shared" ca="1" si="178"/>
        <v>0</v>
      </c>
      <c r="AD657" t="str">
        <f t="shared" si="168"/>
        <v>4093RN153</v>
      </c>
      <c r="AE657">
        <f t="shared" ca="1" si="179"/>
        <v>0</v>
      </c>
      <c r="AF657" t="str">
        <f t="shared" ca="1" si="180"/>
        <v/>
      </c>
      <c r="AG657">
        <v>160</v>
      </c>
      <c r="AH657" t="s">
        <v>136</v>
      </c>
      <c r="AI657" t="str">
        <f t="shared" si="169"/>
        <v>Lutheran Home 25</v>
      </c>
      <c r="AJ657" t="str">
        <f t="shared" si="170"/>
        <v>Green Bay</v>
      </c>
      <c r="AK657" t="str">
        <f t="shared" si="171"/>
        <v>WI</v>
      </c>
    </row>
    <row r="658" spans="18:37" x14ac:dyDescent="0.25">
      <c r="S658">
        <v>400</v>
      </c>
      <c r="T658">
        <f t="shared" si="167"/>
        <v>129</v>
      </c>
      <c r="U658">
        <f t="shared" si="172"/>
        <v>26053</v>
      </c>
      <c r="V658">
        <f t="shared" ca="1" si="173"/>
        <v>0</v>
      </c>
      <c r="W658">
        <v>160</v>
      </c>
      <c r="X658" t="str">
        <f t="shared" ca="1" si="174"/>
        <v/>
      </c>
      <c r="Y658" t="s">
        <v>32</v>
      </c>
      <c r="Z658">
        <f t="shared" ca="1" si="175"/>
        <v>0</v>
      </c>
      <c r="AA658" t="str">
        <f t="shared" ca="1" si="176"/>
        <v>SPPN</v>
      </c>
      <c r="AB658">
        <f t="shared" ca="1" si="177"/>
        <v>1</v>
      </c>
      <c r="AC658">
        <f t="shared" ca="1" si="178"/>
        <v>0</v>
      </c>
      <c r="AD658" t="str">
        <f t="shared" si="168"/>
        <v>4093RN153</v>
      </c>
      <c r="AE658">
        <f t="shared" ca="1" si="179"/>
        <v>0</v>
      </c>
      <c r="AF658" t="str">
        <f t="shared" ca="1" si="180"/>
        <v/>
      </c>
      <c r="AG658">
        <v>160</v>
      </c>
      <c r="AH658" t="s">
        <v>136</v>
      </c>
      <c r="AI658" t="str">
        <f t="shared" si="169"/>
        <v>Lutheran Home 25</v>
      </c>
      <c r="AJ658" t="str">
        <f t="shared" si="170"/>
        <v>Green Bay</v>
      </c>
      <c r="AK658" t="str">
        <f t="shared" si="171"/>
        <v>WI</v>
      </c>
    </row>
    <row r="659" spans="18:37" x14ac:dyDescent="0.25">
      <c r="R659">
        <v>1</v>
      </c>
      <c r="S659">
        <v>401</v>
      </c>
      <c r="T659">
        <f t="shared" ref="T659:T722" si="181">$H$14</f>
        <v>129</v>
      </c>
      <c r="U659">
        <f t="shared" si="172"/>
        <v>26053</v>
      </c>
      <c r="V659">
        <f t="shared" ca="1" si="173"/>
        <v>0</v>
      </c>
      <c r="W659">
        <v>161</v>
      </c>
      <c r="X659" t="str">
        <f t="shared" ca="1" si="174"/>
        <v/>
      </c>
      <c r="Y659" t="s">
        <v>9</v>
      </c>
      <c r="Z659">
        <f t="shared" ca="1" si="175"/>
        <v>0</v>
      </c>
      <c r="AA659" t="str">
        <f t="shared" ca="1" si="176"/>
        <v>SPPN</v>
      </c>
      <c r="AB659">
        <f t="shared" ca="1" si="177"/>
        <v>1</v>
      </c>
      <c r="AC659" t="str">
        <f t="shared" ca="1" si="178"/>
        <v/>
      </c>
      <c r="AD659" t="str">
        <f t="shared" ref="AD659:AD722" si="182">$H$5</f>
        <v>4093RN153</v>
      </c>
      <c r="AE659">
        <f t="shared" ca="1" si="179"/>
        <v>0</v>
      </c>
      <c r="AF659" t="str">
        <f t="shared" ca="1" si="180"/>
        <v/>
      </c>
      <c r="AG659">
        <v>161</v>
      </c>
      <c r="AH659" t="s">
        <v>136</v>
      </c>
      <c r="AI659" t="str">
        <f t="shared" ref="AI659:AI722" si="183">$H$6</f>
        <v>Lutheran Home 25</v>
      </c>
      <c r="AJ659" t="str">
        <f t="shared" ref="AJ659:AJ722" si="184">$H$7</f>
        <v>Green Bay</v>
      </c>
      <c r="AK659" t="str">
        <f t="shared" ref="AK659:AK722" si="185">$H$8</f>
        <v>WI</v>
      </c>
    </row>
    <row r="660" spans="18:37" x14ac:dyDescent="0.25">
      <c r="S660">
        <v>402</v>
      </c>
      <c r="T660">
        <f t="shared" si="181"/>
        <v>129</v>
      </c>
      <c r="U660">
        <f t="shared" ref="U660:U723" si="186">$H$2</f>
        <v>26053</v>
      </c>
      <c r="V660">
        <f t="shared" ref="V660:V723" ca="1" si="187">(OFFSET($B$19,INT((ROW(A642)-1)/4),0))</f>
        <v>0</v>
      </c>
      <c r="W660">
        <v>161</v>
      </c>
      <c r="X660" t="str">
        <f t="shared" ref="X660:X723" ca="1" si="188">IF((OFFSET($J$19,INT((ROW(A642)-1)/4),0))="JE","JE",IF((OFFSET($J$19,INT((ROW(A642)-1)/4),0))="Drilled","JC",""))</f>
        <v/>
      </c>
      <c r="Y660" t="s">
        <v>33</v>
      </c>
      <c r="Z660">
        <f t="shared" ref="Z660:Z723" ca="1" si="189">(OFFSET($F$19,INT((ROW(A642)-1)/4),0))</f>
        <v>0</v>
      </c>
      <c r="AA660" t="str">
        <f t="shared" ref="AA660:AA723" ca="1" si="190">IF((OFFSET($K$19,INT((ROW(A642)-1)/4),0))="Poplar","PAINT",IF((OFFSET($K$19,INT((ROW(A642)-1)/4),0))="Red Oak","SGO",IF((OFFSET($K$19,INT((ROW(A642)-1)/4),0))="Maple","SM","SPPN")))</f>
        <v>SPPN</v>
      </c>
      <c r="AB660">
        <f t="shared" ref="AB660:AB723" ca="1" si="191">(OFFSET($I$19,INT((ROW(A642)-1)/4),0))</f>
        <v>1</v>
      </c>
      <c r="AC660" t="str">
        <f t="shared" ref="AC660:AC723" ca="1" si="192">IF(OR(Y660="L",Y660="R"),(OFFSET($M$19,INT((ROW(A642)-1)/4),0)),IF(Y660="B",IF((OFFSET($A$19,INT((ROW(A642)-1)/4),0))="3 Sided Patio Door",0,(OFFSET($G$19,INT((ROW(A642)-1)/4),0))),(OFFSET($G$19,INT((ROW(A642)-1)/4),0))))</f>
        <v/>
      </c>
      <c r="AD660" t="str">
        <f t="shared" si="182"/>
        <v>4093RN153</v>
      </c>
      <c r="AE660">
        <f t="shared" ref="AE660:AE723" ca="1" si="193">(OFFSET($L$19,INT((ROW(A642)-1)/4),0))</f>
        <v>0</v>
      </c>
      <c r="AF660" t="str">
        <f t="shared" ref="AF660:AF723" ca="1" si="194">IF((OFFSET($A$19,INT((ROW(A642)-1)/4),0))="3 sided Patio door", "Unassemble","")</f>
        <v/>
      </c>
      <c r="AG660">
        <v>161</v>
      </c>
      <c r="AH660" t="s">
        <v>136</v>
      </c>
      <c r="AI660" t="str">
        <f t="shared" si="183"/>
        <v>Lutheran Home 25</v>
      </c>
      <c r="AJ660" t="str">
        <f t="shared" si="184"/>
        <v>Green Bay</v>
      </c>
      <c r="AK660" t="str">
        <f t="shared" si="185"/>
        <v>WI</v>
      </c>
    </row>
    <row r="661" spans="18:37" x14ac:dyDescent="0.25">
      <c r="S661">
        <v>403</v>
      </c>
      <c r="T661">
        <f t="shared" si="181"/>
        <v>129</v>
      </c>
      <c r="U661">
        <f t="shared" si="186"/>
        <v>26053</v>
      </c>
      <c r="V661">
        <f t="shared" ca="1" si="187"/>
        <v>0</v>
      </c>
      <c r="W661">
        <v>161</v>
      </c>
      <c r="X661" t="str">
        <f t="shared" ca="1" si="188"/>
        <v/>
      </c>
      <c r="Y661" t="s">
        <v>28</v>
      </c>
      <c r="Z661">
        <f t="shared" ca="1" si="189"/>
        <v>0</v>
      </c>
      <c r="AA661" t="str">
        <f t="shared" ca="1" si="190"/>
        <v>SPPN</v>
      </c>
      <c r="AB661">
        <f t="shared" ca="1" si="191"/>
        <v>1</v>
      </c>
      <c r="AC661">
        <f t="shared" ca="1" si="192"/>
        <v>0</v>
      </c>
      <c r="AD661" t="str">
        <f t="shared" si="182"/>
        <v>4093RN153</v>
      </c>
      <c r="AE661">
        <f t="shared" ca="1" si="193"/>
        <v>0</v>
      </c>
      <c r="AF661" t="str">
        <f t="shared" ca="1" si="194"/>
        <v/>
      </c>
      <c r="AG661">
        <v>161</v>
      </c>
      <c r="AH661" t="s">
        <v>136</v>
      </c>
      <c r="AI661" t="str">
        <f t="shared" si="183"/>
        <v>Lutheran Home 25</v>
      </c>
      <c r="AJ661" t="str">
        <f t="shared" si="184"/>
        <v>Green Bay</v>
      </c>
      <c r="AK661" t="str">
        <f t="shared" si="185"/>
        <v>WI</v>
      </c>
    </row>
    <row r="662" spans="18:37" x14ac:dyDescent="0.25">
      <c r="S662">
        <v>404</v>
      </c>
      <c r="T662">
        <f t="shared" si="181"/>
        <v>129</v>
      </c>
      <c r="U662">
        <f t="shared" si="186"/>
        <v>26053</v>
      </c>
      <c r="V662">
        <f t="shared" ca="1" si="187"/>
        <v>0</v>
      </c>
      <c r="W662">
        <v>161</v>
      </c>
      <c r="X662" t="str">
        <f t="shared" ca="1" si="188"/>
        <v/>
      </c>
      <c r="Y662" t="s">
        <v>32</v>
      </c>
      <c r="Z662">
        <f t="shared" ca="1" si="189"/>
        <v>0</v>
      </c>
      <c r="AA662" t="str">
        <f t="shared" ca="1" si="190"/>
        <v>SPPN</v>
      </c>
      <c r="AB662">
        <f t="shared" ca="1" si="191"/>
        <v>1</v>
      </c>
      <c r="AC662">
        <f t="shared" ca="1" si="192"/>
        <v>0</v>
      </c>
      <c r="AD662" t="str">
        <f t="shared" si="182"/>
        <v>4093RN153</v>
      </c>
      <c r="AE662">
        <f t="shared" ca="1" si="193"/>
        <v>0</v>
      </c>
      <c r="AF662" t="str">
        <f t="shared" ca="1" si="194"/>
        <v/>
      </c>
      <c r="AG662">
        <v>161</v>
      </c>
      <c r="AH662" t="s">
        <v>136</v>
      </c>
      <c r="AI662" t="str">
        <f t="shared" si="183"/>
        <v>Lutheran Home 25</v>
      </c>
      <c r="AJ662" t="str">
        <f t="shared" si="184"/>
        <v>Green Bay</v>
      </c>
      <c r="AK662" t="str">
        <f t="shared" si="185"/>
        <v>WI</v>
      </c>
    </row>
    <row r="663" spans="18:37" x14ac:dyDescent="0.25">
      <c r="R663">
        <v>1</v>
      </c>
      <c r="S663">
        <v>405</v>
      </c>
      <c r="T663">
        <f t="shared" si="181"/>
        <v>129</v>
      </c>
      <c r="U663">
        <f t="shared" si="186"/>
        <v>26053</v>
      </c>
      <c r="V663">
        <f t="shared" ca="1" si="187"/>
        <v>0</v>
      </c>
      <c r="W663">
        <v>162</v>
      </c>
      <c r="X663" t="str">
        <f t="shared" ca="1" si="188"/>
        <v/>
      </c>
      <c r="Y663" t="s">
        <v>9</v>
      </c>
      <c r="Z663">
        <f t="shared" ca="1" si="189"/>
        <v>0</v>
      </c>
      <c r="AA663" t="str">
        <f t="shared" ca="1" si="190"/>
        <v>SPPN</v>
      </c>
      <c r="AB663">
        <f t="shared" ca="1" si="191"/>
        <v>1</v>
      </c>
      <c r="AC663" t="str">
        <f t="shared" ca="1" si="192"/>
        <v/>
      </c>
      <c r="AD663" t="str">
        <f t="shared" si="182"/>
        <v>4093RN153</v>
      </c>
      <c r="AE663">
        <f t="shared" ca="1" si="193"/>
        <v>0</v>
      </c>
      <c r="AF663" t="str">
        <f t="shared" ca="1" si="194"/>
        <v/>
      </c>
      <c r="AG663">
        <v>162</v>
      </c>
      <c r="AH663" t="s">
        <v>136</v>
      </c>
      <c r="AI663" t="str">
        <f t="shared" si="183"/>
        <v>Lutheran Home 25</v>
      </c>
      <c r="AJ663" t="str">
        <f t="shared" si="184"/>
        <v>Green Bay</v>
      </c>
      <c r="AK663" t="str">
        <f t="shared" si="185"/>
        <v>WI</v>
      </c>
    </row>
    <row r="664" spans="18:37" x14ac:dyDescent="0.25">
      <c r="S664">
        <v>406</v>
      </c>
      <c r="T664">
        <f t="shared" si="181"/>
        <v>129</v>
      </c>
      <c r="U664">
        <f t="shared" si="186"/>
        <v>26053</v>
      </c>
      <c r="V664">
        <f t="shared" ca="1" si="187"/>
        <v>0</v>
      </c>
      <c r="W664">
        <v>162</v>
      </c>
      <c r="X664" t="str">
        <f t="shared" ca="1" si="188"/>
        <v/>
      </c>
      <c r="Y664" t="s">
        <v>33</v>
      </c>
      <c r="Z664">
        <f t="shared" ca="1" si="189"/>
        <v>0</v>
      </c>
      <c r="AA664" t="str">
        <f t="shared" ca="1" si="190"/>
        <v>SPPN</v>
      </c>
      <c r="AB664">
        <f t="shared" ca="1" si="191"/>
        <v>1</v>
      </c>
      <c r="AC664" t="str">
        <f t="shared" ca="1" si="192"/>
        <v/>
      </c>
      <c r="AD664" t="str">
        <f t="shared" si="182"/>
        <v>4093RN153</v>
      </c>
      <c r="AE664">
        <f t="shared" ca="1" si="193"/>
        <v>0</v>
      </c>
      <c r="AF664" t="str">
        <f t="shared" ca="1" si="194"/>
        <v/>
      </c>
      <c r="AG664">
        <v>162</v>
      </c>
      <c r="AH664" t="s">
        <v>136</v>
      </c>
      <c r="AI664" t="str">
        <f t="shared" si="183"/>
        <v>Lutheran Home 25</v>
      </c>
      <c r="AJ664" t="str">
        <f t="shared" si="184"/>
        <v>Green Bay</v>
      </c>
      <c r="AK664" t="str">
        <f t="shared" si="185"/>
        <v>WI</v>
      </c>
    </row>
    <row r="665" spans="18:37" x14ac:dyDescent="0.25">
      <c r="S665">
        <v>407</v>
      </c>
      <c r="T665">
        <f t="shared" si="181"/>
        <v>129</v>
      </c>
      <c r="U665">
        <f t="shared" si="186"/>
        <v>26053</v>
      </c>
      <c r="V665">
        <f t="shared" ca="1" si="187"/>
        <v>0</v>
      </c>
      <c r="W665">
        <v>162</v>
      </c>
      <c r="X665" t="str">
        <f t="shared" ca="1" si="188"/>
        <v/>
      </c>
      <c r="Y665" t="s">
        <v>28</v>
      </c>
      <c r="Z665">
        <f t="shared" ca="1" si="189"/>
        <v>0</v>
      </c>
      <c r="AA665" t="str">
        <f t="shared" ca="1" si="190"/>
        <v>SPPN</v>
      </c>
      <c r="AB665">
        <f t="shared" ca="1" si="191"/>
        <v>1</v>
      </c>
      <c r="AC665">
        <f t="shared" ca="1" si="192"/>
        <v>0</v>
      </c>
      <c r="AD665" t="str">
        <f t="shared" si="182"/>
        <v>4093RN153</v>
      </c>
      <c r="AE665">
        <f t="shared" ca="1" si="193"/>
        <v>0</v>
      </c>
      <c r="AF665" t="str">
        <f t="shared" ca="1" si="194"/>
        <v/>
      </c>
      <c r="AG665">
        <v>162</v>
      </c>
      <c r="AH665" t="s">
        <v>136</v>
      </c>
      <c r="AI665" t="str">
        <f t="shared" si="183"/>
        <v>Lutheran Home 25</v>
      </c>
      <c r="AJ665" t="str">
        <f t="shared" si="184"/>
        <v>Green Bay</v>
      </c>
      <c r="AK665" t="str">
        <f t="shared" si="185"/>
        <v>WI</v>
      </c>
    </row>
    <row r="666" spans="18:37" x14ac:dyDescent="0.25">
      <c r="S666">
        <v>408</v>
      </c>
      <c r="T666">
        <f t="shared" si="181"/>
        <v>129</v>
      </c>
      <c r="U666">
        <f t="shared" si="186"/>
        <v>26053</v>
      </c>
      <c r="V666">
        <f t="shared" ca="1" si="187"/>
        <v>0</v>
      </c>
      <c r="W666">
        <v>162</v>
      </c>
      <c r="X666" t="str">
        <f t="shared" ca="1" si="188"/>
        <v/>
      </c>
      <c r="Y666" t="s">
        <v>32</v>
      </c>
      <c r="Z666">
        <f t="shared" ca="1" si="189"/>
        <v>0</v>
      </c>
      <c r="AA666" t="str">
        <f t="shared" ca="1" si="190"/>
        <v>SPPN</v>
      </c>
      <c r="AB666">
        <f t="shared" ca="1" si="191"/>
        <v>1</v>
      </c>
      <c r="AC666">
        <f t="shared" ca="1" si="192"/>
        <v>0</v>
      </c>
      <c r="AD666" t="str">
        <f t="shared" si="182"/>
        <v>4093RN153</v>
      </c>
      <c r="AE666">
        <f t="shared" ca="1" si="193"/>
        <v>0</v>
      </c>
      <c r="AF666" t="str">
        <f t="shared" ca="1" si="194"/>
        <v/>
      </c>
      <c r="AG666">
        <v>162</v>
      </c>
      <c r="AH666" t="s">
        <v>136</v>
      </c>
      <c r="AI666" t="str">
        <f t="shared" si="183"/>
        <v>Lutheran Home 25</v>
      </c>
      <c r="AJ666" t="str">
        <f t="shared" si="184"/>
        <v>Green Bay</v>
      </c>
      <c r="AK666" t="str">
        <f t="shared" si="185"/>
        <v>WI</v>
      </c>
    </row>
    <row r="667" spans="18:37" x14ac:dyDescent="0.25">
      <c r="R667">
        <v>1</v>
      </c>
      <c r="S667">
        <v>409</v>
      </c>
      <c r="T667">
        <f t="shared" si="181"/>
        <v>129</v>
      </c>
      <c r="U667">
        <f t="shared" si="186"/>
        <v>26053</v>
      </c>
      <c r="V667">
        <f t="shared" ca="1" si="187"/>
        <v>0</v>
      </c>
      <c r="W667">
        <v>163</v>
      </c>
      <c r="X667" t="str">
        <f t="shared" ca="1" si="188"/>
        <v/>
      </c>
      <c r="Y667" t="s">
        <v>9</v>
      </c>
      <c r="Z667">
        <f t="shared" ca="1" si="189"/>
        <v>0</v>
      </c>
      <c r="AA667" t="str">
        <f t="shared" ca="1" si="190"/>
        <v>SPPN</v>
      </c>
      <c r="AB667">
        <f t="shared" ca="1" si="191"/>
        <v>1</v>
      </c>
      <c r="AC667" t="str">
        <f t="shared" ca="1" si="192"/>
        <v/>
      </c>
      <c r="AD667" t="str">
        <f t="shared" si="182"/>
        <v>4093RN153</v>
      </c>
      <c r="AE667">
        <f t="shared" ca="1" si="193"/>
        <v>0</v>
      </c>
      <c r="AF667" t="str">
        <f t="shared" ca="1" si="194"/>
        <v/>
      </c>
      <c r="AG667">
        <v>163</v>
      </c>
      <c r="AH667" t="s">
        <v>136</v>
      </c>
      <c r="AI667" t="str">
        <f t="shared" si="183"/>
        <v>Lutheran Home 25</v>
      </c>
      <c r="AJ667" t="str">
        <f t="shared" si="184"/>
        <v>Green Bay</v>
      </c>
      <c r="AK667" t="str">
        <f t="shared" si="185"/>
        <v>WI</v>
      </c>
    </row>
    <row r="668" spans="18:37" x14ac:dyDescent="0.25">
      <c r="S668">
        <v>410</v>
      </c>
      <c r="T668">
        <f t="shared" si="181"/>
        <v>129</v>
      </c>
      <c r="U668">
        <f t="shared" si="186"/>
        <v>26053</v>
      </c>
      <c r="V668">
        <f t="shared" ca="1" si="187"/>
        <v>0</v>
      </c>
      <c r="W668">
        <v>163</v>
      </c>
      <c r="X668" t="str">
        <f t="shared" ca="1" si="188"/>
        <v/>
      </c>
      <c r="Y668" t="s">
        <v>33</v>
      </c>
      <c r="Z668">
        <f t="shared" ca="1" si="189"/>
        <v>0</v>
      </c>
      <c r="AA668" t="str">
        <f t="shared" ca="1" si="190"/>
        <v>SPPN</v>
      </c>
      <c r="AB668">
        <f t="shared" ca="1" si="191"/>
        <v>1</v>
      </c>
      <c r="AC668" t="str">
        <f t="shared" ca="1" si="192"/>
        <v/>
      </c>
      <c r="AD668" t="str">
        <f t="shared" si="182"/>
        <v>4093RN153</v>
      </c>
      <c r="AE668">
        <f t="shared" ca="1" si="193"/>
        <v>0</v>
      </c>
      <c r="AF668" t="str">
        <f t="shared" ca="1" si="194"/>
        <v/>
      </c>
      <c r="AG668">
        <v>163</v>
      </c>
      <c r="AH668" t="s">
        <v>136</v>
      </c>
      <c r="AI668" t="str">
        <f t="shared" si="183"/>
        <v>Lutheran Home 25</v>
      </c>
      <c r="AJ668" t="str">
        <f t="shared" si="184"/>
        <v>Green Bay</v>
      </c>
      <c r="AK668" t="str">
        <f t="shared" si="185"/>
        <v>WI</v>
      </c>
    </row>
    <row r="669" spans="18:37" x14ac:dyDescent="0.25">
      <c r="S669">
        <v>411</v>
      </c>
      <c r="T669">
        <f t="shared" si="181"/>
        <v>129</v>
      </c>
      <c r="U669">
        <f t="shared" si="186"/>
        <v>26053</v>
      </c>
      <c r="V669">
        <f t="shared" ca="1" si="187"/>
        <v>0</v>
      </c>
      <c r="W669">
        <v>163</v>
      </c>
      <c r="X669" t="str">
        <f t="shared" ca="1" si="188"/>
        <v/>
      </c>
      <c r="Y669" t="s">
        <v>28</v>
      </c>
      <c r="Z669">
        <f t="shared" ca="1" si="189"/>
        <v>0</v>
      </c>
      <c r="AA669" t="str">
        <f t="shared" ca="1" si="190"/>
        <v>SPPN</v>
      </c>
      <c r="AB669">
        <f t="shared" ca="1" si="191"/>
        <v>1</v>
      </c>
      <c r="AC669">
        <f t="shared" ca="1" si="192"/>
        <v>0</v>
      </c>
      <c r="AD669" t="str">
        <f t="shared" si="182"/>
        <v>4093RN153</v>
      </c>
      <c r="AE669">
        <f t="shared" ca="1" si="193"/>
        <v>0</v>
      </c>
      <c r="AF669" t="str">
        <f t="shared" ca="1" si="194"/>
        <v/>
      </c>
      <c r="AG669">
        <v>163</v>
      </c>
      <c r="AH669" t="s">
        <v>136</v>
      </c>
      <c r="AI669" t="str">
        <f t="shared" si="183"/>
        <v>Lutheran Home 25</v>
      </c>
      <c r="AJ669" t="str">
        <f t="shared" si="184"/>
        <v>Green Bay</v>
      </c>
      <c r="AK669" t="str">
        <f t="shared" si="185"/>
        <v>WI</v>
      </c>
    </row>
    <row r="670" spans="18:37" x14ac:dyDescent="0.25">
      <c r="S670">
        <v>412</v>
      </c>
      <c r="T670">
        <f t="shared" si="181"/>
        <v>129</v>
      </c>
      <c r="U670">
        <f t="shared" si="186"/>
        <v>26053</v>
      </c>
      <c r="V670">
        <f t="shared" ca="1" si="187"/>
        <v>0</v>
      </c>
      <c r="W670">
        <v>163</v>
      </c>
      <c r="X670" t="str">
        <f t="shared" ca="1" si="188"/>
        <v/>
      </c>
      <c r="Y670" t="s">
        <v>32</v>
      </c>
      <c r="Z670">
        <f t="shared" ca="1" si="189"/>
        <v>0</v>
      </c>
      <c r="AA670" t="str">
        <f t="shared" ca="1" si="190"/>
        <v>SPPN</v>
      </c>
      <c r="AB670">
        <f t="shared" ca="1" si="191"/>
        <v>1</v>
      </c>
      <c r="AC670">
        <f t="shared" ca="1" si="192"/>
        <v>0</v>
      </c>
      <c r="AD670" t="str">
        <f t="shared" si="182"/>
        <v>4093RN153</v>
      </c>
      <c r="AE670">
        <f t="shared" ca="1" si="193"/>
        <v>0</v>
      </c>
      <c r="AF670" t="str">
        <f t="shared" ca="1" si="194"/>
        <v/>
      </c>
      <c r="AG670">
        <v>163</v>
      </c>
      <c r="AH670" t="s">
        <v>136</v>
      </c>
      <c r="AI670" t="str">
        <f t="shared" si="183"/>
        <v>Lutheran Home 25</v>
      </c>
      <c r="AJ670" t="str">
        <f t="shared" si="184"/>
        <v>Green Bay</v>
      </c>
      <c r="AK670" t="str">
        <f t="shared" si="185"/>
        <v>WI</v>
      </c>
    </row>
    <row r="671" spans="18:37" x14ac:dyDescent="0.25">
      <c r="R671">
        <v>1</v>
      </c>
      <c r="S671">
        <v>413</v>
      </c>
      <c r="T671">
        <f t="shared" si="181"/>
        <v>129</v>
      </c>
      <c r="U671">
        <f t="shared" si="186"/>
        <v>26053</v>
      </c>
      <c r="V671">
        <f t="shared" ca="1" si="187"/>
        <v>0</v>
      </c>
      <c r="W671">
        <v>164</v>
      </c>
      <c r="X671" t="str">
        <f t="shared" ca="1" si="188"/>
        <v/>
      </c>
      <c r="Y671" t="s">
        <v>9</v>
      </c>
      <c r="Z671">
        <f t="shared" ca="1" si="189"/>
        <v>0</v>
      </c>
      <c r="AA671" t="str">
        <f t="shared" ca="1" si="190"/>
        <v>SPPN</v>
      </c>
      <c r="AB671">
        <f t="shared" ca="1" si="191"/>
        <v>1</v>
      </c>
      <c r="AC671" t="str">
        <f t="shared" ca="1" si="192"/>
        <v/>
      </c>
      <c r="AD671" t="str">
        <f t="shared" si="182"/>
        <v>4093RN153</v>
      </c>
      <c r="AE671">
        <f t="shared" ca="1" si="193"/>
        <v>0</v>
      </c>
      <c r="AF671" t="str">
        <f t="shared" ca="1" si="194"/>
        <v/>
      </c>
      <c r="AG671">
        <v>164</v>
      </c>
      <c r="AH671" t="s">
        <v>136</v>
      </c>
      <c r="AI671" t="str">
        <f t="shared" si="183"/>
        <v>Lutheran Home 25</v>
      </c>
      <c r="AJ671" t="str">
        <f t="shared" si="184"/>
        <v>Green Bay</v>
      </c>
      <c r="AK671" t="str">
        <f t="shared" si="185"/>
        <v>WI</v>
      </c>
    </row>
    <row r="672" spans="18:37" x14ac:dyDescent="0.25">
      <c r="S672">
        <v>414</v>
      </c>
      <c r="T672">
        <f t="shared" si="181"/>
        <v>129</v>
      </c>
      <c r="U672">
        <f t="shared" si="186"/>
        <v>26053</v>
      </c>
      <c r="V672">
        <f t="shared" ca="1" si="187"/>
        <v>0</v>
      </c>
      <c r="W672">
        <v>164</v>
      </c>
      <c r="X672" t="str">
        <f t="shared" ca="1" si="188"/>
        <v/>
      </c>
      <c r="Y672" t="s">
        <v>33</v>
      </c>
      <c r="Z672">
        <f t="shared" ca="1" si="189"/>
        <v>0</v>
      </c>
      <c r="AA672" t="str">
        <f t="shared" ca="1" si="190"/>
        <v>SPPN</v>
      </c>
      <c r="AB672">
        <f t="shared" ca="1" si="191"/>
        <v>1</v>
      </c>
      <c r="AC672" t="str">
        <f t="shared" ca="1" si="192"/>
        <v/>
      </c>
      <c r="AD672" t="str">
        <f t="shared" si="182"/>
        <v>4093RN153</v>
      </c>
      <c r="AE672">
        <f t="shared" ca="1" si="193"/>
        <v>0</v>
      </c>
      <c r="AF672" t="str">
        <f t="shared" ca="1" si="194"/>
        <v/>
      </c>
      <c r="AG672">
        <v>164</v>
      </c>
      <c r="AH672" t="s">
        <v>136</v>
      </c>
      <c r="AI672" t="str">
        <f t="shared" si="183"/>
        <v>Lutheran Home 25</v>
      </c>
      <c r="AJ672" t="str">
        <f t="shared" si="184"/>
        <v>Green Bay</v>
      </c>
      <c r="AK672" t="str">
        <f t="shared" si="185"/>
        <v>WI</v>
      </c>
    </row>
    <row r="673" spans="18:37" x14ac:dyDescent="0.25">
      <c r="S673">
        <v>415</v>
      </c>
      <c r="T673">
        <f t="shared" si="181"/>
        <v>129</v>
      </c>
      <c r="U673">
        <f t="shared" si="186"/>
        <v>26053</v>
      </c>
      <c r="V673">
        <f t="shared" ca="1" si="187"/>
        <v>0</v>
      </c>
      <c r="W673">
        <v>164</v>
      </c>
      <c r="X673" t="str">
        <f t="shared" ca="1" si="188"/>
        <v/>
      </c>
      <c r="Y673" t="s">
        <v>28</v>
      </c>
      <c r="Z673">
        <f t="shared" ca="1" si="189"/>
        <v>0</v>
      </c>
      <c r="AA673" t="str">
        <f t="shared" ca="1" si="190"/>
        <v>SPPN</v>
      </c>
      <c r="AB673">
        <f t="shared" ca="1" si="191"/>
        <v>1</v>
      </c>
      <c r="AC673">
        <f t="shared" ca="1" si="192"/>
        <v>0</v>
      </c>
      <c r="AD673" t="str">
        <f t="shared" si="182"/>
        <v>4093RN153</v>
      </c>
      <c r="AE673">
        <f t="shared" ca="1" si="193"/>
        <v>0</v>
      </c>
      <c r="AF673" t="str">
        <f t="shared" ca="1" si="194"/>
        <v/>
      </c>
      <c r="AG673">
        <v>164</v>
      </c>
      <c r="AH673" t="s">
        <v>136</v>
      </c>
      <c r="AI673" t="str">
        <f t="shared" si="183"/>
        <v>Lutheran Home 25</v>
      </c>
      <c r="AJ673" t="str">
        <f t="shared" si="184"/>
        <v>Green Bay</v>
      </c>
      <c r="AK673" t="str">
        <f t="shared" si="185"/>
        <v>WI</v>
      </c>
    </row>
    <row r="674" spans="18:37" x14ac:dyDescent="0.25">
      <c r="S674">
        <v>416</v>
      </c>
      <c r="T674">
        <f t="shared" si="181"/>
        <v>129</v>
      </c>
      <c r="U674">
        <f t="shared" si="186"/>
        <v>26053</v>
      </c>
      <c r="V674">
        <f t="shared" ca="1" si="187"/>
        <v>0</v>
      </c>
      <c r="W674">
        <v>164</v>
      </c>
      <c r="X674" t="str">
        <f t="shared" ca="1" si="188"/>
        <v/>
      </c>
      <c r="Y674" t="s">
        <v>32</v>
      </c>
      <c r="Z674">
        <f t="shared" ca="1" si="189"/>
        <v>0</v>
      </c>
      <c r="AA674" t="str">
        <f t="shared" ca="1" si="190"/>
        <v>SPPN</v>
      </c>
      <c r="AB674">
        <f t="shared" ca="1" si="191"/>
        <v>1</v>
      </c>
      <c r="AC674">
        <f t="shared" ca="1" si="192"/>
        <v>0</v>
      </c>
      <c r="AD674" t="str">
        <f t="shared" si="182"/>
        <v>4093RN153</v>
      </c>
      <c r="AE674">
        <f t="shared" ca="1" si="193"/>
        <v>0</v>
      </c>
      <c r="AF674" t="str">
        <f t="shared" ca="1" si="194"/>
        <v/>
      </c>
      <c r="AG674">
        <v>164</v>
      </c>
      <c r="AH674" t="s">
        <v>136</v>
      </c>
      <c r="AI674" t="str">
        <f t="shared" si="183"/>
        <v>Lutheran Home 25</v>
      </c>
      <c r="AJ674" t="str">
        <f t="shared" si="184"/>
        <v>Green Bay</v>
      </c>
      <c r="AK674" t="str">
        <f t="shared" si="185"/>
        <v>WI</v>
      </c>
    </row>
    <row r="675" spans="18:37" x14ac:dyDescent="0.25">
      <c r="R675">
        <v>1</v>
      </c>
      <c r="S675">
        <v>417</v>
      </c>
      <c r="T675">
        <f t="shared" si="181"/>
        <v>129</v>
      </c>
      <c r="U675">
        <f t="shared" si="186"/>
        <v>26053</v>
      </c>
      <c r="V675">
        <f t="shared" ca="1" si="187"/>
        <v>0</v>
      </c>
      <c r="W675">
        <v>165</v>
      </c>
      <c r="X675" t="str">
        <f t="shared" ca="1" si="188"/>
        <v/>
      </c>
      <c r="Y675" t="s">
        <v>9</v>
      </c>
      <c r="Z675">
        <f t="shared" ca="1" si="189"/>
        <v>0</v>
      </c>
      <c r="AA675" t="str">
        <f t="shared" ca="1" si="190"/>
        <v>SPPN</v>
      </c>
      <c r="AB675">
        <f t="shared" ca="1" si="191"/>
        <v>1</v>
      </c>
      <c r="AC675" t="str">
        <f t="shared" ca="1" si="192"/>
        <v/>
      </c>
      <c r="AD675" t="str">
        <f t="shared" si="182"/>
        <v>4093RN153</v>
      </c>
      <c r="AE675">
        <f t="shared" ca="1" si="193"/>
        <v>0</v>
      </c>
      <c r="AF675" t="str">
        <f t="shared" ca="1" si="194"/>
        <v/>
      </c>
      <c r="AG675">
        <v>165</v>
      </c>
      <c r="AH675" t="s">
        <v>136</v>
      </c>
      <c r="AI675" t="str">
        <f t="shared" si="183"/>
        <v>Lutheran Home 25</v>
      </c>
      <c r="AJ675" t="str">
        <f t="shared" si="184"/>
        <v>Green Bay</v>
      </c>
      <c r="AK675" t="str">
        <f t="shared" si="185"/>
        <v>WI</v>
      </c>
    </row>
    <row r="676" spans="18:37" x14ac:dyDescent="0.25">
      <c r="S676">
        <v>418</v>
      </c>
      <c r="T676">
        <f t="shared" si="181"/>
        <v>129</v>
      </c>
      <c r="U676">
        <f t="shared" si="186"/>
        <v>26053</v>
      </c>
      <c r="V676">
        <f t="shared" ca="1" si="187"/>
        <v>0</v>
      </c>
      <c r="W676">
        <v>165</v>
      </c>
      <c r="X676" t="str">
        <f t="shared" ca="1" si="188"/>
        <v/>
      </c>
      <c r="Y676" t="s">
        <v>33</v>
      </c>
      <c r="Z676">
        <f t="shared" ca="1" si="189"/>
        <v>0</v>
      </c>
      <c r="AA676" t="str">
        <f t="shared" ca="1" si="190"/>
        <v>SPPN</v>
      </c>
      <c r="AB676">
        <f t="shared" ca="1" si="191"/>
        <v>1</v>
      </c>
      <c r="AC676" t="str">
        <f t="shared" ca="1" si="192"/>
        <v/>
      </c>
      <c r="AD676" t="str">
        <f t="shared" si="182"/>
        <v>4093RN153</v>
      </c>
      <c r="AE676">
        <f t="shared" ca="1" si="193"/>
        <v>0</v>
      </c>
      <c r="AF676" t="str">
        <f t="shared" ca="1" si="194"/>
        <v/>
      </c>
      <c r="AG676">
        <v>165</v>
      </c>
      <c r="AH676" t="s">
        <v>136</v>
      </c>
      <c r="AI676" t="str">
        <f t="shared" si="183"/>
        <v>Lutheran Home 25</v>
      </c>
      <c r="AJ676" t="str">
        <f t="shared" si="184"/>
        <v>Green Bay</v>
      </c>
      <c r="AK676" t="str">
        <f t="shared" si="185"/>
        <v>WI</v>
      </c>
    </row>
    <row r="677" spans="18:37" x14ac:dyDescent="0.25">
      <c r="S677">
        <v>419</v>
      </c>
      <c r="T677">
        <f t="shared" si="181"/>
        <v>129</v>
      </c>
      <c r="U677">
        <f t="shared" si="186"/>
        <v>26053</v>
      </c>
      <c r="V677">
        <f t="shared" ca="1" si="187"/>
        <v>0</v>
      </c>
      <c r="W677">
        <v>165</v>
      </c>
      <c r="X677" t="str">
        <f t="shared" ca="1" si="188"/>
        <v/>
      </c>
      <c r="Y677" t="s">
        <v>28</v>
      </c>
      <c r="Z677">
        <f t="shared" ca="1" si="189"/>
        <v>0</v>
      </c>
      <c r="AA677" t="str">
        <f t="shared" ca="1" si="190"/>
        <v>SPPN</v>
      </c>
      <c r="AB677">
        <f t="shared" ca="1" si="191"/>
        <v>1</v>
      </c>
      <c r="AC677">
        <f t="shared" ca="1" si="192"/>
        <v>0</v>
      </c>
      <c r="AD677" t="str">
        <f t="shared" si="182"/>
        <v>4093RN153</v>
      </c>
      <c r="AE677">
        <f t="shared" ca="1" si="193"/>
        <v>0</v>
      </c>
      <c r="AF677" t="str">
        <f t="shared" ca="1" si="194"/>
        <v/>
      </c>
      <c r="AG677">
        <v>165</v>
      </c>
      <c r="AH677" t="s">
        <v>136</v>
      </c>
      <c r="AI677" t="str">
        <f t="shared" si="183"/>
        <v>Lutheran Home 25</v>
      </c>
      <c r="AJ677" t="str">
        <f t="shared" si="184"/>
        <v>Green Bay</v>
      </c>
      <c r="AK677" t="str">
        <f t="shared" si="185"/>
        <v>WI</v>
      </c>
    </row>
    <row r="678" spans="18:37" x14ac:dyDescent="0.25">
      <c r="S678">
        <v>420</v>
      </c>
      <c r="T678">
        <f t="shared" si="181"/>
        <v>129</v>
      </c>
      <c r="U678">
        <f t="shared" si="186"/>
        <v>26053</v>
      </c>
      <c r="V678">
        <f t="shared" ca="1" si="187"/>
        <v>0</v>
      </c>
      <c r="W678">
        <v>165</v>
      </c>
      <c r="X678" t="str">
        <f t="shared" ca="1" si="188"/>
        <v/>
      </c>
      <c r="Y678" t="s">
        <v>32</v>
      </c>
      <c r="Z678">
        <f t="shared" ca="1" si="189"/>
        <v>0</v>
      </c>
      <c r="AA678" t="str">
        <f t="shared" ca="1" si="190"/>
        <v>SPPN</v>
      </c>
      <c r="AB678">
        <f t="shared" ca="1" si="191"/>
        <v>1</v>
      </c>
      <c r="AC678">
        <f t="shared" ca="1" si="192"/>
        <v>0</v>
      </c>
      <c r="AD678" t="str">
        <f t="shared" si="182"/>
        <v>4093RN153</v>
      </c>
      <c r="AE678">
        <f t="shared" ca="1" si="193"/>
        <v>0</v>
      </c>
      <c r="AF678" t="str">
        <f t="shared" ca="1" si="194"/>
        <v/>
      </c>
      <c r="AG678">
        <v>165</v>
      </c>
      <c r="AH678" t="s">
        <v>136</v>
      </c>
      <c r="AI678" t="str">
        <f t="shared" si="183"/>
        <v>Lutheran Home 25</v>
      </c>
      <c r="AJ678" t="str">
        <f t="shared" si="184"/>
        <v>Green Bay</v>
      </c>
      <c r="AK678" t="str">
        <f t="shared" si="185"/>
        <v>WI</v>
      </c>
    </row>
    <row r="679" spans="18:37" x14ac:dyDescent="0.25">
      <c r="R679">
        <v>1</v>
      </c>
      <c r="S679">
        <v>421</v>
      </c>
      <c r="T679">
        <f t="shared" si="181"/>
        <v>129</v>
      </c>
      <c r="U679">
        <f t="shared" si="186"/>
        <v>26053</v>
      </c>
      <c r="V679">
        <f t="shared" ca="1" si="187"/>
        <v>0</v>
      </c>
      <c r="W679">
        <v>166</v>
      </c>
      <c r="X679" t="str">
        <f t="shared" ca="1" si="188"/>
        <v/>
      </c>
      <c r="Y679" t="s">
        <v>9</v>
      </c>
      <c r="Z679">
        <f t="shared" ca="1" si="189"/>
        <v>0</v>
      </c>
      <c r="AA679" t="str">
        <f t="shared" ca="1" si="190"/>
        <v>SPPN</v>
      </c>
      <c r="AB679">
        <f t="shared" ca="1" si="191"/>
        <v>1</v>
      </c>
      <c r="AC679" t="str">
        <f t="shared" ca="1" si="192"/>
        <v/>
      </c>
      <c r="AD679" t="str">
        <f t="shared" si="182"/>
        <v>4093RN153</v>
      </c>
      <c r="AE679">
        <f t="shared" ca="1" si="193"/>
        <v>0</v>
      </c>
      <c r="AF679" t="str">
        <f t="shared" ca="1" si="194"/>
        <v/>
      </c>
      <c r="AG679">
        <v>166</v>
      </c>
      <c r="AH679" t="s">
        <v>136</v>
      </c>
      <c r="AI679" t="str">
        <f t="shared" si="183"/>
        <v>Lutheran Home 25</v>
      </c>
      <c r="AJ679" t="str">
        <f t="shared" si="184"/>
        <v>Green Bay</v>
      </c>
      <c r="AK679" t="str">
        <f t="shared" si="185"/>
        <v>WI</v>
      </c>
    </row>
    <row r="680" spans="18:37" x14ac:dyDescent="0.25">
      <c r="S680">
        <v>422</v>
      </c>
      <c r="T680">
        <f t="shared" si="181"/>
        <v>129</v>
      </c>
      <c r="U680">
        <f t="shared" si="186"/>
        <v>26053</v>
      </c>
      <c r="V680">
        <f t="shared" ca="1" si="187"/>
        <v>0</v>
      </c>
      <c r="W680">
        <v>166</v>
      </c>
      <c r="X680" t="str">
        <f t="shared" ca="1" si="188"/>
        <v/>
      </c>
      <c r="Y680" t="s">
        <v>33</v>
      </c>
      <c r="Z680">
        <f t="shared" ca="1" si="189"/>
        <v>0</v>
      </c>
      <c r="AA680" t="str">
        <f t="shared" ca="1" si="190"/>
        <v>SPPN</v>
      </c>
      <c r="AB680">
        <f t="shared" ca="1" si="191"/>
        <v>1</v>
      </c>
      <c r="AC680" t="str">
        <f t="shared" ca="1" si="192"/>
        <v/>
      </c>
      <c r="AD680" t="str">
        <f t="shared" si="182"/>
        <v>4093RN153</v>
      </c>
      <c r="AE680">
        <f t="shared" ca="1" si="193"/>
        <v>0</v>
      </c>
      <c r="AF680" t="str">
        <f t="shared" ca="1" si="194"/>
        <v/>
      </c>
      <c r="AG680">
        <v>166</v>
      </c>
      <c r="AH680" t="s">
        <v>136</v>
      </c>
      <c r="AI680" t="str">
        <f t="shared" si="183"/>
        <v>Lutheran Home 25</v>
      </c>
      <c r="AJ680" t="str">
        <f t="shared" si="184"/>
        <v>Green Bay</v>
      </c>
      <c r="AK680" t="str">
        <f t="shared" si="185"/>
        <v>WI</v>
      </c>
    </row>
    <row r="681" spans="18:37" x14ac:dyDescent="0.25">
      <c r="S681">
        <v>423</v>
      </c>
      <c r="T681">
        <f t="shared" si="181"/>
        <v>129</v>
      </c>
      <c r="U681">
        <f t="shared" si="186"/>
        <v>26053</v>
      </c>
      <c r="V681">
        <f t="shared" ca="1" si="187"/>
        <v>0</v>
      </c>
      <c r="W681">
        <v>166</v>
      </c>
      <c r="X681" t="str">
        <f t="shared" ca="1" si="188"/>
        <v/>
      </c>
      <c r="Y681" t="s">
        <v>28</v>
      </c>
      <c r="Z681">
        <f t="shared" ca="1" si="189"/>
        <v>0</v>
      </c>
      <c r="AA681" t="str">
        <f t="shared" ca="1" si="190"/>
        <v>SPPN</v>
      </c>
      <c r="AB681">
        <f t="shared" ca="1" si="191"/>
        <v>1</v>
      </c>
      <c r="AC681">
        <f t="shared" ca="1" si="192"/>
        <v>0</v>
      </c>
      <c r="AD681" t="str">
        <f t="shared" si="182"/>
        <v>4093RN153</v>
      </c>
      <c r="AE681">
        <f t="shared" ca="1" si="193"/>
        <v>0</v>
      </c>
      <c r="AF681" t="str">
        <f t="shared" ca="1" si="194"/>
        <v/>
      </c>
      <c r="AG681">
        <v>166</v>
      </c>
      <c r="AH681" t="s">
        <v>136</v>
      </c>
      <c r="AI681" t="str">
        <f t="shared" si="183"/>
        <v>Lutheran Home 25</v>
      </c>
      <c r="AJ681" t="str">
        <f t="shared" si="184"/>
        <v>Green Bay</v>
      </c>
      <c r="AK681" t="str">
        <f t="shared" si="185"/>
        <v>WI</v>
      </c>
    </row>
    <row r="682" spans="18:37" x14ac:dyDescent="0.25">
      <c r="S682">
        <v>424</v>
      </c>
      <c r="T682">
        <f t="shared" si="181"/>
        <v>129</v>
      </c>
      <c r="U682">
        <f t="shared" si="186"/>
        <v>26053</v>
      </c>
      <c r="V682">
        <f t="shared" ca="1" si="187"/>
        <v>0</v>
      </c>
      <c r="W682">
        <v>166</v>
      </c>
      <c r="X682" t="str">
        <f t="shared" ca="1" si="188"/>
        <v/>
      </c>
      <c r="Y682" t="s">
        <v>32</v>
      </c>
      <c r="Z682">
        <f t="shared" ca="1" si="189"/>
        <v>0</v>
      </c>
      <c r="AA682" t="str">
        <f t="shared" ca="1" si="190"/>
        <v>SPPN</v>
      </c>
      <c r="AB682">
        <f t="shared" ca="1" si="191"/>
        <v>1</v>
      </c>
      <c r="AC682">
        <f t="shared" ca="1" si="192"/>
        <v>0</v>
      </c>
      <c r="AD682" t="str">
        <f t="shared" si="182"/>
        <v>4093RN153</v>
      </c>
      <c r="AE682">
        <f t="shared" ca="1" si="193"/>
        <v>0</v>
      </c>
      <c r="AF682" t="str">
        <f t="shared" ca="1" si="194"/>
        <v/>
      </c>
      <c r="AG682">
        <v>166</v>
      </c>
      <c r="AH682" t="s">
        <v>136</v>
      </c>
      <c r="AI682" t="str">
        <f t="shared" si="183"/>
        <v>Lutheran Home 25</v>
      </c>
      <c r="AJ682" t="str">
        <f t="shared" si="184"/>
        <v>Green Bay</v>
      </c>
      <c r="AK682" t="str">
        <f t="shared" si="185"/>
        <v>WI</v>
      </c>
    </row>
    <row r="683" spans="18:37" x14ac:dyDescent="0.25">
      <c r="R683">
        <v>1</v>
      </c>
      <c r="S683">
        <v>425</v>
      </c>
      <c r="T683">
        <f t="shared" si="181"/>
        <v>129</v>
      </c>
      <c r="U683">
        <f t="shared" si="186"/>
        <v>26053</v>
      </c>
      <c r="V683">
        <f t="shared" ca="1" si="187"/>
        <v>0</v>
      </c>
      <c r="W683">
        <v>167</v>
      </c>
      <c r="X683" t="str">
        <f t="shared" ca="1" si="188"/>
        <v/>
      </c>
      <c r="Y683" t="s">
        <v>9</v>
      </c>
      <c r="Z683">
        <f t="shared" ca="1" si="189"/>
        <v>0</v>
      </c>
      <c r="AA683" t="str">
        <f t="shared" ca="1" si="190"/>
        <v>SPPN</v>
      </c>
      <c r="AB683">
        <f t="shared" ca="1" si="191"/>
        <v>1</v>
      </c>
      <c r="AC683" t="str">
        <f t="shared" ca="1" si="192"/>
        <v/>
      </c>
      <c r="AD683" t="str">
        <f t="shared" si="182"/>
        <v>4093RN153</v>
      </c>
      <c r="AE683">
        <f t="shared" ca="1" si="193"/>
        <v>0</v>
      </c>
      <c r="AF683" t="str">
        <f t="shared" ca="1" si="194"/>
        <v/>
      </c>
      <c r="AG683">
        <v>167</v>
      </c>
      <c r="AH683" t="s">
        <v>136</v>
      </c>
      <c r="AI683" t="str">
        <f t="shared" si="183"/>
        <v>Lutheran Home 25</v>
      </c>
      <c r="AJ683" t="str">
        <f t="shared" si="184"/>
        <v>Green Bay</v>
      </c>
      <c r="AK683" t="str">
        <f t="shared" si="185"/>
        <v>WI</v>
      </c>
    </row>
    <row r="684" spans="18:37" x14ac:dyDescent="0.25">
      <c r="S684">
        <v>426</v>
      </c>
      <c r="T684">
        <f t="shared" si="181"/>
        <v>129</v>
      </c>
      <c r="U684">
        <f t="shared" si="186"/>
        <v>26053</v>
      </c>
      <c r="V684">
        <f t="shared" ca="1" si="187"/>
        <v>0</v>
      </c>
      <c r="W684">
        <v>167</v>
      </c>
      <c r="X684" t="str">
        <f t="shared" ca="1" si="188"/>
        <v/>
      </c>
      <c r="Y684" t="s">
        <v>33</v>
      </c>
      <c r="Z684">
        <f t="shared" ca="1" si="189"/>
        <v>0</v>
      </c>
      <c r="AA684" t="str">
        <f t="shared" ca="1" si="190"/>
        <v>SPPN</v>
      </c>
      <c r="AB684">
        <f t="shared" ca="1" si="191"/>
        <v>1</v>
      </c>
      <c r="AC684" t="str">
        <f t="shared" ca="1" si="192"/>
        <v/>
      </c>
      <c r="AD684" t="str">
        <f t="shared" si="182"/>
        <v>4093RN153</v>
      </c>
      <c r="AE684">
        <f t="shared" ca="1" si="193"/>
        <v>0</v>
      </c>
      <c r="AF684" t="str">
        <f t="shared" ca="1" si="194"/>
        <v/>
      </c>
      <c r="AG684">
        <v>167</v>
      </c>
      <c r="AH684" t="s">
        <v>136</v>
      </c>
      <c r="AI684" t="str">
        <f t="shared" si="183"/>
        <v>Lutheran Home 25</v>
      </c>
      <c r="AJ684" t="str">
        <f t="shared" si="184"/>
        <v>Green Bay</v>
      </c>
      <c r="AK684" t="str">
        <f t="shared" si="185"/>
        <v>WI</v>
      </c>
    </row>
    <row r="685" spans="18:37" x14ac:dyDescent="0.25">
      <c r="S685">
        <v>427</v>
      </c>
      <c r="T685">
        <f t="shared" si="181"/>
        <v>129</v>
      </c>
      <c r="U685">
        <f t="shared" si="186"/>
        <v>26053</v>
      </c>
      <c r="V685">
        <f t="shared" ca="1" si="187"/>
        <v>0</v>
      </c>
      <c r="W685">
        <v>167</v>
      </c>
      <c r="X685" t="str">
        <f t="shared" ca="1" si="188"/>
        <v/>
      </c>
      <c r="Y685" t="s">
        <v>28</v>
      </c>
      <c r="Z685">
        <f t="shared" ca="1" si="189"/>
        <v>0</v>
      </c>
      <c r="AA685" t="str">
        <f t="shared" ca="1" si="190"/>
        <v>SPPN</v>
      </c>
      <c r="AB685">
        <f t="shared" ca="1" si="191"/>
        <v>1</v>
      </c>
      <c r="AC685">
        <f t="shared" ca="1" si="192"/>
        <v>0</v>
      </c>
      <c r="AD685" t="str">
        <f t="shared" si="182"/>
        <v>4093RN153</v>
      </c>
      <c r="AE685">
        <f t="shared" ca="1" si="193"/>
        <v>0</v>
      </c>
      <c r="AF685" t="str">
        <f t="shared" ca="1" si="194"/>
        <v/>
      </c>
      <c r="AG685">
        <v>167</v>
      </c>
      <c r="AH685" t="s">
        <v>136</v>
      </c>
      <c r="AI685" t="str">
        <f t="shared" si="183"/>
        <v>Lutheran Home 25</v>
      </c>
      <c r="AJ685" t="str">
        <f t="shared" si="184"/>
        <v>Green Bay</v>
      </c>
      <c r="AK685" t="str">
        <f t="shared" si="185"/>
        <v>WI</v>
      </c>
    </row>
    <row r="686" spans="18:37" x14ac:dyDescent="0.25">
      <c r="S686">
        <v>428</v>
      </c>
      <c r="T686">
        <f t="shared" si="181"/>
        <v>129</v>
      </c>
      <c r="U686">
        <f t="shared" si="186"/>
        <v>26053</v>
      </c>
      <c r="V686">
        <f t="shared" ca="1" si="187"/>
        <v>0</v>
      </c>
      <c r="W686">
        <v>167</v>
      </c>
      <c r="X686" t="str">
        <f t="shared" ca="1" si="188"/>
        <v/>
      </c>
      <c r="Y686" t="s">
        <v>32</v>
      </c>
      <c r="Z686">
        <f t="shared" ca="1" si="189"/>
        <v>0</v>
      </c>
      <c r="AA686" t="str">
        <f t="shared" ca="1" si="190"/>
        <v>SPPN</v>
      </c>
      <c r="AB686">
        <f t="shared" ca="1" si="191"/>
        <v>1</v>
      </c>
      <c r="AC686">
        <f t="shared" ca="1" si="192"/>
        <v>0</v>
      </c>
      <c r="AD686" t="str">
        <f t="shared" si="182"/>
        <v>4093RN153</v>
      </c>
      <c r="AE686">
        <f t="shared" ca="1" si="193"/>
        <v>0</v>
      </c>
      <c r="AF686" t="str">
        <f t="shared" ca="1" si="194"/>
        <v/>
      </c>
      <c r="AG686">
        <v>167</v>
      </c>
      <c r="AH686" t="s">
        <v>136</v>
      </c>
      <c r="AI686" t="str">
        <f t="shared" si="183"/>
        <v>Lutheran Home 25</v>
      </c>
      <c r="AJ686" t="str">
        <f t="shared" si="184"/>
        <v>Green Bay</v>
      </c>
      <c r="AK686" t="str">
        <f t="shared" si="185"/>
        <v>WI</v>
      </c>
    </row>
    <row r="687" spans="18:37" x14ac:dyDescent="0.25">
      <c r="R687">
        <v>1</v>
      </c>
      <c r="S687">
        <v>429</v>
      </c>
      <c r="T687">
        <f t="shared" si="181"/>
        <v>129</v>
      </c>
      <c r="U687">
        <f t="shared" si="186"/>
        <v>26053</v>
      </c>
      <c r="V687">
        <f t="shared" ca="1" si="187"/>
        <v>0</v>
      </c>
      <c r="W687">
        <v>168</v>
      </c>
      <c r="X687" t="str">
        <f t="shared" ca="1" si="188"/>
        <v/>
      </c>
      <c r="Y687" t="s">
        <v>9</v>
      </c>
      <c r="Z687">
        <f t="shared" ca="1" si="189"/>
        <v>0</v>
      </c>
      <c r="AA687" t="str">
        <f t="shared" ca="1" si="190"/>
        <v>SPPN</v>
      </c>
      <c r="AB687">
        <f t="shared" ca="1" si="191"/>
        <v>1</v>
      </c>
      <c r="AC687" t="str">
        <f t="shared" ca="1" si="192"/>
        <v/>
      </c>
      <c r="AD687" t="str">
        <f t="shared" si="182"/>
        <v>4093RN153</v>
      </c>
      <c r="AE687">
        <f t="shared" ca="1" si="193"/>
        <v>0</v>
      </c>
      <c r="AF687" t="str">
        <f t="shared" ca="1" si="194"/>
        <v/>
      </c>
      <c r="AG687">
        <v>168</v>
      </c>
      <c r="AH687" t="s">
        <v>136</v>
      </c>
      <c r="AI687" t="str">
        <f t="shared" si="183"/>
        <v>Lutheran Home 25</v>
      </c>
      <c r="AJ687" t="str">
        <f t="shared" si="184"/>
        <v>Green Bay</v>
      </c>
      <c r="AK687" t="str">
        <f t="shared" si="185"/>
        <v>WI</v>
      </c>
    </row>
    <row r="688" spans="18:37" x14ac:dyDescent="0.25">
      <c r="S688">
        <v>430</v>
      </c>
      <c r="T688">
        <f t="shared" si="181"/>
        <v>129</v>
      </c>
      <c r="U688">
        <f t="shared" si="186"/>
        <v>26053</v>
      </c>
      <c r="V688">
        <f t="shared" ca="1" si="187"/>
        <v>0</v>
      </c>
      <c r="W688">
        <v>168</v>
      </c>
      <c r="X688" t="str">
        <f t="shared" ca="1" si="188"/>
        <v/>
      </c>
      <c r="Y688" t="s">
        <v>33</v>
      </c>
      <c r="Z688">
        <f t="shared" ca="1" si="189"/>
        <v>0</v>
      </c>
      <c r="AA688" t="str">
        <f t="shared" ca="1" si="190"/>
        <v>SPPN</v>
      </c>
      <c r="AB688">
        <f t="shared" ca="1" si="191"/>
        <v>1</v>
      </c>
      <c r="AC688" t="str">
        <f t="shared" ca="1" si="192"/>
        <v/>
      </c>
      <c r="AD688" t="str">
        <f t="shared" si="182"/>
        <v>4093RN153</v>
      </c>
      <c r="AE688">
        <f t="shared" ca="1" si="193"/>
        <v>0</v>
      </c>
      <c r="AF688" t="str">
        <f t="shared" ca="1" si="194"/>
        <v/>
      </c>
      <c r="AG688">
        <v>168</v>
      </c>
      <c r="AH688" t="s">
        <v>136</v>
      </c>
      <c r="AI688" t="str">
        <f t="shared" si="183"/>
        <v>Lutheran Home 25</v>
      </c>
      <c r="AJ688" t="str">
        <f t="shared" si="184"/>
        <v>Green Bay</v>
      </c>
      <c r="AK688" t="str">
        <f t="shared" si="185"/>
        <v>WI</v>
      </c>
    </row>
    <row r="689" spans="18:37" x14ac:dyDescent="0.25">
      <c r="S689">
        <v>431</v>
      </c>
      <c r="T689">
        <f t="shared" si="181"/>
        <v>129</v>
      </c>
      <c r="U689">
        <f t="shared" si="186"/>
        <v>26053</v>
      </c>
      <c r="V689">
        <f t="shared" ca="1" si="187"/>
        <v>0</v>
      </c>
      <c r="W689">
        <v>168</v>
      </c>
      <c r="X689" t="str">
        <f t="shared" ca="1" si="188"/>
        <v/>
      </c>
      <c r="Y689" t="s">
        <v>28</v>
      </c>
      <c r="Z689">
        <f t="shared" ca="1" si="189"/>
        <v>0</v>
      </c>
      <c r="AA689" t="str">
        <f t="shared" ca="1" si="190"/>
        <v>SPPN</v>
      </c>
      <c r="AB689">
        <f t="shared" ca="1" si="191"/>
        <v>1</v>
      </c>
      <c r="AC689">
        <f t="shared" ca="1" si="192"/>
        <v>0</v>
      </c>
      <c r="AD689" t="str">
        <f t="shared" si="182"/>
        <v>4093RN153</v>
      </c>
      <c r="AE689">
        <f t="shared" ca="1" si="193"/>
        <v>0</v>
      </c>
      <c r="AF689" t="str">
        <f t="shared" ca="1" si="194"/>
        <v/>
      </c>
      <c r="AG689">
        <v>168</v>
      </c>
      <c r="AH689" t="s">
        <v>136</v>
      </c>
      <c r="AI689" t="str">
        <f t="shared" si="183"/>
        <v>Lutheran Home 25</v>
      </c>
      <c r="AJ689" t="str">
        <f t="shared" si="184"/>
        <v>Green Bay</v>
      </c>
      <c r="AK689" t="str">
        <f t="shared" si="185"/>
        <v>WI</v>
      </c>
    </row>
    <row r="690" spans="18:37" x14ac:dyDescent="0.25">
      <c r="S690">
        <v>432</v>
      </c>
      <c r="T690">
        <f t="shared" si="181"/>
        <v>129</v>
      </c>
      <c r="U690">
        <f t="shared" si="186"/>
        <v>26053</v>
      </c>
      <c r="V690">
        <f t="shared" ca="1" si="187"/>
        <v>0</v>
      </c>
      <c r="W690">
        <v>168</v>
      </c>
      <c r="X690" t="str">
        <f t="shared" ca="1" si="188"/>
        <v/>
      </c>
      <c r="Y690" t="s">
        <v>32</v>
      </c>
      <c r="Z690">
        <f t="shared" ca="1" si="189"/>
        <v>0</v>
      </c>
      <c r="AA690" t="str">
        <f t="shared" ca="1" si="190"/>
        <v>SPPN</v>
      </c>
      <c r="AB690">
        <f t="shared" ca="1" si="191"/>
        <v>1</v>
      </c>
      <c r="AC690">
        <f t="shared" ca="1" si="192"/>
        <v>0</v>
      </c>
      <c r="AD690" t="str">
        <f t="shared" si="182"/>
        <v>4093RN153</v>
      </c>
      <c r="AE690">
        <f t="shared" ca="1" si="193"/>
        <v>0</v>
      </c>
      <c r="AF690" t="str">
        <f t="shared" ca="1" si="194"/>
        <v/>
      </c>
      <c r="AG690">
        <v>168</v>
      </c>
      <c r="AH690" t="s">
        <v>136</v>
      </c>
      <c r="AI690" t="str">
        <f t="shared" si="183"/>
        <v>Lutheran Home 25</v>
      </c>
      <c r="AJ690" t="str">
        <f t="shared" si="184"/>
        <v>Green Bay</v>
      </c>
      <c r="AK690" t="str">
        <f t="shared" si="185"/>
        <v>WI</v>
      </c>
    </row>
    <row r="691" spans="18:37" x14ac:dyDescent="0.25">
      <c r="R691">
        <v>1</v>
      </c>
      <c r="S691">
        <v>433</v>
      </c>
      <c r="T691">
        <f t="shared" si="181"/>
        <v>129</v>
      </c>
      <c r="U691">
        <f t="shared" si="186"/>
        <v>26053</v>
      </c>
      <c r="V691">
        <f t="shared" ca="1" si="187"/>
        <v>0</v>
      </c>
      <c r="W691">
        <v>169</v>
      </c>
      <c r="X691" t="str">
        <f t="shared" ca="1" si="188"/>
        <v/>
      </c>
      <c r="Y691" t="s">
        <v>9</v>
      </c>
      <c r="Z691">
        <f t="shared" ca="1" si="189"/>
        <v>0</v>
      </c>
      <c r="AA691" t="str">
        <f t="shared" ca="1" si="190"/>
        <v>SPPN</v>
      </c>
      <c r="AB691">
        <f t="shared" ca="1" si="191"/>
        <v>1</v>
      </c>
      <c r="AC691" t="str">
        <f t="shared" ca="1" si="192"/>
        <v/>
      </c>
      <c r="AD691" t="str">
        <f t="shared" si="182"/>
        <v>4093RN153</v>
      </c>
      <c r="AE691">
        <f t="shared" ca="1" si="193"/>
        <v>0</v>
      </c>
      <c r="AF691" t="str">
        <f t="shared" ca="1" si="194"/>
        <v/>
      </c>
      <c r="AG691">
        <v>169</v>
      </c>
      <c r="AH691" t="s">
        <v>136</v>
      </c>
      <c r="AI691" t="str">
        <f t="shared" si="183"/>
        <v>Lutheran Home 25</v>
      </c>
      <c r="AJ691" t="str">
        <f t="shared" si="184"/>
        <v>Green Bay</v>
      </c>
      <c r="AK691" t="str">
        <f t="shared" si="185"/>
        <v>WI</v>
      </c>
    </row>
    <row r="692" spans="18:37" x14ac:dyDescent="0.25">
      <c r="S692">
        <v>434</v>
      </c>
      <c r="T692">
        <f t="shared" si="181"/>
        <v>129</v>
      </c>
      <c r="U692">
        <f t="shared" si="186"/>
        <v>26053</v>
      </c>
      <c r="V692">
        <f t="shared" ca="1" si="187"/>
        <v>0</v>
      </c>
      <c r="W692">
        <v>169</v>
      </c>
      <c r="X692" t="str">
        <f t="shared" ca="1" si="188"/>
        <v/>
      </c>
      <c r="Y692" t="s">
        <v>33</v>
      </c>
      <c r="Z692">
        <f t="shared" ca="1" si="189"/>
        <v>0</v>
      </c>
      <c r="AA692" t="str">
        <f t="shared" ca="1" si="190"/>
        <v>SPPN</v>
      </c>
      <c r="AB692">
        <f t="shared" ca="1" si="191"/>
        <v>1</v>
      </c>
      <c r="AC692" t="str">
        <f t="shared" ca="1" si="192"/>
        <v/>
      </c>
      <c r="AD692" t="str">
        <f t="shared" si="182"/>
        <v>4093RN153</v>
      </c>
      <c r="AE692">
        <f t="shared" ca="1" si="193"/>
        <v>0</v>
      </c>
      <c r="AF692" t="str">
        <f t="shared" ca="1" si="194"/>
        <v/>
      </c>
      <c r="AG692">
        <v>169</v>
      </c>
      <c r="AH692" t="s">
        <v>136</v>
      </c>
      <c r="AI692" t="str">
        <f t="shared" si="183"/>
        <v>Lutheran Home 25</v>
      </c>
      <c r="AJ692" t="str">
        <f t="shared" si="184"/>
        <v>Green Bay</v>
      </c>
      <c r="AK692" t="str">
        <f t="shared" si="185"/>
        <v>WI</v>
      </c>
    </row>
    <row r="693" spans="18:37" x14ac:dyDescent="0.25">
      <c r="S693">
        <v>435</v>
      </c>
      <c r="T693">
        <f t="shared" si="181"/>
        <v>129</v>
      </c>
      <c r="U693">
        <f t="shared" si="186"/>
        <v>26053</v>
      </c>
      <c r="V693">
        <f t="shared" ca="1" si="187"/>
        <v>0</v>
      </c>
      <c r="W693">
        <v>169</v>
      </c>
      <c r="X693" t="str">
        <f t="shared" ca="1" si="188"/>
        <v/>
      </c>
      <c r="Y693" t="s">
        <v>28</v>
      </c>
      <c r="Z693">
        <f t="shared" ca="1" si="189"/>
        <v>0</v>
      </c>
      <c r="AA693" t="str">
        <f t="shared" ca="1" si="190"/>
        <v>SPPN</v>
      </c>
      <c r="AB693">
        <f t="shared" ca="1" si="191"/>
        <v>1</v>
      </c>
      <c r="AC693">
        <f t="shared" ca="1" si="192"/>
        <v>0</v>
      </c>
      <c r="AD693" t="str">
        <f t="shared" si="182"/>
        <v>4093RN153</v>
      </c>
      <c r="AE693">
        <f t="shared" ca="1" si="193"/>
        <v>0</v>
      </c>
      <c r="AF693" t="str">
        <f t="shared" ca="1" si="194"/>
        <v/>
      </c>
      <c r="AG693">
        <v>169</v>
      </c>
      <c r="AH693" t="s">
        <v>136</v>
      </c>
      <c r="AI693" t="str">
        <f t="shared" si="183"/>
        <v>Lutheran Home 25</v>
      </c>
      <c r="AJ693" t="str">
        <f t="shared" si="184"/>
        <v>Green Bay</v>
      </c>
      <c r="AK693" t="str">
        <f t="shared" si="185"/>
        <v>WI</v>
      </c>
    </row>
    <row r="694" spans="18:37" x14ac:dyDescent="0.25">
      <c r="S694">
        <v>436</v>
      </c>
      <c r="T694">
        <f t="shared" si="181"/>
        <v>129</v>
      </c>
      <c r="U694">
        <f t="shared" si="186"/>
        <v>26053</v>
      </c>
      <c r="V694">
        <f t="shared" ca="1" si="187"/>
        <v>0</v>
      </c>
      <c r="W694">
        <v>169</v>
      </c>
      <c r="X694" t="str">
        <f t="shared" ca="1" si="188"/>
        <v/>
      </c>
      <c r="Y694" t="s">
        <v>32</v>
      </c>
      <c r="Z694">
        <f t="shared" ca="1" si="189"/>
        <v>0</v>
      </c>
      <c r="AA694" t="str">
        <f t="shared" ca="1" si="190"/>
        <v>SPPN</v>
      </c>
      <c r="AB694">
        <f t="shared" ca="1" si="191"/>
        <v>1</v>
      </c>
      <c r="AC694">
        <f t="shared" ca="1" si="192"/>
        <v>0</v>
      </c>
      <c r="AD694" t="str">
        <f t="shared" si="182"/>
        <v>4093RN153</v>
      </c>
      <c r="AE694">
        <f t="shared" ca="1" si="193"/>
        <v>0</v>
      </c>
      <c r="AF694" t="str">
        <f t="shared" ca="1" si="194"/>
        <v/>
      </c>
      <c r="AG694">
        <v>169</v>
      </c>
      <c r="AH694" t="s">
        <v>136</v>
      </c>
      <c r="AI694" t="str">
        <f t="shared" si="183"/>
        <v>Lutheran Home 25</v>
      </c>
      <c r="AJ694" t="str">
        <f t="shared" si="184"/>
        <v>Green Bay</v>
      </c>
      <c r="AK694" t="str">
        <f t="shared" si="185"/>
        <v>WI</v>
      </c>
    </row>
    <row r="695" spans="18:37" x14ac:dyDescent="0.25">
      <c r="R695">
        <v>1</v>
      </c>
      <c r="S695">
        <v>437</v>
      </c>
      <c r="T695">
        <f t="shared" si="181"/>
        <v>129</v>
      </c>
      <c r="U695">
        <f t="shared" si="186"/>
        <v>26053</v>
      </c>
      <c r="V695">
        <f t="shared" ca="1" si="187"/>
        <v>0</v>
      </c>
      <c r="W695">
        <v>170</v>
      </c>
      <c r="X695" t="str">
        <f t="shared" ca="1" si="188"/>
        <v/>
      </c>
      <c r="Y695" t="s">
        <v>9</v>
      </c>
      <c r="Z695">
        <f t="shared" ca="1" si="189"/>
        <v>0</v>
      </c>
      <c r="AA695" t="str">
        <f t="shared" ca="1" si="190"/>
        <v>SPPN</v>
      </c>
      <c r="AB695">
        <f t="shared" ca="1" si="191"/>
        <v>1</v>
      </c>
      <c r="AC695" t="str">
        <f t="shared" ca="1" si="192"/>
        <v/>
      </c>
      <c r="AD695" t="str">
        <f t="shared" si="182"/>
        <v>4093RN153</v>
      </c>
      <c r="AE695">
        <f t="shared" ca="1" si="193"/>
        <v>0</v>
      </c>
      <c r="AF695" t="str">
        <f t="shared" ca="1" si="194"/>
        <v/>
      </c>
      <c r="AG695">
        <v>170</v>
      </c>
      <c r="AH695" t="s">
        <v>136</v>
      </c>
      <c r="AI695" t="str">
        <f t="shared" si="183"/>
        <v>Lutheran Home 25</v>
      </c>
      <c r="AJ695" t="str">
        <f t="shared" si="184"/>
        <v>Green Bay</v>
      </c>
      <c r="AK695" t="str">
        <f t="shared" si="185"/>
        <v>WI</v>
      </c>
    </row>
    <row r="696" spans="18:37" x14ac:dyDescent="0.25">
      <c r="S696">
        <v>438</v>
      </c>
      <c r="T696">
        <f t="shared" si="181"/>
        <v>129</v>
      </c>
      <c r="U696">
        <f t="shared" si="186"/>
        <v>26053</v>
      </c>
      <c r="V696">
        <f t="shared" ca="1" si="187"/>
        <v>0</v>
      </c>
      <c r="W696">
        <v>170</v>
      </c>
      <c r="X696" t="str">
        <f t="shared" ca="1" si="188"/>
        <v/>
      </c>
      <c r="Y696" t="s">
        <v>33</v>
      </c>
      <c r="Z696">
        <f t="shared" ca="1" si="189"/>
        <v>0</v>
      </c>
      <c r="AA696" t="str">
        <f t="shared" ca="1" si="190"/>
        <v>SPPN</v>
      </c>
      <c r="AB696">
        <f t="shared" ca="1" si="191"/>
        <v>1</v>
      </c>
      <c r="AC696" t="str">
        <f t="shared" ca="1" si="192"/>
        <v/>
      </c>
      <c r="AD696" t="str">
        <f t="shared" si="182"/>
        <v>4093RN153</v>
      </c>
      <c r="AE696">
        <f t="shared" ca="1" si="193"/>
        <v>0</v>
      </c>
      <c r="AF696" t="str">
        <f t="shared" ca="1" si="194"/>
        <v/>
      </c>
      <c r="AG696">
        <v>170</v>
      </c>
      <c r="AH696" t="s">
        <v>136</v>
      </c>
      <c r="AI696" t="str">
        <f t="shared" si="183"/>
        <v>Lutheran Home 25</v>
      </c>
      <c r="AJ696" t="str">
        <f t="shared" si="184"/>
        <v>Green Bay</v>
      </c>
      <c r="AK696" t="str">
        <f t="shared" si="185"/>
        <v>WI</v>
      </c>
    </row>
    <row r="697" spans="18:37" x14ac:dyDescent="0.25">
      <c r="S697">
        <v>439</v>
      </c>
      <c r="T697">
        <f t="shared" si="181"/>
        <v>129</v>
      </c>
      <c r="U697">
        <f t="shared" si="186"/>
        <v>26053</v>
      </c>
      <c r="V697">
        <f t="shared" ca="1" si="187"/>
        <v>0</v>
      </c>
      <c r="W697">
        <v>170</v>
      </c>
      <c r="X697" t="str">
        <f t="shared" ca="1" si="188"/>
        <v/>
      </c>
      <c r="Y697" t="s">
        <v>28</v>
      </c>
      <c r="Z697">
        <f t="shared" ca="1" si="189"/>
        <v>0</v>
      </c>
      <c r="AA697" t="str">
        <f t="shared" ca="1" si="190"/>
        <v>SPPN</v>
      </c>
      <c r="AB697">
        <f t="shared" ca="1" si="191"/>
        <v>1</v>
      </c>
      <c r="AC697">
        <f t="shared" ca="1" si="192"/>
        <v>0</v>
      </c>
      <c r="AD697" t="str">
        <f t="shared" si="182"/>
        <v>4093RN153</v>
      </c>
      <c r="AE697">
        <f t="shared" ca="1" si="193"/>
        <v>0</v>
      </c>
      <c r="AF697" t="str">
        <f t="shared" ca="1" si="194"/>
        <v/>
      </c>
      <c r="AG697">
        <v>170</v>
      </c>
      <c r="AH697" t="s">
        <v>136</v>
      </c>
      <c r="AI697" t="str">
        <f t="shared" si="183"/>
        <v>Lutheran Home 25</v>
      </c>
      <c r="AJ697" t="str">
        <f t="shared" si="184"/>
        <v>Green Bay</v>
      </c>
      <c r="AK697" t="str">
        <f t="shared" si="185"/>
        <v>WI</v>
      </c>
    </row>
    <row r="698" spans="18:37" x14ac:dyDescent="0.25">
      <c r="S698">
        <v>440</v>
      </c>
      <c r="T698">
        <f t="shared" si="181"/>
        <v>129</v>
      </c>
      <c r="U698">
        <f t="shared" si="186"/>
        <v>26053</v>
      </c>
      <c r="V698">
        <f t="shared" ca="1" si="187"/>
        <v>0</v>
      </c>
      <c r="W698">
        <v>170</v>
      </c>
      <c r="X698" t="str">
        <f t="shared" ca="1" si="188"/>
        <v/>
      </c>
      <c r="Y698" t="s">
        <v>32</v>
      </c>
      <c r="Z698">
        <f t="shared" ca="1" si="189"/>
        <v>0</v>
      </c>
      <c r="AA698" t="str">
        <f t="shared" ca="1" si="190"/>
        <v>SPPN</v>
      </c>
      <c r="AB698">
        <f t="shared" ca="1" si="191"/>
        <v>1</v>
      </c>
      <c r="AC698">
        <f t="shared" ca="1" si="192"/>
        <v>0</v>
      </c>
      <c r="AD698" t="str">
        <f t="shared" si="182"/>
        <v>4093RN153</v>
      </c>
      <c r="AE698">
        <f t="shared" ca="1" si="193"/>
        <v>0</v>
      </c>
      <c r="AF698" t="str">
        <f t="shared" ca="1" si="194"/>
        <v/>
      </c>
      <c r="AG698">
        <v>170</v>
      </c>
      <c r="AH698" t="s">
        <v>136</v>
      </c>
      <c r="AI698" t="str">
        <f t="shared" si="183"/>
        <v>Lutheran Home 25</v>
      </c>
      <c r="AJ698" t="str">
        <f t="shared" si="184"/>
        <v>Green Bay</v>
      </c>
      <c r="AK698" t="str">
        <f t="shared" si="185"/>
        <v>WI</v>
      </c>
    </row>
    <row r="699" spans="18:37" x14ac:dyDescent="0.25">
      <c r="R699">
        <v>1</v>
      </c>
      <c r="S699">
        <v>441</v>
      </c>
      <c r="T699">
        <f t="shared" si="181"/>
        <v>129</v>
      </c>
      <c r="U699">
        <f t="shared" si="186"/>
        <v>26053</v>
      </c>
      <c r="V699">
        <f t="shared" ca="1" si="187"/>
        <v>0</v>
      </c>
      <c r="W699">
        <v>171</v>
      </c>
      <c r="X699" t="str">
        <f t="shared" ca="1" si="188"/>
        <v/>
      </c>
      <c r="Y699" t="s">
        <v>9</v>
      </c>
      <c r="Z699">
        <f t="shared" ca="1" si="189"/>
        <v>0</v>
      </c>
      <c r="AA699" t="str">
        <f t="shared" ca="1" si="190"/>
        <v>SPPN</v>
      </c>
      <c r="AB699">
        <f t="shared" ca="1" si="191"/>
        <v>1</v>
      </c>
      <c r="AC699" t="str">
        <f t="shared" ca="1" si="192"/>
        <v/>
      </c>
      <c r="AD699" t="str">
        <f t="shared" si="182"/>
        <v>4093RN153</v>
      </c>
      <c r="AE699">
        <f t="shared" ca="1" si="193"/>
        <v>0</v>
      </c>
      <c r="AF699" t="str">
        <f t="shared" ca="1" si="194"/>
        <v/>
      </c>
      <c r="AG699">
        <v>171</v>
      </c>
      <c r="AH699" t="s">
        <v>136</v>
      </c>
      <c r="AI699" t="str">
        <f t="shared" si="183"/>
        <v>Lutheran Home 25</v>
      </c>
      <c r="AJ699" t="str">
        <f t="shared" si="184"/>
        <v>Green Bay</v>
      </c>
      <c r="AK699" t="str">
        <f t="shared" si="185"/>
        <v>WI</v>
      </c>
    </row>
    <row r="700" spans="18:37" x14ac:dyDescent="0.25">
      <c r="S700">
        <v>442</v>
      </c>
      <c r="T700">
        <f t="shared" si="181"/>
        <v>129</v>
      </c>
      <c r="U700">
        <f t="shared" si="186"/>
        <v>26053</v>
      </c>
      <c r="V700">
        <f t="shared" ca="1" si="187"/>
        <v>0</v>
      </c>
      <c r="W700">
        <v>171</v>
      </c>
      <c r="X700" t="str">
        <f t="shared" ca="1" si="188"/>
        <v/>
      </c>
      <c r="Y700" t="s">
        <v>33</v>
      </c>
      <c r="Z700">
        <f t="shared" ca="1" si="189"/>
        <v>0</v>
      </c>
      <c r="AA700" t="str">
        <f t="shared" ca="1" si="190"/>
        <v>SPPN</v>
      </c>
      <c r="AB700">
        <f t="shared" ca="1" si="191"/>
        <v>1</v>
      </c>
      <c r="AC700" t="str">
        <f t="shared" ca="1" si="192"/>
        <v/>
      </c>
      <c r="AD700" t="str">
        <f t="shared" si="182"/>
        <v>4093RN153</v>
      </c>
      <c r="AE700">
        <f t="shared" ca="1" si="193"/>
        <v>0</v>
      </c>
      <c r="AF700" t="str">
        <f t="shared" ca="1" si="194"/>
        <v/>
      </c>
      <c r="AG700">
        <v>171</v>
      </c>
      <c r="AH700" t="s">
        <v>136</v>
      </c>
      <c r="AI700" t="str">
        <f t="shared" si="183"/>
        <v>Lutheran Home 25</v>
      </c>
      <c r="AJ700" t="str">
        <f t="shared" si="184"/>
        <v>Green Bay</v>
      </c>
      <c r="AK700" t="str">
        <f t="shared" si="185"/>
        <v>WI</v>
      </c>
    </row>
    <row r="701" spans="18:37" x14ac:dyDescent="0.25">
      <c r="S701">
        <v>443</v>
      </c>
      <c r="T701">
        <f t="shared" si="181"/>
        <v>129</v>
      </c>
      <c r="U701">
        <f t="shared" si="186"/>
        <v>26053</v>
      </c>
      <c r="V701">
        <f t="shared" ca="1" si="187"/>
        <v>0</v>
      </c>
      <c r="W701">
        <v>171</v>
      </c>
      <c r="X701" t="str">
        <f t="shared" ca="1" si="188"/>
        <v/>
      </c>
      <c r="Y701" t="s">
        <v>28</v>
      </c>
      <c r="Z701">
        <f t="shared" ca="1" si="189"/>
        <v>0</v>
      </c>
      <c r="AA701" t="str">
        <f t="shared" ca="1" si="190"/>
        <v>SPPN</v>
      </c>
      <c r="AB701">
        <f t="shared" ca="1" si="191"/>
        <v>1</v>
      </c>
      <c r="AC701">
        <f t="shared" ca="1" si="192"/>
        <v>0</v>
      </c>
      <c r="AD701" t="str">
        <f t="shared" si="182"/>
        <v>4093RN153</v>
      </c>
      <c r="AE701">
        <f t="shared" ca="1" si="193"/>
        <v>0</v>
      </c>
      <c r="AF701" t="str">
        <f t="shared" ca="1" si="194"/>
        <v/>
      </c>
      <c r="AG701">
        <v>171</v>
      </c>
      <c r="AH701" t="s">
        <v>136</v>
      </c>
      <c r="AI701" t="str">
        <f t="shared" si="183"/>
        <v>Lutheran Home 25</v>
      </c>
      <c r="AJ701" t="str">
        <f t="shared" si="184"/>
        <v>Green Bay</v>
      </c>
      <c r="AK701" t="str">
        <f t="shared" si="185"/>
        <v>WI</v>
      </c>
    </row>
    <row r="702" spans="18:37" x14ac:dyDescent="0.25">
      <c r="S702">
        <v>444</v>
      </c>
      <c r="T702">
        <f t="shared" si="181"/>
        <v>129</v>
      </c>
      <c r="U702">
        <f t="shared" si="186"/>
        <v>26053</v>
      </c>
      <c r="V702">
        <f t="shared" ca="1" si="187"/>
        <v>0</v>
      </c>
      <c r="W702">
        <v>171</v>
      </c>
      <c r="X702" t="str">
        <f t="shared" ca="1" si="188"/>
        <v/>
      </c>
      <c r="Y702" t="s">
        <v>32</v>
      </c>
      <c r="Z702">
        <f t="shared" ca="1" si="189"/>
        <v>0</v>
      </c>
      <c r="AA702" t="str">
        <f t="shared" ca="1" si="190"/>
        <v>SPPN</v>
      </c>
      <c r="AB702">
        <f t="shared" ca="1" si="191"/>
        <v>1</v>
      </c>
      <c r="AC702">
        <f t="shared" ca="1" si="192"/>
        <v>0</v>
      </c>
      <c r="AD702" t="str">
        <f t="shared" si="182"/>
        <v>4093RN153</v>
      </c>
      <c r="AE702">
        <f t="shared" ca="1" si="193"/>
        <v>0</v>
      </c>
      <c r="AF702" t="str">
        <f t="shared" ca="1" si="194"/>
        <v/>
      </c>
      <c r="AG702">
        <v>171</v>
      </c>
      <c r="AH702" t="s">
        <v>136</v>
      </c>
      <c r="AI702" t="str">
        <f t="shared" si="183"/>
        <v>Lutheran Home 25</v>
      </c>
      <c r="AJ702" t="str">
        <f t="shared" si="184"/>
        <v>Green Bay</v>
      </c>
      <c r="AK702" t="str">
        <f t="shared" si="185"/>
        <v>WI</v>
      </c>
    </row>
    <row r="703" spans="18:37" x14ac:dyDescent="0.25">
      <c r="R703">
        <v>1</v>
      </c>
      <c r="S703">
        <v>445</v>
      </c>
      <c r="T703">
        <f t="shared" si="181"/>
        <v>129</v>
      </c>
      <c r="U703">
        <f t="shared" si="186"/>
        <v>26053</v>
      </c>
      <c r="V703">
        <f t="shared" ca="1" si="187"/>
        <v>0</v>
      </c>
      <c r="W703">
        <v>172</v>
      </c>
      <c r="X703" t="str">
        <f t="shared" ca="1" si="188"/>
        <v/>
      </c>
      <c r="Y703" t="s">
        <v>9</v>
      </c>
      <c r="Z703">
        <f t="shared" ca="1" si="189"/>
        <v>0</v>
      </c>
      <c r="AA703" t="str">
        <f t="shared" ca="1" si="190"/>
        <v>SPPN</v>
      </c>
      <c r="AB703">
        <f t="shared" ca="1" si="191"/>
        <v>1</v>
      </c>
      <c r="AC703" t="str">
        <f t="shared" ca="1" si="192"/>
        <v/>
      </c>
      <c r="AD703" t="str">
        <f t="shared" si="182"/>
        <v>4093RN153</v>
      </c>
      <c r="AE703">
        <f t="shared" ca="1" si="193"/>
        <v>0</v>
      </c>
      <c r="AF703" t="str">
        <f t="shared" ca="1" si="194"/>
        <v/>
      </c>
      <c r="AG703">
        <v>172</v>
      </c>
      <c r="AH703" t="s">
        <v>136</v>
      </c>
      <c r="AI703" t="str">
        <f t="shared" si="183"/>
        <v>Lutheran Home 25</v>
      </c>
      <c r="AJ703" t="str">
        <f t="shared" si="184"/>
        <v>Green Bay</v>
      </c>
      <c r="AK703" t="str">
        <f t="shared" si="185"/>
        <v>WI</v>
      </c>
    </row>
    <row r="704" spans="18:37" x14ac:dyDescent="0.25">
      <c r="S704">
        <v>446</v>
      </c>
      <c r="T704">
        <f t="shared" si="181"/>
        <v>129</v>
      </c>
      <c r="U704">
        <f t="shared" si="186"/>
        <v>26053</v>
      </c>
      <c r="V704">
        <f t="shared" ca="1" si="187"/>
        <v>0</v>
      </c>
      <c r="W704">
        <v>172</v>
      </c>
      <c r="X704" t="str">
        <f t="shared" ca="1" si="188"/>
        <v/>
      </c>
      <c r="Y704" t="s">
        <v>33</v>
      </c>
      <c r="Z704">
        <f t="shared" ca="1" si="189"/>
        <v>0</v>
      </c>
      <c r="AA704" t="str">
        <f t="shared" ca="1" si="190"/>
        <v>SPPN</v>
      </c>
      <c r="AB704">
        <f t="shared" ca="1" si="191"/>
        <v>1</v>
      </c>
      <c r="AC704" t="str">
        <f t="shared" ca="1" si="192"/>
        <v/>
      </c>
      <c r="AD704" t="str">
        <f t="shared" si="182"/>
        <v>4093RN153</v>
      </c>
      <c r="AE704">
        <f t="shared" ca="1" si="193"/>
        <v>0</v>
      </c>
      <c r="AF704" t="str">
        <f t="shared" ca="1" si="194"/>
        <v/>
      </c>
      <c r="AG704">
        <v>172</v>
      </c>
      <c r="AH704" t="s">
        <v>136</v>
      </c>
      <c r="AI704" t="str">
        <f t="shared" si="183"/>
        <v>Lutheran Home 25</v>
      </c>
      <c r="AJ704" t="str">
        <f t="shared" si="184"/>
        <v>Green Bay</v>
      </c>
      <c r="AK704" t="str">
        <f t="shared" si="185"/>
        <v>WI</v>
      </c>
    </row>
    <row r="705" spans="18:37" x14ac:dyDescent="0.25">
      <c r="S705">
        <v>447</v>
      </c>
      <c r="T705">
        <f t="shared" si="181"/>
        <v>129</v>
      </c>
      <c r="U705">
        <f t="shared" si="186"/>
        <v>26053</v>
      </c>
      <c r="V705">
        <f t="shared" ca="1" si="187"/>
        <v>0</v>
      </c>
      <c r="W705">
        <v>172</v>
      </c>
      <c r="X705" t="str">
        <f t="shared" ca="1" si="188"/>
        <v/>
      </c>
      <c r="Y705" t="s">
        <v>28</v>
      </c>
      <c r="Z705">
        <f t="shared" ca="1" si="189"/>
        <v>0</v>
      </c>
      <c r="AA705" t="str">
        <f t="shared" ca="1" si="190"/>
        <v>SPPN</v>
      </c>
      <c r="AB705">
        <f t="shared" ca="1" si="191"/>
        <v>1</v>
      </c>
      <c r="AC705">
        <f t="shared" ca="1" si="192"/>
        <v>0</v>
      </c>
      <c r="AD705" t="str">
        <f t="shared" si="182"/>
        <v>4093RN153</v>
      </c>
      <c r="AE705">
        <f t="shared" ca="1" si="193"/>
        <v>0</v>
      </c>
      <c r="AF705" t="str">
        <f t="shared" ca="1" si="194"/>
        <v/>
      </c>
      <c r="AG705">
        <v>172</v>
      </c>
      <c r="AH705" t="s">
        <v>136</v>
      </c>
      <c r="AI705" t="str">
        <f t="shared" si="183"/>
        <v>Lutheran Home 25</v>
      </c>
      <c r="AJ705" t="str">
        <f t="shared" si="184"/>
        <v>Green Bay</v>
      </c>
      <c r="AK705" t="str">
        <f t="shared" si="185"/>
        <v>WI</v>
      </c>
    </row>
    <row r="706" spans="18:37" x14ac:dyDescent="0.25">
      <c r="S706">
        <v>448</v>
      </c>
      <c r="T706">
        <f t="shared" si="181"/>
        <v>129</v>
      </c>
      <c r="U706">
        <f t="shared" si="186"/>
        <v>26053</v>
      </c>
      <c r="V706">
        <f t="shared" ca="1" si="187"/>
        <v>0</v>
      </c>
      <c r="W706">
        <v>172</v>
      </c>
      <c r="X706" t="str">
        <f t="shared" ca="1" si="188"/>
        <v/>
      </c>
      <c r="Y706" t="s">
        <v>32</v>
      </c>
      <c r="Z706">
        <f t="shared" ca="1" si="189"/>
        <v>0</v>
      </c>
      <c r="AA706" t="str">
        <f t="shared" ca="1" si="190"/>
        <v>SPPN</v>
      </c>
      <c r="AB706">
        <f t="shared" ca="1" si="191"/>
        <v>1</v>
      </c>
      <c r="AC706">
        <f t="shared" ca="1" si="192"/>
        <v>0</v>
      </c>
      <c r="AD706" t="str">
        <f t="shared" si="182"/>
        <v>4093RN153</v>
      </c>
      <c r="AE706">
        <f t="shared" ca="1" si="193"/>
        <v>0</v>
      </c>
      <c r="AF706" t="str">
        <f t="shared" ca="1" si="194"/>
        <v/>
      </c>
      <c r="AG706">
        <v>172</v>
      </c>
      <c r="AH706" t="s">
        <v>136</v>
      </c>
      <c r="AI706" t="str">
        <f t="shared" si="183"/>
        <v>Lutheran Home 25</v>
      </c>
      <c r="AJ706" t="str">
        <f t="shared" si="184"/>
        <v>Green Bay</v>
      </c>
      <c r="AK706" t="str">
        <f t="shared" si="185"/>
        <v>WI</v>
      </c>
    </row>
    <row r="707" spans="18:37" x14ac:dyDescent="0.25">
      <c r="R707">
        <v>1</v>
      </c>
      <c r="S707">
        <v>449</v>
      </c>
      <c r="T707">
        <f t="shared" si="181"/>
        <v>129</v>
      </c>
      <c r="U707">
        <f t="shared" si="186"/>
        <v>26053</v>
      </c>
      <c r="V707">
        <f t="shared" ca="1" si="187"/>
        <v>0</v>
      </c>
      <c r="W707">
        <v>173</v>
      </c>
      <c r="X707" t="str">
        <f t="shared" ca="1" si="188"/>
        <v/>
      </c>
      <c r="Y707" t="s">
        <v>9</v>
      </c>
      <c r="Z707">
        <f t="shared" ca="1" si="189"/>
        <v>0</v>
      </c>
      <c r="AA707" t="str">
        <f t="shared" ca="1" si="190"/>
        <v>SPPN</v>
      </c>
      <c r="AB707">
        <f t="shared" ca="1" si="191"/>
        <v>1</v>
      </c>
      <c r="AC707" t="str">
        <f t="shared" ca="1" si="192"/>
        <v/>
      </c>
      <c r="AD707" t="str">
        <f t="shared" si="182"/>
        <v>4093RN153</v>
      </c>
      <c r="AE707">
        <f t="shared" ca="1" si="193"/>
        <v>0</v>
      </c>
      <c r="AF707" t="str">
        <f t="shared" ca="1" si="194"/>
        <v/>
      </c>
      <c r="AG707">
        <v>173</v>
      </c>
      <c r="AH707" t="s">
        <v>136</v>
      </c>
      <c r="AI707" t="str">
        <f t="shared" si="183"/>
        <v>Lutheran Home 25</v>
      </c>
      <c r="AJ707" t="str">
        <f t="shared" si="184"/>
        <v>Green Bay</v>
      </c>
      <c r="AK707" t="str">
        <f t="shared" si="185"/>
        <v>WI</v>
      </c>
    </row>
    <row r="708" spans="18:37" x14ac:dyDescent="0.25">
      <c r="S708">
        <v>450</v>
      </c>
      <c r="T708">
        <f t="shared" si="181"/>
        <v>129</v>
      </c>
      <c r="U708">
        <f t="shared" si="186"/>
        <v>26053</v>
      </c>
      <c r="V708">
        <f t="shared" ca="1" si="187"/>
        <v>0</v>
      </c>
      <c r="W708">
        <v>173</v>
      </c>
      <c r="X708" t="str">
        <f t="shared" ca="1" si="188"/>
        <v/>
      </c>
      <c r="Y708" t="s">
        <v>33</v>
      </c>
      <c r="Z708">
        <f t="shared" ca="1" si="189"/>
        <v>0</v>
      </c>
      <c r="AA708" t="str">
        <f t="shared" ca="1" si="190"/>
        <v>SPPN</v>
      </c>
      <c r="AB708">
        <f t="shared" ca="1" si="191"/>
        <v>1</v>
      </c>
      <c r="AC708" t="str">
        <f t="shared" ca="1" si="192"/>
        <v/>
      </c>
      <c r="AD708" t="str">
        <f t="shared" si="182"/>
        <v>4093RN153</v>
      </c>
      <c r="AE708">
        <f t="shared" ca="1" si="193"/>
        <v>0</v>
      </c>
      <c r="AF708" t="str">
        <f t="shared" ca="1" si="194"/>
        <v/>
      </c>
      <c r="AG708">
        <v>173</v>
      </c>
      <c r="AH708" t="s">
        <v>136</v>
      </c>
      <c r="AI708" t="str">
        <f t="shared" si="183"/>
        <v>Lutheran Home 25</v>
      </c>
      <c r="AJ708" t="str">
        <f t="shared" si="184"/>
        <v>Green Bay</v>
      </c>
      <c r="AK708" t="str">
        <f t="shared" si="185"/>
        <v>WI</v>
      </c>
    </row>
    <row r="709" spans="18:37" x14ac:dyDescent="0.25">
      <c r="S709">
        <v>451</v>
      </c>
      <c r="T709">
        <f t="shared" si="181"/>
        <v>129</v>
      </c>
      <c r="U709">
        <f t="shared" si="186"/>
        <v>26053</v>
      </c>
      <c r="V709">
        <f t="shared" ca="1" si="187"/>
        <v>0</v>
      </c>
      <c r="W709">
        <v>173</v>
      </c>
      <c r="X709" t="str">
        <f t="shared" ca="1" si="188"/>
        <v/>
      </c>
      <c r="Y709" t="s">
        <v>28</v>
      </c>
      <c r="Z709">
        <f t="shared" ca="1" si="189"/>
        <v>0</v>
      </c>
      <c r="AA709" t="str">
        <f t="shared" ca="1" si="190"/>
        <v>SPPN</v>
      </c>
      <c r="AB709">
        <f t="shared" ca="1" si="191"/>
        <v>1</v>
      </c>
      <c r="AC709">
        <f t="shared" ca="1" si="192"/>
        <v>0</v>
      </c>
      <c r="AD709" t="str">
        <f t="shared" si="182"/>
        <v>4093RN153</v>
      </c>
      <c r="AE709">
        <f t="shared" ca="1" si="193"/>
        <v>0</v>
      </c>
      <c r="AF709" t="str">
        <f t="shared" ca="1" si="194"/>
        <v/>
      </c>
      <c r="AG709">
        <v>173</v>
      </c>
      <c r="AH709" t="s">
        <v>136</v>
      </c>
      <c r="AI709" t="str">
        <f t="shared" si="183"/>
        <v>Lutheran Home 25</v>
      </c>
      <c r="AJ709" t="str">
        <f t="shared" si="184"/>
        <v>Green Bay</v>
      </c>
      <c r="AK709" t="str">
        <f t="shared" si="185"/>
        <v>WI</v>
      </c>
    </row>
    <row r="710" spans="18:37" x14ac:dyDescent="0.25">
      <c r="S710">
        <v>452</v>
      </c>
      <c r="T710">
        <f t="shared" si="181"/>
        <v>129</v>
      </c>
      <c r="U710">
        <f t="shared" si="186"/>
        <v>26053</v>
      </c>
      <c r="V710">
        <f t="shared" ca="1" si="187"/>
        <v>0</v>
      </c>
      <c r="W710">
        <v>173</v>
      </c>
      <c r="X710" t="str">
        <f t="shared" ca="1" si="188"/>
        <v/>
      </c>
      <c r="Y710" t="s">
        <v>32</v>
      </c>
      <c r="Z710">
        <f t="shared" ca="1" si="189"/>
        <v>0</v>
      </c>
      <c r="AA710" t="str">
        <f t="shared" ca="1" si="190"/>
        <v>SPPN</v>
      </c>
      <c r="AB710">
        <f t="shared" ca="1" si="191"/>
        <v>1</v>
      </c>
      <c r="AC710">
        <f t="shared" ca="1" si="192"/>
        <v>0</v>
      </c>
      <c r="AD710" t="str">
        <f t="shared" si="182"/>
        <v>4093RN153</v>
      </c>
      <c r="AE710">
        <f t="shared" ca="1" si="193"/>
        <v>0</v>
      </c>
      <c r="AF710" t="str">
        <f t="shared" ca="1" si="194"/>
        <v/>
      </c>
      <c r="AG710">
        <v>173</v>
      </c>
      <c r="AH710" t="s">
        <v>136</v>
      </c>
      <c r="AI710" t="str">
        <f t="shared" si="183"/>
        <v>Lutheran Home 25</v>
      </c>
      <c r="AJ710" t="str">
        <f t="shared" si="184"/>
        <v>Green Bay</v>
      </c>
      <c r="AK710" t="str">
        <f t="shared" si="185"/>
        <v>WI</v>
      </c>
    </row>
    <row r="711" spans="18:37" x14ac:dyDescent="0.25">
      <c r="R711">
        <v>1</v>
      </c>
      <c r="S711">
        <v>453</v>
      </c>
      <c r="T711">
        <f t="shared" si="181"/>
        <v>129</v>
      </c>
      <c r="U711">
        <f t="shared" si="186"/>
        <v>26053</v>
      </c>
      <c r="V711">
        <f t="shared" ca="1" si="187"/>
        <v>0</v>
      </c>
      <c r="W711">
        <v>174</v>
      </c>
      <c r="X711" t="str">
        <f t="shared" ca="1" si="188"/>
        <v/>
      </c>
      <c r="Y711" t="s">
        <v>9</v>
      </c>
      <c r="Z711">
        <f t="shared" ca="1" si="189"/>
        <v>0</v>
      </c>
      <c r="AA711" t="str">
        <f t="shared" ca="1" si="190"/>
        <v>SPPN</v>
      </c>
      <c r="AB711">
        <f t="shared" ca="1" si="191"/>
        <v>1</v>
      </c>
      <c r="AC711" t="str">
        <f t="shared" ca="1" si="192"/>
        <v/>
      </c>
      <c r="AD711" t="str">
        <f t="shared" si="182"/>
        <v>4093RN153</v>
      </c>
      <c r="AE711">
        <f t="shared" ca="1" si="193"/>
        <v>0</v>
      </c>
      <c r="AF711" t="str">
        <f t="shared" ca="1" si="194"/>
        <v/>
      </c>
      <c r="AG711">
        <v>174</v>
      </c>
      <c r="AH711" t="s">
        <v>136</v>
      </c>
      <c r="AI711" t="str">
        <f t="shared" si="183"/>
        <v>Lutheran Home 25</v>
      </c>
      <c r="AJ711" t="str">
        <f t="shared" si="184"/>
        <v>Green Bay</v>
      </c>
      <c r="AK711" t="str">
        <f t="shared" si="185"/>
        <v>WI</v>
      </c>
    </row>
    <row r="712" spans="18:37" x14ac:dyDescent="0.25">
      <c r="S712">
        <v>454</v>
      </c>
      <c r="T712">
        <f t="shared" si="181"/>
        <v>129</v>
      </c>
      <c r="U712">
        <f t="shared" si="186"/>
        <v>26053</v>
      </c>
      <c r="V712">
        <f t="shared" ca="1" si="187"/>
        <v>0</v>
      </c>
      <c r="W712">
        <v>174</v>
      </c>
      <c r="X712" t="str">
        <f t="shared" ca="1" si="188"/>
        <v/>
      </c>
      <c r="Y712" t="s">
        <v>33</v>
      </c>
      <c r="Z712">
        <f t="shared" ca="1" si="189"/>
        <v>0</v>
      </c>
      <c r="AA712" t="str">
        <f t="shared" ca="1" si="190"/>
        <v>SPPN</v>
      </c>
      <c r="AB712">
        <f t="shared" ca="1" si="191"/>
        <v>1</v>
      </c>
      <c r="AC712" t="str">
        <f t="shared" ca="1" si="192"/>
        <v/>
      </c>
      <c r="AD712" t="str">
        <f t="shared" si="182"/>
        <v>4093RN153</v>
      </c>
      <c r="AE712">
        <f t="shared" ca="1" si="193"/>
        <v>0</v>
      </c>
      <c r="AF712" t="str">
        <f t="shared" ca="1" si="194"/>
        <v/>
      </c>
      <c r="AG712">
        <v>174</v>
      </c>
      <c r="AH712" t="s">
        <v>136</v>
      </c>
      <c r="AI712" t="str">
        <f t="shared" si="183"/>
        <v>Lutheran Home 25</v>
      </c>
      <c r="AJ712" t="str">
        <f t="shared" si="184"/>
        <v>Green Bay</v>
      </c>
      <c r="AK712" t="str">
        <f t="shared" si="185"/>
        <v>WI</v>
      </c>
    </row>
    <row r="713" spans="18:37" x14ac:dyDescent="0.25">
      <c r="S713">
        <v>455</v>
      </c>
      <c r="T713">
        <f t="shared" si="181"/>
        <v>129</v>
      </c>
      <c r="U713">
        <f t="shared" si="186"/>
        <v>26053</v>
      </c>
      <c r="V713">
        <f t="shared" ca="1" si="187"/>
        <v>0</v>
      </c>
      <c r="W713">
        <v>174</v>
      </c>
      <c r="X713" t="str">
        <f t="shared" ca="1" si="188"/>
        <v/>
      </c>
      <c r="Y713" t="s">
        <v>28</v>
      </c>
      <c r="Z713">
        <f t="shared" ca="1" si="189"/>
        <v>0</v>
      </c>
      <c r="AA713" t="str">
        <f t="shared" ca="1" si="190"/>
        <v>SPPN</v>
      </c>
      <c r="AB713">
        <f t="shared" ca="1" si="191"/>
        <v>1</v>
      </c>
      <c r="AC713">
        <f t="shared" ca="1" si="192"/>
        <v>0</v>
      </c>
      <c r="AD713" t="str">
        <f t="shared" si="182"/>
        <v>4093RN153</v>
      </c>
      <c r="AE713">
        <f t="shared" ca="1" si="193"/>
        <v>0</v>
      </c>
      <c r="AF713" t="str">
        <f t="shared" ca="1" si="194"/>
        <v/>
      </c>
      <c r="AG713">
        <v>174</v>
      </c>
      <c r="AH713" t="s">
        <v>136</v>
      </c>
      <c r="AI713" t="str">
        <f t="shared" si="183"/>
        <v>Lutheran Home 25</v>
      </c>
      <c r="AJ713" t="str">
        <f t="shared" si="184"/>
        <v>Green Bay</v>
      </c>
      <c r="AK713" t="str">
        <f t="shared" si="185"/>
        <v>WI</v>
      </c>
    </row>
    <row r="714" spans="18:37" x14ac:dyDescent="0.25">
      <c r="S714">
        <v>456</v>
      </c>
      <c r="T714">
        <f t="shared" si="181"/>
        <v>129</v>
      </c>
      <c r="U714">
        <f t="shared" si="186"/>
        <v>26053</v>
      </c>
      <c r="V714">
        <f t="shared" ca="1" si="187"/>
        <v>0</v>
      </c>
      <c r="W714">
        <v>174</v>
      </c>
      <c r="X714" t="str">
        <f t="shared" ca="1" si="188"/>
        <v/>
      </c>
      <c r="Y714" t="s">
        <v>32</v>
      </c>
      <c r="Z714">
        <f t="shared" ca="1" si="189"/>
        <v>0</v>
      </c>
      <c r="AA714" t="str">
        <f t="shared" ca="1" si="190"/>
        <v>SPPN</v>
      </c>
      <c r="AB714">
        <f t="shared" ca="1" si="191"/>
        <v>1</v>
      </c>
      <c r="AC714">
        <f t="shared" ca="1" si="192"/>
        <v>0</v>
      </c>
      <c r="AD714" t="str">
        <f t="shared" si="182"/>
        <v>4093RN153</v>
      </c>
      <c r="AE714">
        <f t="shared" ca="1" si="193"/>
        <v>0</v>
      </c>
      <c r="AF714" t="str">
        <f t="shared" ca="1" si="194"/>
        <v/>
      </c>
      <c r="AG714">
        <v>174</v>
      </c>
      <c r="AH714" t="s">
        <v>136</v>
      </c>
      <c r="AI714" t="str">
        <f t="shared" si="183"/>
        <v>Lutheran Home 25</v>
      </c>
      <c r="AJ714" t="str">
        <f t="shared" si="184"/>
        <v>Green Bay</v>
      </c>
      <c r="AK714" t="str">
        <f t="shared" si="185"/>
        <v>WI</v>
      </c>
    </row>
    <row r="715" spans="18:37" x14ac:dyDescent="0.25">
      <c r="R715">
        <v>1</v>
      </c>
      <c r="S715">
        <v>457</v>
      </c>
      <c r="T715">
        <f t="shared" si="181"/>
        <v>129</v>
      </c>
      <c r="U715">
        <f t="shared" si="186"/>
        <v>26053</v>
      </c>
      <c r="V715">
        <f t="shared" ca="1" si="187"/>
        <v>0</v>
      </c>
      <c r="W715">
        <v>175</v>
      </c>
      <c r="X715" t="str">
        <f t="shared" ca="1" si="188"/>
        <v/>
      </c>
      <c r="Y715" t="s">
        <v>9</v>
      </c>
      <c r="Z715">
        <f t="shared" ca="1" si="189"/>
        <v>0</v>
      </c>
      <c r="AA715" t="str">
        <f t="shared" ca="1" si="190"/>
        <v>SPPN</v>
      </c>
      <c r="AB715">
        <f t="shared" ca="1" si="191"/>
        <v>1</v>
      </c>
      <c r="AC715" t="str">
        <f t="shared" ca="1" si="192"/>
        <v/>
      </c>
      <c r="AD715" t="str">
        <f t="shared" si="182"/>
        <v>4093RN153</v>
      </c>
      <c r="AE715">
        <f t="shared" ca="1" si="193"/>
        <v>0</v>
      </c>
      <c r="AF715" t="str">
        <f t="shared" ca="1" si="194"/>
        <v/>
      </c>
      <c r="AG715">
        <v>175</v>
      </c>
      <c r="AH715" t="s">
        <v>136</v>
      </c>
      <c r="AI715" t="str">
        <f t="shared" si="183"/>
        <v>Lutheran Home 25</v>
      </c>
      <c r="AJ715" t="str">
        <f t="shared" si="184"/>
        <v>Green Bay</v>
      </c>
      <c r="AK715" t="str">
        <f t="shared" si="185"/>
        <v>WI</v>
      </c>
    </row>
    <row r="716" spans="18:37" x14ac:dyDescent="0.25">
      <c r="S716">
        <v>458</v>
      </c>
      <c r="T716">
        <f t="shared" si="181"/>
        <v>129</v>
      </c>
      <c r="U716">
        <f t="shared" si="186"/>
        <v>26053</v>
      </c>
      <c r="V716">
        <f t="shared" ca="1" si="187"/>
        <v>0</v>
      </c>
      <c r="W716">
        <v>175</v>
      </c>
      <c r="X716" t="str">
        <f t="shared" ca="1" si="188"/>
        <v/>
      </c>
      <c r="Y716" t="s">
        <v>33</v>
      </c>
      <c r="Z716">
        <f t="shared" ca="1" si="189"/>
        <v>0</v>
      </c>
      <c r="AA716" t="str">
        <f t="shared" ca="1" si="190"/>
        <v>SPPN</v>
      </c>
      <c r="AB716">
        <f t="shared" ca="1" si="191"/>
        <v>1</v>
      </c>
      <c r="AC716" t="str">
        <f t="shared" ca="1" si="192"/>
        <v/>
      </c>
      <c r="AD716" t="str">
        <f t="shared" si="182"/>
        <v>4093RN153</v>
      </c>
      <c r="AE716">
        <f t="shared" ca="1" si="193"/>
        <v>0</v>
      </c>
      <c r="AF716" t="str">
        <f t="shared" ca="1" si="194"/>
        <v/>
      </c>
      <c r="AG716">
        <v>175</v>
      </c>
      <c r="AH716" t="s">
        <v>136</v>
      </c>
      <c r="AI716" t="str">
        <f t="shared" si="183"/>
        <v>Lutheran Home 25</v>
      </c>
      <c r="AJ716" t="str">
        <f t="shared" si="184"/>
        <v>Green Bay</v>
      </c>
      <c r="AK716" t="str">
        <f t="shared" si="185"/>
        <v>WI</v>
      </c>
    </row>
    <row r="717" spans="18:37" x14ac:dyDescent="0.25">
      <c r="S717">
        <v>459</v>
      </c>
      <c r="T717">
        <f t="shared" si="181"/>
        <v>129</v>
      </c>
      <c r="U717">
        <f t="shared" si="186"/>
        <v>26053</v>
      </c>
      <c r="V717">
        <f t="shared" ca="1" si="187"/>
        <v>0</v>
      </c>
      <c r="W717">
        <v>175</v>
      </c>
      <c r="X717" t="str">
        <f t="shared" ca="1" si="188"/>
        <v/>
      </c>
      <c r="Y717" t="s">
        <v>28</v>
      </c>
      <c r="Z717">
        <f t="shared" ca="1" si="189"/>
        <v>0</v>
      </c>
      <c r="AA717" t="str">
        <f t="shared" ca="1" si="190"/>
        <v>SPPN</v>
      </c>
      <c r="AB717">
        <f t="shared" ca="1" si="191"/>
        <v>1</v>
      </c>
      <c r="AC717">
        <f t="shared" ca="1" si="192"/>
        <v>0</v>
      </c>
      <c r="AD717" t="str">
        <f t="shared" si="182"/>
        <v>4093RN153</v>
      </c>
      <c r="AE717">
        <f t="shared" ca="1" si="193"/>
        <v>0</v>
      </c>
      <c r="AF717" t="str">
        <f t="shared" ca="1" si="194"/>
        <v/>
      </c>
      <c r="AG717">
        <v>175</v>
      </c>
      <c r="AH717" t="s">
        <v>136</v>
      </c>
      <c r="AI717" t="str">
        <f t="shared" si="183"/>
        <v>Lutheran Home 25</v>
      </c>
      <c r="AJ717" t="str">
        <f t="shared" si="184"/>
        <v>Green Bay</v>
      </c>
      <c r="AK717" t="str">
        <f t="shared" si="185"/>
        <v>WI</v>
      </c>
    </row>
    <row r="718" spans="18:37" x14ac:dyDescent="0.25">
      <c r="S718">
        <v>460</v>
      </c>
      <c r="T718">
        <f t="shared" si="181"/>
        <v>129</v>
      </c>
      <c r="U718">
        <f t="shared" si="186"/>
        <v>26053</v>
      </c>
      <c r="V718">
        <f t="shared" ca="1" si="187"/>
        <v>0</v>
      </c>
      <c r="W718">
        <v>175</v>
      </c>
      <c r="X718" t="str">
        <f t="shared" ca="1" si="188"/>
        <v/>
      </c>
      <c r="Y718" t="s">
        <v>32</v>
      </c>
      <c r="Z718">
        <f t="shared" ca="1" si="189"/>
        <v>0</v>
      </c>
      <c r="AA718" t="str">
        <f t="shared" ca="1" si="190"/>
        <v>SPPN</v>
      </c>
      <c r="AB718">
        <f t="shared" ca="1" si="191"/>
        <v>1</v>
      </c>
      <c r="AC718">
        <f t="shared" ca="1" si="192"/>
        <v>0</v>
      </c>
      <c r="AD718" t="str">
        <f t="shared" si="182"/>
        <v>4093RN153</v>
      </c>
      <c r="AE718">
        <f t="shared" ca="1" si="193"/>
        <v>0</v>
      </c>
      <c r="AF718" t="str">
        <f t="shared" ca="1" si="194"/>
        <v/>
      </c>
      <c r="AG718">
        <v>175</v>
      </c>
      <c r="AH718" t="s">
        <v>136</v>
      </c>
      <c r="AI718" t="str">
        <f t="shared" si="183"/>
        <v>Lutheran Home 25</v>
      </c>
      <c r="AJ718" t="str">
        <f t="shared" si="184"/>
        <v>Green Bay</v>
      </c>
      <c r="AK718" t="str">
        <f t="shared" si="185"/>
        <v>WI</v>
      </c>
    </row>
    <row r="719" spans="18:37" x14ac:dyDescent="0.25">
      <c r="R719">
        <v>1</v>
      </c>
      <c r="S719">
        <v>461</v>
      </c>
      <c r="T719">
        <f t="shared" si="181"/>
        <v>129</v>
      </c>
      <c r="U719">
        <f t="shared" si="186"/>
        <v>26053</v>
      </c>
      <c r="V719">
        <f t="shared" ca="1" si="187"/>
        <v>0</v>
      </c>
      <c r="W719">
        <v>176</v>
      </c>
      <c r="X719" t="str">
        <f t="shared" ca="1" si="188"/>
        <v/>
      </c>
      <c r="Y719" t="s">
        <v>9</v>
      </c>
      <c r="Z719">
        <f t="shared" ca="1" si="189"/>
        <v>0</v>
      </c>
      <c r="AA719" t="str">
        <f t="shared" ca="1" si="190"/>
        <v>SPPN</v>
      </c>
      <c r="AB719">
        <f t="shared" ca="1" si="191"/>
        <v>1</v>
      </c>
      <c r="AC719" t="str">
        <f t="shared" ca="1" si="192"/>
        <v/>
      </c>
      <c r="AD719" t="str">
        <f t="shared" si="182"/>
        <v>4093RN153</v>
      </c>
      <c r="AE719">
        <f t="shared" ca="1" si="193"/>
        <v>0</v>
      </c>
      <c r="AF719" t="str">
        <f t="shared" ca="1" si="194"/>
        <v/>
      </c>
      <c r="AG719">
        <v>176</v>
      </c>
      <c r="AH719" t="s">
        <v>136</v>
      </c>
      <c r="AI719" t="str">
        <f t="shared" si="183"/>
        <v>Lutheran Home 25</v>
      </c>
      <c r="AJ719" t="str">
        <f t="shared" si="184"/>
        <v>Green Bay</v>
      </c>
      <c r="AK719" t="str">
        <f t="shared" si="185"/>
        <v>WI</v>
      </c>
    </row>
    <row r="720" spans="18:37" x14ac:dyDescent="0.25">
      <c r="S720">
        <v>462</v>
      </c>
      <c r="T720">
        <f t="shared" si="181"/>
        <v>129</v>
      </c>
      <c r="U720">
        <f t="shared" si="186"/>
        <v>26053</v>
      </c>
      <c r="V720">
        <f t="shared" ca="1" si="187"/>
        <v>0</v>
      </c>
      <c r="W720">
        <v>176</v>
      </c>
      <c r="X720" t="str">
        <f t="shared" ca="1" si="188"/>
        <v/>
      </c>
      <c r="Y720" t="s">
        <v>33</v>
      </c>
      <c r="Z720">
        <f t="shared" ca="1" si="189"/>
        <v>0</v>
      </c>
      <c r="AA720" t="str">
        <f t="shared" ca="1" si="190"/>
        <v>SPPN</v>
      </c>
      <c r="AB720">
        <f t="shared" ca="1" si="191"/>
        <v>1</v>
      </c>
      <c r="AC720" t="str">
        <f t="shared" ca="1" si="192"/>
        <v/>
      </c>
      <c r="AD720" t="str">
        <f t="shared" si="182"/>
        <v>4093RN153</v>
      </c>
      <c r="AE720">
        <f t="shared" ca="1" si="193"/>
        <v>0</v>
      </c>
      <c r="AF720" t="str">
        <f t="shared" ca="1" si="194"/>
        <v/>
      </c>
      <c r="AG720">
        <v>176</v>
      </c>
      <c r="AH720" t="s">
        <v>136</v>
      </c>
      <c r="AI720" t="str">
        <f t="shared" si="183"/>
        <v>Lutheran Home 25</v>
      </c>
      <c r="AJ720" t="str">
        <f t="shared" si="184"/>
        <v>Green Bay</v>
      </c>
      <c r="AK720" t="str">
        <f t="shared" si="185"/>
        <v>WI</v>
      </c>
    </row>
    <row r="721" spans="18:37" x14ac:dyDescent="0.25">
      <c r="S721">
        <v>463</v>
      </c>
      <c r="T721">
        <f t="shared" si="181"/>
        <v>129</v>
      </c>
      <c r="U721">
        <f t="shared" si="186"/>
        <v>26053</v>
      </c>
      <c r="V721">
        <f t="shared" ca="1" si="187"/>
        <v>0</v>
      </c>
      <c r="W721">
        <v>176</v>
      </c>
      <c r="X721" t="str">
        <f t="shared" ca="1" si="188"/>
        <v/>
      </c>
      <c r="Y721" t="s">
        <v>28</v>
      </c>
      <c r="Z721">
        <f t="shared" ca="1" si="189"/>
        <v>0</v>
      </c>
      <c r="AA721" t="str">
        <f t="shared" ca="1" si="190"/>
        <v>SPPN</v>
      </c>
      <c r="AB721">
        <f t="shared" ca="1" si="191"/>
        <v>1</v>
      </c>
      <c r="AC721">
        <f t="shared" ca="1" si="192"/>
        <v>0</v>
      </c>
      <c r="AD721" t="str">
        <f t="shared" si="182"/>
        <v>4093RN153</v>
      </c>
      <c r="AE721">
        <f t="shared" ca="1" si="193"/>
        <v>0</v>
      </c>
      <c r="AF721" t="str">
        <f t="shared" ca="1" si="194"/>
        <v/>
      </c>
      <c r="AG721">
        <v>176</v>
      </c>
      <c r="AH721" t="s">
        <v>136</v>
      </c>
      <c r="AI721" t="str">
        <f t="shared" si="183"/>
        <v>Lutheran Home 25</v>
      </c>
      <c r="AJ721" t="str">
        <f t="shared" si="184"/>
        <v>Green Bay</v>
      </c>
      <c r="AK721" t="str">
        <f t="shared" si="185"/>
        <v>WI</v>
      </c>
    </row>
    <row r="722" spans="18:37" x14ac:dyDescent="0.25">
      <c r="S722">
        <v>464</v>
      </c>
      <c r="T722">
        <f t="shared" si="181"/>
        <v>129</v>
      </c>
      <c r="U722">
        <f t="shared" si="186"/>
        <v>26053</v>
      </c>
      <c r="V722">
        <f t="shared" ca="1" si="187"/>
        <v>0</v>
      </c>
      <c r="W722">
        <v>176</v>
      </c>
      <c r="X722" t="str">
        <f t="shared" ca="1" si="188"/>
        <v/>
      </c>
      <c r="Y722" t="s">
        <v>32</v>
      </c>
      <c r="Z722">
        <f t="shared" ca="1" si="189"/>
        <v>0</v>
      </c>
      <c r="AA722" t="str">
        <f t="shared" ca="1" si="190"/>
        <v>SPPN</v>
      </c>
      <c r="AB722">
        <f t="shared" ca="1" si="191"/>
        <v>1</v>
      </c>
      <c r="AC722">
        <f t="shared" ca="1" si="192"/>
        <v>0</v>
      </c>
      <c r="AD722" t="str">
        <f t="shared" si="182"/>
        <v>4093RN153</v>
      </c>
      <c r="AE722">
        <f t="shared" ca="1" si="193"/>
        <v>0</v>
      </c>
      <c r="AF722" t="str">
        <f t="shared" ca="1" si="194"/>
        <v/>
      </c>
      <c r="AG722">
        <v>176</v>
      </c>
      <c r="AH722" t="s">
        <v>136</v>
      </c>
      <c r="AI722" t="str">
        <f t="shared" si="183"/>
        <v>Lutheran Home 25</v>
      </c>
      <c r="AJ722" t="str">
        <f t="shared" si="184"/>
        <v>Green Bay</v>
      </c>
      <c r="AK722" t="str">
        <f t="shared" si="185"/>
        <v>WI</v>
      </c>
    </row>
    <row r="723" spans="18:37" x14ac:dyDescent="0.25">
      <c r="R723">
        <v>1</v>
      </c>
      <c r="S723">
        <v>465</v>
      </c>
      <c r="T723">
        <f t="shared" ref="T723:T786" si="195">$H$14</f>
        <v>129</v>
      </c>
      <c r="U723">
        <f t="shared" si="186"/>
        <v>26053</v>
      </c>
      <c r="V723">
        <f t="shared" ca="1" si="187"/>
        <v>0</v>
      </c>
      <c r="W723">
        <v>177</v>
      </c>
      <c r="X723" t="str">
        <f t="shared" ca="1" si="188"/>
        <v/>
      </c>
      <c r="Y723" t="s">
        <v>9</v>
      </c>
      <c r="Z723">
        <f t="shared" ca="1" si="189"/>
        <v>0</v>
      </c>
      <c r="AA723" t="str">
        <f t="shared" ca="1" si="190"/>
        <v>SPPN</v>
      </c>
      <c r="AB723">
        <f t="shared" ca="1" si="191"/>
        <v>1</v>
      </c>
      <c r="AC723" t="str">
        <f t="shared" ca="1" si="192"/>
        <v/>
      </c>
      <c r="AD723" t="str">
        <f t="shared" ref="AD723:AD786" si="196">$H$5</f>
        <v>4093RN153</v>
      </c>
      <c r="AE723">
        <f t="shared" ca="1" si="193"/>
        <v>0</v>
      </c>
      <c r="AF723" t="str">
        <f t="shared" ca="1" si="194"/>
        <v/>
      </c>
      <c r="AG723">
        <v>177</v>
      </c>
      <c r="AH723" t="s">
        <v>136</v>
      </c>
      <c r="AI723" t="str">
        <f t="shared" ref="AI723:AI786" si="197">$H$6</f>
        <v>Lutheran Home 25</v>
      </c>
      <c r="AJ723" t="str">
        <f t="shared" ref="AJ723:AJ786" si="198">$H$7</f>
        <v>Green Bay</v>
      </c>
      <c r="AK723" t="str">
        <f t="shared" ref="AK723:AK786" si="199">$H$8</f>
        <v>WI</v>
      </c>
    </row>
    <row r="724" spans="18:37" x14ac:dyDescent="0.25">
      <c r="S724">
        <v>466</v>
      </c>
      <c r="T724">
        <f t="shared" si="195"/>
        <v>129</v>
      </c>
      <c r="U724">
        <f t="shared" ref="U724:U787" si="200">$H$2</f>
        <v>26053</v>
      </c>
      <c r="V724">
        <f t="shared" ref="V724:V787" ca="1" si="201">(OFFSET($B$19,INT((ROW(A706)-1)/4),0))</f>
        <v>0</v>
      </c>
      <c r="W724">
        <v>177</v>
      </c>
      <c r="X724" t="str">
        <f t="shared" ref="X724:X787" ca="1" si="202">IF((OFFSET($J$19,INT((ROW(A706)-1)/4),0))="JE","JE",IF((OFFSET($J$19,INT((ROW(A706)-1)/4),0))="Drilled","JC",""))</f>
        <v/>
      </c>
      <c r="Y724" t="s">
        <v>33</v>
      </c>
      <c r="Z724">
        <f t="shared" ref="Z724:Z787" ca="1" si="203">(OFFSET($F$19,INT((ROW(A706)-1)/4),0))</f>
        <v>0</v>
      </c>
      <c r="AA724" t="str">
        <f t="shared" ref="AA724:AA787" ca="1" si="204">IF((OFFSET($K$19,INT((ROW(A706)-1)/4),0))="Poplar","PAINT",IF((OFFSET($K$19,INT((ROW(A706)-1)/4),0))="Red Oak","SGO",IF((OFFSET($K$19,INT((ROW(A706)-1)/4),0))="Maple","SM","SPPN")))</f>
        <v>SPPN</v>
      </c>
      <c r="AB724">
        <f t="shared" ref="AB724:AB787" ca="1" si="205">(OFFSET($I$19,INT((ROW(A706)-1)/4),0))</f>
        <v>1</v>
      </c>
      <c r="AC724" t="str">
        <f t="shared" ref="AC724:AC787" ca="1" si="206">IF(OR(Y724="L",Y724="R"),(OFFSET($M$19,INT((ROW(A706)-1)/4),0)),IF(Y724="B",IF((OFFSET($A$19,INT((ROW(A706)-1)/4),0))="3 Sided Patio Door",0,(OFFSET($G$19,INT((ROW(A706)-1)/4),0))),(OFFSET($G$19,INT((ROW(A706)-1)/4),0))))</f>
        <v/>
      </c>
      <c r="AD724" t="str">
        <f t="shared" si="196"/>
        <v>4093RN153</v>
      </c>
      <c r="AE724">
        <f t="shared" ref="AE724:AE787" ca="1" si="207">(OFFSET($L$19,INT((ROW(A706)-1)/4),0))</f>
        <v>0</v>
      </c>
      <c r="AF724" t="str">
        <f t="shared" ref="AF724:AF787" ca="1" si="208">IF((OFFSET($A$19,INT((ROW(A706)-1)/4),0))="3 sided Patio door", "Unassemble","")</f>
        <v/>
      </c>
      <c r="AG724">
        <v>177</v>
      </c>
      <c r="AH724" t="s">
        <v>136</v>
      </c>
      <c r="AI724" t="str">
        <f t="shared" si="197"/>
        <v>Lutheran Home 25</v>
      </c>
      <c r="AJ724" t="str">
        <f t="shared" si="198"/>
        <v>Green Bay</v>
      </c>
      <c r="AK724" t="str">
        <f t="shared" si="199"/>
        <v>WI</v>
      </c>
    </row>
    <row r="725" spans="18:37" x14ac:dyDescent="0.25">
      <c r="S725">
        <v>467</v>
      </c>
      <c r="T725">
        <f t="shared" si="195"/>
        <v>129</v>
      </c>
      <c r="U725">
        <f t="shared" si="200"/>
        <v>26053</v>
      </c>
      <c r="V725">
        <f t="shared" ca="1" si="201"/>
        <v>0</v>
      </c>
      <c r="W725">
        <v>177</v>
      </c>
      <c r="X725" t="str">
        <f t="shared" ca="1" si="202"/>
        <v/>
      </c>
      <c r="Y725" t="s">
        <v>28</v>
      </c>
      <c r="Z725">
        <f t="shared" ca="1" si="203"/>
        <v>0</v>
      </c>
      <c r="AA725" t="str">
        <f t="shared" ca="1" si="204"/>
        <v>SPPN</v>
      </c>
      <c r="AB725">
        <f t="shared" ca="1" si="205"/>
        <v>1</v>
      </c>
      <c r="AC725">
        <f t="shared" ca="1" si="206"/>
        <v>0</v>
      </c>
      <c r="AD725" t="str">
        <f t="shared" si="196"/>
        <v>4093RN153</v>
      </c>
      <c r="AE725">
        <f t="shared" ca="1" si="207"/>
        <v>0</v>
      </c>
      <c r="AF725" t="str">
        <f t="shared" ca="1" si="208"/>
        <v/>
      </c>
      <c r="AG725">
        <v>177</v>
      </c>
      <c r="AH725" t="s">
        <v>136</v>
      </c>
      <c r="AI725" t="str">
        <f t="shared" si="197"/>
        <v>Lutheran Home 25</v>
      </c>
      <c r="AJ725" t="str">
        <f t="shared" si="198"/>
        <v>Green Bay</v>
      </c>
      <c r="AK725" t="str">
        <f t="shared" si="199"/>
        <v>WI</v>
      </c>
    </row>
    <row r="726" spans="18:37" x14ac:dyDescent="0.25">
      <c r="S726">
        <v>468</v>
      </c>
      <c r="T726">
        <f t="shared" si="195"/>
        <v>129</v>
      </c>
      <c r="U726">
        <f t="shared" si="200"/>
        <v>26053</v>
      </c>
      <c r="V726">
        <f t="shared" ca="1" si="201"/>
        <v>0</v>
      </c>
      <c r="W726">
        <v>177</v>
      </c>
      <c r="X726" t="str">
        <f t="shared" ca="1" si="202"/>
        <v/>
      </c>
      <c r="Y726" t="s">
        <v>32</v>
      </c>
      <c r="Z726">
        <f t="shared" ca="1" si="203"/>
        <v>0</v>
      </c>
      <c r="AA726" t="str">
        <f t="shared" ca="1" si="204"/>
        <v>SPPN</v>
      </c>
      <c r="AB726">
        <f t="shared" ca="1" si="205"/>
        <v>1</v>
      </c>
      <c r="AC726">
        <f t="shared" ca="1" si="206"/>
        <v>0</v>
      </c>
      <c r="AD726" t="str">
        <f t="shared" si="196"/>
        <v>4093RN153</v>
      </c>
      <c r="AE726">
        <f t="shared" ca="1" si="207"/>
        <v>0</v>
      </c>
      <c r="AF726" t="str">
        <f t="shared" ca="1" si="208"/>
        <v/>
      </c>
      <c r="AG726">
        <v>177</v>
      </c>
      <c r="AH726" t="s">
        <v>136</v>
      </c>
      <c r="AI726" t="str">
        <f t="shared" si="197"/>
        <v>Lutheran Home 25</v>
      </c>
      <c r="AJ726" t="str">
        <f t="shared" si="198"/>
        <v>Green Bay</v>
      </c>
      <c r="AK726" t="str">
        <f t="shared" si="199"/>
        <v>WI</v>
      </c>
    </row>
    <row r="727" spans="18:37" x14ac:dyDescent="0.25">
      <c r="R727">
        <v>1</v>
      </c>
      <c r="S727">
        <v>469</v>
      </c>
      <c r="T727">
        <f t="shared" si="195"/>
        <v>129</v>
      </c>
      <c r="U727">
        <f t="shared" si="200"/>
        <v>26053</v>
      </c>
      <c r="V727">
        <f t="shared" ca="1" si="201"/>
        <v>0</v>
      </c>
      <c r="W727">
        <v>178</v>
      </c>
      <c r="X727" t="str">
        <f t="shared" ca="1" si="202"/>
        <v/>
      </c>
      <c r="Y727" t="s">
        <v>9</v>
      </c>
      <c r="Z727">
        <f t="shared" ca="1" si="203"/>
        <v>0</v>
      </c>
      <c r="AA727" t="str">
        <f t="shared" ca="1" si="204"/>
        <v>SPPN</v>
      </c>
      <c r="AB727">
        <f t="shared" ca="1" si="205"/>
        <v>1</v>
      </c>
      <c r="AC727" t="str">
        <f t="shared" ca="1" si="206"/>
        <v/>
      </c>
      <c r="AD727" t="str">
        <f t="shared" si="196"/>
        <v>4093RN153</v>
      </c>
      <c r="AE727">
        <f t="shared" ca="1" si="207"/>
        <v>0</v>
      </c>
      <c r="AF727" t="str">
        <f t="shared" ca="1" si="208"/>
        <v/>
      </c>
      <c r="AG727">
        <v>178</v>
      </c>
      <c r="AH727" t="s">
        <v>136</v>
      </c>
      <c r="AI727" t="str">
        <f t="shared" si="197"/>
        <v>Lutheran Home 25</v>
      </c>
      <c r="AJ727" t="str">
        <f t="shared" si="198"/>
        <v>Green Bay</v>
      </c>
      <c r="AK727" t="str">
        <f t="shared" si="199"/>
        <v>WI</v>
      </c>
    </row>
    <row r="728" spans="18:37" x14ac:dyDescent="0.25">
      <c r="S728">
        <v>470</v>
      </c>
      <c r="T728">
        <f t="shared" si="195"/>
        <v>129</v>
      </c>
      <c r="U728">
        <f t="shared" si="200"/>
        <v>26053</v>
      </c>
      <c r="V728">
        <f t="shared" ca="1" si="201"/>
        <v>0</v>
      </c>
      <c r="W728">
        <v>178</v>
      </c>
      <c r="X728" t="str">
        <f t="shared" ca="1" si="202"/>
        <v/>
      </c>
      <c r="Y728" t="s">
        <v>33</v>
      </c>
      <c r="Z728">
        <f t="shared" ca="1" si="203"/>
        <v>0</v>
      </c>
      <c r="AA728" t="str">
        <f t="shared" ca="1" si="204"/>
        <v>SPPN</v>
      </c>
      <c r="AB728">
        <f t="shared" ca="1" si="205"/>
        <v>1</v>
      </c>
      <c r="AC728" t="str">
        <f t="shared" ca="1" si="206"/>
        <v/>
      </c>
      <c r="AD728" t="str">
        <f t="shared" si="196"/>
        <v>4093RN153</v>
      </c>
      <c r="AE728">
        <f t="shared" ca="1" si="207"/>
        <v>0</v>
      </c>
      <c r="AF728" t="str">
        <f t="shared" ca="1" si="208"/>
        <v/>
      </c>
      <c r="AG728">
        <v>178</v>
      </c>
      <c r="AH728" t="s">
        <v>136</v>
      </c>
      <c r="AI728" t="str">
        <f t="shared" si="197"/>
        <v>Lutheran Home 25</v>
      </c>
      <c r="AJ728" t="str">
        <f t="shared" si="198"/>
        <v>Green Bay</v>
      </c>
      <c r="AK728" t="str">
        <f t="shared" si="199"/>
        <v>WI</v>
      </c>
    </row>
    <row r="729" spans="18:37" x14ac:dyDescent="0.25">
      <c r="S729">
        <v>471</v>
      </c>
      <c r="T729">
        <f t="shared" si="195"/>
        <v>129</v>
      </c>
      <c r="U729">
        <f t="shared" si="200"/>
        <v>26053</v>
      </c>
      <c r="V729">
        <f t="shared" ca="1" si="201"/>
        <v>0</v>
      </c>
      <c r="W729">
        <v>178</v>
      </c>
      <c r="X729" t="str">
        <f t="shared" ca="1" si="202"/>
        <v/>
      </c>
      <c r="Y729" t="s">
        <v>28</v>
      </c>
      <c r="Z729">
        <f t="shared" ca="1" si="203"/>
        <v>0</v>
      </c>
      <c r="AA729" t="str">
        <f t="shared" ca="1" si="204"/>
        <v>SPPN</v>
      </c>
      <c r="AB729">
        <f t="shared" ca="1" si="205"/>
        <v>1</v>
      </c>
      <c r="AC729">
        <f t="shared" ca="1" si="206"/>
        <v>0</v>
      </c>
      <c r="AD729" t="str">
        <f t="shared" si="196"/>
        <v>4093RN153</v>
      </c>
      <c r="AE729">
        <f t="shared" ca="1" si="207"/>
        <v>0</v>
      </c>
      <c r="AF729" t="str">
        <f t="shared" ca="1" si="208"/>
        <v/>
      </c>
      <c r="AG729">
        <v>178</v>
      </c>
      <c r="AH729" t="s">
        <v>136</v>
      </c>
      <c r="AI729" t="str">
        <f t="shared" si="197"/>
        <v>Lutheran Home 25</v>
      </c>
      <c r="AJ729" t="str">
        <f t="shared" si="198"/>
        <v>Green Bay</v>
      </c>
      <c r="AK729" t="str">
        <f t="shared" si="199"/>
        <v>WI</v>
      </c>
    </row>
    <row r="730" spans="18:37" x14ac:dyDescent="0.25">
      <c r="S730">
        <v>472</v>
      </c>
      <c r="T730">
        <f t="shared" si="195"/>
        <v>129</v>
      </c>
      <c r="U730">
        <f t="shared" si="200"/>
        <v>26053</v>
      </c>
      <c r="V730">
        <f t="shared" ca="1" si="201"/>
        <v>0</v>
      </c>
      <c r="W730">
        <v>178</v>
      </c>
      <c r="X730" t="str">
        <f t="shared" ca="1" si="202"/>
        <v/>
      </c>
      <c r="Y730" t="s">
        <v>32</v>
      </c>
      <c r="Z730">
        <f t="shared" ca="1" si="203"/>
        <v>0</v>
      </c>
      <c r="AA730" t="str">
        <f t="shared" ca="1" si="204"/>
        <v>SPPN</v>
      </c>
      <c r="AB730">
        <f t="shared" ca="1" si="205"/>
        <v>1</v>
      </c>
      <c r="AC730">
        <f t="shared" ca="1" si="206"/>
        <v>0</v>
      </c>
      <c r="AD730" t="str">
        <f t="shared" si="196"/>
        <v>4093RN153</v>
      </c>
      <c r="AE730">
        <f t="shared" ca="1" si="207"/>
        <v>0</v>
      </c>
      <c r="AF730" t="str">
        <f t="shared" ca="1" si="208"/>
        <v/>
      </c>
      <c r="AG730">
        <v>178</v>
      </c>
      <c r="AH730" t="s">
        <v>136</v>
      </c>
      <c r="AI730" t="str">
        <f t="shared" si="197"/>
        <v>Lutheran Home 25</v>
      </c>
      <c r="AJ730" t="str">
        <f t="shared" si="198"/>
        <v>Green Bay</v>
      </c>
      <c r="AK730" t="str">
        <f t="shared" si="199"/>
        <v>WI</v>
      </c>
    </row>
    <row r="731" spans="18:37" x14ac:dyDescent="0.25">
      <c r="R731">
        <v>1</v>
      </c>
      <c r="S731">
        <v>473</v>
      </c>
      <c r="T731">
        <f t="shared" si="195"/>
        <v>129</v>
      </c>
      <c r="U731">
        <f t="shared" si="200"/>
        <v>26053</v>
      </c>
      <c r="V731">
        <f t="shared" ca="1" si="201"/>
        <v>0</v>
      </c>
      <c r="W731">
        <v>179</v>
      </c>
      <c r="X731" t="str">
        <f t="shared" ca="1" si="202"/>
        <v/>
      </c>
      <c r="Y731" t="s">
        <v>9</v>
      </c>
      <c r="Z731">
        <f t="shared" ca="1" si="203"/>
        <v>0</v>
      </c>
      <c r="AA731" t="str">
        <f t="shared" ca="1" si="204"/>
        <v>SPPN</v>
      </c>
      <c r="AB731">
        <f t="shared" ca="1" si="205"/>
        <v>1</v>
      </c>
      <c r="AC731" t="str">
        <f t="shared" ca="1" si="206"/>
        <v/>
      </c>
      <c r="AD731" t="str">
        <f t="shared" si="196"/>
        <v>4093RN153</v>
      </c>
      <c r="AE731">
        <f t="shared" ca="1" si="207"/>
        <v>0</v>
      </c>
      <c r="AF731" t="str">
        <f t="shared" ca="1" si="208"/>
        <v/>
      </c>
      <c r="AG731">
        <v>179</v>
      </c>
      <c r="AH731" t="s">
        <v>136</v>
      </c>
      <c r="AI731" t="str">
        <f t="shared" si="197"/>
        <v>Lutheran Home 25</v>
      </c>
      <c r="AJ731" t="str">
        <f t="shared" si="198"/>
        <v>Green Bay</v>
      </c>
      <c r="AK731" t="str">
        <f t="shared" si="199"/>
        <v>WI</v>
      </c>
    </row>
    <row r="732" spans="18:37" x14ac:dyDescent="0.25">
      <c r="S732">
        <v>474</v>
      </c>
      <c r="T732">
        <f t="shared" si="195"/>
        <v>129</v>
      </c>
      <c r="U732">
        <f t="shared" si="200"/>
        <v>26053</v>
      </c>
      <c r="V732">
        <f t="shared" ca="1" si="201"/>
        <v>0</v>
      </c>
      <c r="W732">
        <v>179</v>
      </c>
      <c r="X732" t="str">
        <f t="shared" ca="1" si="202"/>
        <v/>
      </c>
      <c r="Y732" t="s">
        <v>33</v>
      </c>
      <c r="Z732">
        <f t="shared" ca="1" si="203"/>
        <v>0</v>
      </c>
      <c r="AA732" t="str">
        <f t="shared" ca="1" si="204"/>
        <v>SPPN</v>
      </c>
      <c r="AB732">
        <f t="shared" ca="1" si="205"/>
        <v>1</v>
      </c>
      <c r="AC732" t="str">
        <f t="shared" ca="1" si="206"/>
        <v/>
      </c>
      <c r="AD732" t="str">
        <f t="shared" si="196"/>
        <v>4093RN153</v>
      </c>
      <c r="AE732">
        <f t="shared" ca="1" si="207"/>
        <v>0</v>
      </c>
      <c r="AF732" t="str">
        <f t="shared" ca="1" si="208"/>
        <v/>
      </c>
      <c r="AG732">
        <v>179</v>
      </c>
      <c r="AH732" t="s">
        <v>136</v>
      </c>
      <c r="AI732" t="str">
        <f t="shared" si="197"/>
        <v>Lutheran Home 25</v>
      </c>
      <c r="AJ732" t="str">
        <f t="shared" si="198"/>
        <v>Green Bay</v>
      </c>
      <c r="AK732" t="str">
        <f t="shared" si="199"/>
        <v>WI</v>
      </c>
    </row>
    <row r="733" spans="18:37" x14ac:dyDescent="0.25">
      <c r="S733">
        <v>475</v>
      </c>
      <c r="T733">
        <f t="shared" si="195"/>
        <v>129</v>
      </c>
      <c r="U733">
        <f t="shared" si="200"/>
        <v>26053</v>
      </c>
      <c r="V733">
        <f t="shared" ca="1" si="201"/>
        <v>0</v>
      </c>
      <c r="W733">
        <v>179</v>
      </c>
      <c r="X733" t="str">
        <f t="shared" ca="1" si="202"/>
        <v/>
      </c>
      <c r="Y733" t="s">
        <v>28</v>
      </c>
      <c r="Z733">
        <f t="shared" ca="1" si="203"/>
        <v>0</v>
      </c>
      <c r="AA733" t="str">
        <f t="shared" ca="1" si="204"/>
        <v>SPPN</v>
      </c>
      <c r="AB733">
        <f t="shared" ca="1" si="205"/>
        <v>1</v>
      </c>
      <c r="AC733">
        <f t="shared" ca="1" si="206"/>
        <v>0</v>
      </c>
      <c r="AD733" t="str">
        <f t="shared" si="196"/>
        <v>4093RN153</v>
      </c>
      <c r="AE733">
        <f t="shared" ca="1" si="207"/>
        <v>0</v>
      </c>
      <c r="AF733" t="str">
        <f t="shared" ca="1" si="208"/>
        <v/>
      </c>
      <c r="AG733">
        <v>179</v>
      </c>
      <c r="AH733" t="s">
        <v>136</v>
      </c>
      <c r="AI733" t="str">
        <f t="shared" si="197"/>
        <v>Lutheran Home 25</v>
      </c>
      <c r="AJ733" t="str">
        <f t="shared" si="198"/>
        <v>Green Bay</v>
      </c>
      <c r="AK733" t="str">
        <f t="shared" si="199"/>
        <v>WI</v>
      </c>
    </row>
    <row r="734" spans="18:37" x14ac:dyDescent="0.25">
      <c r="S734">
        <v>476</v>
      </c>
      <c r="T734">
        <f t="shared" si="195"/>
        <v>129</v>
      </c>
      <c r="U734">
        <f t="shared" si="200"/>
        <v>26053</v>
      </c>
      <c r="V734">
        <f t="shared" ca="1" si="201"/>
        <v>0</v>
      </c>
      <c r="W734">
        <v>179</v>
      </c>
      <c r="X734" t="str">
        <f t="shared" ca="1" si="202"/>
        <v/>
      </c>
      <c r="Y734" t="s">
        <v>32</v>
      </c>
      <c r="Z734">
        <f t="shared" ca="1" si="203"/>
        <v>0</v>
      </c>
      <c r="AA734" t="str">
        <f t="shared" ca="1" si="204"/>
        <v>SPPN</v>
      </c>
      <c r="AB734">
        <f t="shared" ca="1" si="205"/>
        <v>1</v>
      </c>
      <c r="AC734">
        <f t="shared" ca="1" si="206"/>
        <v>0</v>
      </c>
      <c r="AD734" t="str">
        <f t="shared" si="196"/>
        <v>4093RN153</v>
      </c>
      <c r="AE734">
        <f t="shared" ca="1" si="207"/>
        <v>0</v>
      </c>
      <c r="AF734" t="str">
        <f t="shared" ca="1" si="208"/>
        <v/>
      </c>
      <c r="AG734">
        <v>179</v>
      </c>
      <c r="AH734" t="s">
        <v>136</v>
      </c>
      <c r="AI734" t="str">
        <f t="shared" si="197"/>
        <v>Lutheran Home 25</v>
      </c>
      <c r="AJ734" t="str">
        <f t="shared" si="198"/>
        <v>Green Bay</v>
      </c>
      <c r="AK734" t="str">
        <f t="shared" si="199"/>
        <v>WI</v>
      </c>
    </row>
    <row r="735" spans="18:37" x14ac:dyDescent="0.25">
      <c r="R735">
        <v>1</v>
      </c>
      <c r="S735">
        <v>477</v>
      </c>
      <c r="T735">
        <f t="shared" si="195"/>
        <v>129</v>
      </c>
      <c r="U735">
        <f t="shared" si="200"/>
        <v>26053</v>
      </c>
      <c r="V735">
        <f t="shared" ca="1" si="201"/>
        <v>0</v>
      </c>
      <c r="W735">
        <v>180</v>
      </c>
      <c r="X735" t="str">
        <f t="shared" ca="1" si="202"/>
        <v/>
      </c>
      <c r="Y735" t="s">
        <v>9</v>
      </c>
      <c r="Z735">
        <f t="shared" ca="1" si="203"/>
        <v>0</v>
      </c>
      <c r="AA735" t="str">
        <f t="shared" ca="1" si="204"/>
        <v>SPPN</v>
      </c>
      <c r="AB735">
        <f t="shared" ca="1" si="205"/>
        <v>1</v>
      </c>
      <c r="AC735" t="str">
        <f t="shared" ca="1" si="206"/>
        <v/>
      </c>
      <c r="AD735" t="str">
        <f t="shared" si="196"/>
        <v>4093RN153</v>
      </c>
      <c r="AE735">
        <f t="shared" ca="1" si="207"/>
        <v>0</v>
      </c>
      <c r="AF735" t="str">
        <f t="shared" ca="1" si="208"/>
        <v/>
      </c>
      <c r="AG735">
        <v>180</v>
      </c>
      <c r="AH735" t="s">
        <v>136</v>
      </c>
      <c r="AI735" t="str">
        <f t="shared" si="197"/>
        <v>Lutheran Home 25</v>
      </c>
      <c r="AJ735" t="str">
        <f t="shared" si="198"/>
        <v>Green Bay</v>
      </c>
      <c r="AK735" t="str">
        <f t="shared" si="199"/>
        <v>WI</v>
      </c>
    </row>
    <row r="736" spans="18:37" x14ac:dyDescent="0.25">
      <c r="S736">
        <v>478</v>
      </c>
      <c r="T736">
        <f t="shared" si="195"/>
        <v>129</v>
      </c>
      <c r="U736">
        <f t="shared" si="200"/>
        <v>26053</v>
      </c>
      <c r="V736">
        <f t="shared" ca="1" si="201"/>
        <v>0</v>
      </c>
      <c r="W736">
        <v>180</v>
      </c>
      <c r="X736" t="str">
        <f t="shared" ca="1" si="202"/>
        <v/>
      </c>
      <c r="Y736" t="s">
        <v>33</v>
      </c>
      <c r="Z736">
        <f t="shared" ca="1" si="203"/>
        <v>0</v>
      </c>
      <c r="AA736" t="str">
        <f t="shared" ca="1" si="204"/>
        <v>SPPN</v>
      </c>
      <c r="AB736">
        <f t="shared" ca="1" si="205"/>
        <v>1</v>
      </c>
      <c r="AC736" t="str">
        <f t="shared" ca="1" si="206"/>
        <v/>
      </c>
      <c r="AD736" t="str">
        <f t="shared" si="196"/>
        <v>4093RN153</v>
      </c>
      <c r="AE736">
        <f t="shared" ca="1" si="207"/>
        <v>0</v>
      </c>
      <c r="AF736" t="str">
        <f t="shared" ca="1" si="208"/>
        <v/>
      </c>
      <c r="AG736">
        <v>180</v>
      </c>
      <c r="AH736" t="s">
        <v>136</v>
      </c>
      <c r="AI736" t="str">
        <f t="shared" si="197"/>
        <v>Lutheran Home 25</v>
      </c>
      <c r="AJ736" t="str">
        <f t="shared" si="198"/>
        <v>Green Bay</v>
      </c>
      <c r="AK736" t="str">
        <f t="shared" si="199"/>
        <v>WI</v>
      </c>
    </row>
    <row r="737" spans="18:37" x14ac:dyDescent="0.25">
      <c r="S737">
        <v>479</v>
      </c>
      <c r="T737">
        <f t="shared" si="195"/>
        <v>129</v>
      </c>
      <c r="U737">
        <f t="shared" si="200"/>
        <v>26053</v>
      </c>
      <c r="V737">
        <f t="shared" ca="1" si="201"/>
        <v>0</v>
      </c>
      <c r="W737">
        <v>180</v>
      </c>
      <c r="X737" t="str">
        <f t="shared" ca="1" si="202"/>
        <v/>
      </c>
      <c r="Y737" t="s">
        <v>28</v>
      </c>
      <c r="Z737">
        <f t="shared" ca="1" si="203"/>
        <v>0</v>
      </c>
      <c r="AA737" t="str">
        <f t="shared" ca="1" si="204"/>
        <v>SPPN</v>
      </c>
      <c r="AB737">
        <f t="shared" ca="1" si="205"/>
        <v>1</v>
      </c>
      <c r="AC737">
        <f t="shared" ca="1" si="206"/>
        <v>0</v>
      </c>
      <c r="AD737" t="str">
        <f t="shared" si="196"/>
        <v>4093RN153</v>
      </c>
      <c r="AE737">
        <f t="shared" ca="1" si="207"/>
        <v>0</v>
      </c>
      <c r="AF737" t="str">
        <f t="shared" ca="1" si="208"/>
        <v/>
      </c>
      <c r="AG737">
        <v>180</v>
      </c>
      <c r="AH737" t="s">
        <v>136</v>
      </c>
      <c r="AI737" t="str">
        <f t="shared" si="197"/>
        <v>Lutheran Home 25</v>
      </c>
      <c r="AJ737" t="str">
        <f t="shared" si="198"/>
        <v>Green Bay</v>
      </c>
      <c r="AK737" t="str">
        <f t="shared" si="199"/>
        <v>WI</v>
      </c>
    </row>
    <row r="738" spans="18:37" x14ac:dyDescent="0.25">
      <c r="S738">
        <v>480</v>
      </c>
      <c r="T738">
        <f t="shared" si="195"/>
        <v>129</v>
      </c>
      <c r="U738">
        <f t="shared" si="200"/>
        <v>26053</v>
      </c>
      <c r="V738">
        <f t="shared" ca="1" si="201"/>
        <v>0</v>
      </c>
      <c r="W738">
        <v>180</v>
      </c>
      <c r="X738" t="str">
        <f t="shared" ca="1" si="202"/>
        <v/>
      </c>
      <c r="Y738" t="s">
        <v>32</v>
      </c>
      <c r="Z738">
        <f t="shared" ca="1" si="203"/>
        <v>0</v>
      </c>
      <c r="AA738" t="str">
        <f t="shared" ca="1" si="204"/>
        <v>SPPN</v>
      </c>
      <c r="AB738">
        <f t="shared" ca="1" si="205"/>
        <v>1</v>
      </c>
      <c r="AC738">
        <f t="shared" ca="1" si="206"/>
        <v>0</v>
      </c>
      <c r="AD738" t="str">
        <f t="shared" si="196"/>
        <v>4093RN153</v>
      </c>
      <c r="AE738">
        <f t="shared" ca="1" si="207"/>
        <v>0</v>
      </c>
      <c r="AF738" t="str">
        <f t="shared" ca="1" si="208"/>
        <v/>
      </c>
      <c r="AG738">
        <v>180</v>
      </c>
      <c r="AH738" t="s">
        <v>136</v>
      </c>
      <c r="AI738" t="str">
        <f t="shared" si="197"/>
        <v>Lutheran Home 25</v>
      </c>
      <c r="AJ738" t="str">
        <f t="shared" si="198"/>
        <v>Green Bay</v>
      </c>
      <c r="AK738" t="str">
        <f t="shared" si="199"/>
        <v>WI</v>
      </c>
    </row>
    <row r="739" spans="18:37" x14ac:dyDescent="0.25">
      <c r="R739">
        <v>1</v>
      </c>
      <c r="S739">
        <v>481</v>
      </c>
      <c r="T739">
        <f t="shared" si="195"/>
        <v>129</v>
      </c>
      <c r="U739">
        <f t="shared" si="200"/>
        <v>26053</v>
      </c>
      <c r="V739">
        <f t="shared" ca="1" si="201"/>
        <v>0</v>
      </c>
      <c r="W739">
        <v>181</v>
      </c>
      <c r="X739" t="str">
        <f t="shared" ca="1" si="202"/>
        <v/>
      </c>
      <c r="Y739" t="s">
        <v>9</v>
      </c>
      <c r="Z739">
        <f t="shared" ca="1" si="203"/>
        <v>0</v>
      </c>
      <c r="AA739" t="str">
        <f t="shared" ca="1" si="204"/>
        <v>SPPN</v>
      </c>
      <c r="AB739">
        <f t="shared" ca="1" si="205"/>
        <v>1</v>
      </c>
      <c r="AC739" t="str">
        <f t="shared" ca="1" si="206"/>
        <v/>
      </c>
      <c r="AD739" t="str">
        <f t="shared" si="196"/>
        <v>4093RN153</v>
      </c>
      <c r="AE739">
        <f t="shared" ca="1" si="207"/>
        <v>0</v>
      </c>
      <c r="AF739" t="str">
        <f t="shared" ca="1" si="208"/>
        <v/>
      </c>
      <c r="AG739">
        <v>181</v>
      </c>
      <c r="AH739" t="s">
        <v>136</v>
      </c>
      <c r="AI739" t="str">
        <f t="shared" si="197"/>
        <v>Lutheran Home 25</v>
      </c>
      <c r="AJ739" t="str">
        <f t="shared" si="198"/>
        <v>Green Bay</v>
      </c>
      <c r="AK739" t="str">
        <f t="shared" si="199"/>
        <v>WI</v>
      </c>
    </row>
    <row r="740" spans="18:37" x14ac:dyDescent="0.25">
      <c r="S740">
        <v>482</v>
      </c>
      <c r="T740">
        <f t="shared" si="195"/>
        <v>129</v>
      </c>
      <c r="U740">
        <f t="shared" si="200"/>
        <v>26053</v>
      </c>
      <c r="V740">
        <f t="shared" ca="1" si="201"/>
        <v>0</v>
      </c>
      <c r="W740">
        <v>181</v>
      </c>
      <c r="X740" t="str">
        <f t="shared" ca="1" si="202"/>
        <v/>
      </c>
      <c r="Y740" t="s">
        <v>33</v>
      </c>
      <c r="Z740">
        <f t="shared" ca="1" si="203"/>
        <v>0</v>
      </c>
      <c r="AA740" t="str">
        <f t="shared" ca="1" si="204"/>
        <v>SPPN</v>
      </c>
      <c r="AB740">
        <f t="shared" ca="1" si="205"/>
        <v>1</v>
      </c>
      <c r="AC740" t="str">
        <f t="shared" ca="1" si="206"/>
        <v/>
      </c>
      <c r="AD740" t="str">
        <f t="shared" si="196"/>
        <v>4093RN153</v>
      </c>
      <c r="AE740">
        <f t="shared" ca="1" si="207"/>
        <v>0</v>
      </c>
      <c r="AF740" t="str">
        <f t="shared" ca="1" si="208"/>
        <v/>
      </c>
      <c r="AG740">
        <v>181</v>
      </c>
      <c r="AH740" t="s">
        <v>136</v>
      </c>
      <c r="AI740" t="str">
        <f t="shared" si="197"/>
        <v>Lutheran Home 25</v>
      </c>
      <c r="AJ740" t="str">
        <f t="shared" si="198"/>
        <v>Green Bay</v>
      </c>
      <c r="AK740" t="str">
        <f t="shared" si="199"/>
        <v>WI</v>
      </c>
    </row>
    <row r="741" spans="18:37" x14ac:dyDescent="0.25">
      <c r="S741">
        <v>483</v>
      </c>
      <c r="T741">
        <f t="shared" si="195"/>
        <v>129</v>
      </c>
      <c r="U741">
        <f t="shared" si="200"/>
        <v>26053</v>
      </c>
      <c r="V741">
        <f t="shared" ca="1" si="201"/>
        <v>0</v>
      </c>
      <c r="W741">
        <v>181</v>
      </c>
      <c r="X741" t="str">
        <f t="shared" ca="1" si="202"/>
        <v/>
      </c>
      <c r="Y741" t="s">
        <v>28</v>
      </c>
      <c r="Z741">
        <f t="shared" ca="1" si="203"/>
        <v>0</v>
      </c>
      <c r="AA741" t="str">
        <f t="shared" ca="1" si="204"/>
        <v>SPPN</v>
      </c>
      <c r="AB741">
        <f t="shared" ca="1" si="205"/>
        <v>1</v>
      </c>
      <c r="AC741">
        <f t="shared" ca="1" si="206"/>
        <v>0</v>
      </c>
      <c r="AD741" t="str">
        <f t="shared" si="196"/>
        <v>4093RN153</v>
      </c>
      <c r="AE741">
        <f t="shared" ca="1" si="207"/>
        <v>0</v>
      </c>
      <c r="AF741" t="str">
        <f t="shared" ca="1" si="208"/>
        <v/>
      </c>
      <c r="AG741">
        <v>181</v>
      </c>
      <c r="AH741" t="s">
        <v>136</v>
      </c>
      <c r="AI741" t="str">
        <f t="shared" si="197"/>
        <v>Lutheran Home 25</v>
      </c>
      <c r="AJ741" t="str">
        <f t="shared" si="198"/>
        <v>Green Bay</v>
      </c>
      <c r="AK741" t="str">
        <f t="shared" si="199"/>
        <v>WI</v>
      </c>
    </row>
    <row r="742" spans="18:37" x14ac:dyDescent="0.25">
      <c r="S742">
        <v>484</v>
      </c>
      <c r="T742">
        <f t="shared" si="195"/>
        <v>129</v>
      </c>
      <c r="U742">
        <f t="shared" si="200"/>
        <v>26053</v>
      </c>
      <c r="V742">
        <f t="shared" ca="1" si="201"/>
        <v>0</v>
      </c>
      <c r="W742">
        <v>181</v>
      </c>
      <c r="X742" t="str">
        <f t="shared" ca="1" si="202"/>
        <v/>
      </c>
      <c r="Y742" t="s">
        <v>32</v>
      </c>
      <c r="Z742">
        <f t="shared" ca="1" si="203"/>
        <v>0</v>
      </c>
      <c r="AA742" t="str">
        <f t="shared" ca="1" si="204"/>
        <v>SPPN</v>
      </c>
      <c r="AB742">
        <f t="shared" ca="1" si="205"/>
        <v>1</v>
      </c>
      <c r="AC742">
        <f t="shared" ca="1" si="206"/>
        <v>0</v>
      </c>
      <c r="AD742" t="str">
        <f t="shared" si="196"/>
        <v>4093RN153</v>
      </c>
      <c r="AE742">
        <f t="shared" ca="1" si="207"/>
        <v>0</v>
      </c>
      <c r="AF742" t="str">
        <f t="shared" ca="1" si="208"/>
        <v/>
      </c>
      <c r="AG742">
        <v>181</v>
      </c>
      <c r="AH742" t="s">
        <v>136</v>
      </c>
      <c r="AI742" t="str">
        <f t="shared" si="197"/>
        <v>Lutheran Home 25</v>
      </c>
      <c r="AJ742" t="str">
        <f t="shared" si="198"/>
        <v>Green Bay</v>
      </c>
      <c r="AK742" t="str">
        <f t="shared" si="199"/>
        <v>WI</v>
      </c>
    </row>
    <row r="743" spans="18:37" x14ac:dyDescent="0.25">
      <c r="R743">
        <v>1</v>
      </c>
      <c r="S743">
        <v>485</v>
      </c>
      <c r="T743">
        <f t="shared" si="195"/>
        <v>129</v>
      </c>
      <c r="U743">
        <f t="shared" si="200"/>
        <v>26053</v>
      </c>
      <c r="V743">
        <f t="shared" ca="1" si="201"/>
        <v>0</v>
      </c>
      <c r="W743">
        <v>182</v>
      </c>
      <c r="X743" t="str">
        <f t="shared" ca="1" si="202"/>
        <v/>
      </c>
      <c r="Y743" t="s">
        <v>9</v>
      </c>
      <c r="Z743">
        <f t="shared" ca="1" si="203"/>
        <v>0</v>
      </c>
      <c r="AA743" t="str">
        <f t="shared" ca="1" si="204"/>
        <v>SPPN</v>
      </c>
      <c r="AB743">
        <f t="shared" ca="1" si="205"/>
        <v>1</v>
      </c>
      <c r="AC743" t="str">
        <f t="shared" ca="1" si="206"/>
        <v/>
      </c>
      <c r="AD743" t="str">
        <f t="shared" si="196"/>
        <v>4093RN153</v>
      </c>
      <c r="AE743">
        <f t="shared" ca="1" si="207"/>
        <v>0</v>
      </c>
      <c r="AF743" t="str">
        <f t="shared" ca="1" si="208"/>
        <v/>
      </c>
      <c r="AG743">
        <v>182</v>
      </c>
      <c r="AH743" t="s">
        <v>136</v>
      </c>
      <c r="AI743" t="str">
        <f t="shared" si="197"/>
        <v>Lutheran Home 25</v>
      </c>
      <c r="AJ743" t="str">
        <f t="shared" si="198"/>
        <v>Green Bay</v>
      </c>
      <c r="AK743" t="str">
        <f t="shared" si="199"/>
        <v>WI</v>
      </c>
    </row>
    <row r="744" spans="18:37" x14ac:dyDescent="0.25">
      <c r="S744">
        <v>486</v>
      </c>
      <c r="T744">
        <f t="shared" si="195"/>
        <v>129</v>
      </c>
      <c r="U744">
        <f t="shared" si="200"/>
        <v>26053</v>
      </c>
      <c r="V744">
        <f t="shared" ca="1" si="201"/>
        <v>0</v>
      </c>
      <c r="W744">
        <v>182</v>
      </c>
      <c r="X744" t="str">
        <f t="shared" ca="1" si="202"/>
        <v/>
      </c>
      <c r="Y744" t="s">
        <v>33</v>
      </c>
      <c r="Z744">
        <f t="shared" ca="1" si="203"/>
        <v>0</v>
      </c>
      <c r="AA744" t="str">
        <f t="shared" ca="1" si="204"/>
        <v>SPPN</v>
      </c>
      <c r="AB744">
        <f t="shared" ca="1" si="205"/>
        <v>1</v>
      </c>
      <c r="AC744" t="str">
        <f t="shared" ca="1" si="206"/>
        <v/>
      </c>
      <c r="AD744" t="str">
        <f t="shared" si="196"/>
        <v>4093RN153</v>
      </c>
      <c r="AE744">
        <f t="shared" ca="1" si="207"/>
        <v>0</v>
      </c>
      <c r="AF744" t="str">
        <f t="shared" ca="1" si="208"/>
        <v/>
      </c>
      <c r="AG744">
        <v>182</v>
      </c>
      <c r="AH744" t="s">
        <v>136</v>
      </c>
      <c r="AI744" t="str">
        <f t="shared" si="197"/>
        <v>Lutheran Home 25</v>
      </c>
      <c r="AJ744" t="str">
        <f t="shared" si="198"/>
        <v>Green Bay</v>
      </c>
      <c r="AK744" t="str">
        <f t="shared" si="199"/>
        <v>WI</v>
      </c>
    </row>
    <row r="745" spans="18:37" x14ac:dyDescent="0.25">
      <c r="S745">
        <v>487</v>
      </c>
      <c r="T745">
        <f t="shared" si="195"/>
        <v>129</v>
      </c>
      <c r="U745">
        <f t="shared" si="200"/>
        <v>26053</v>
      </c>
      <c r="V745">
        <f t="shared" ca="1" si="201"/>
        <v>0</v>
      </c>
      <c r="W745">
        <v>182</v>
      </c>
      <c r="X745" t="str">
        <f t="shared" ca="1" si="202"/>
        <v/>
      </c>
      <c r="Y745" t="s">
        <v>28</v>
      </c>
      <c r="Z745">
        <f t="shared" ca="1" si="203"/>
        <v>0</v>
      </c>
      <c r="AA745" t="str">
        <f t="shared" ca="1" si="204"/>
        <v>SPPN</v>
      </c>
      <c r="AB745">
        <f t="shared" ca="1" si="205"/>
        <v>1</v>
      </c>
      <c r="AC745">
        <f t="shared" ca="1" si="206"/>
        <v>0</v>
      </c>
      <c r="AD745" t="str">
        <f t="shared" si="196"/>
        <v>4093RN153</v>
      </c>
      <c r="AE745">
        <f t="shared" ca="1" si="207"/>
        <v>0</v>
      </c>
      <c r="AF745" t="str">
        <f t="shared" ca="1" si="208"/>
        <v/>
      </c>
      <c r="AG745">
        <v>182</v>
      </c>
      <c r="AH745" t="s">
        <v>136</v>
      </c>
      <c r="AI745" t="str">
        <f t="shared" si="197"/>
        <v>Lutheran Home 25</v>
      </c>
      <c r="AJ745" t="str">
        <f t="shared" si="198"/>
        <v>Green Bay</v>
      </c>
      <c r="AK745" t="str">
        <f t="shared" si="199"/>
        <v>WI</v>
      </c>
    </row>
    <row r="746" spans="18:37" x14ac:dyDescent="0.25">
      <c r="S746">
        <v>488</v>
      </c>
      <c r="T746">
        <f t="shared" si="195"/>
        <v>129</v>
      </c>
      <c r="U746">
        <f t="shared" si="200"/>
        <v>26053</v>
      </c>
      <c r="V746">
        <f t="shared" ca="1" si="201"/>
        <v>0</v>
      </c>
      <c r="W746">
        <v>182</v>
      </c>
      <c r="X746" t="str">
        <f t="shared" ca="1" si="202"/>
        <v/>
      </c>
      <c r="Y746" t="s">
        <v>32</v>
      </c>
      <c r="Z746">
        <f t="shared" ca="1" si="203"/>
        <v>0</v>
      </c>
      <c r="AA746" t="str">
        <f t="shared" ca="1" si="204"/>
        <v>SPPN</v>
      </c>
      <c r="AB746">
        <f t="shared" ca="1" si="205"/>
        <v>1</v>
      </c>
      <c r="AC746">
        <f t="shared" ca="1" si="206"/>
        <v>0</v>
      </c>
      <c r="AD746" t="str">
        <f t="shared" si="196"/>
        <v>4093RN153</v>
      </c>
      <c r="AE746">
        <f t="shared" ca="1" si="207"/>
        <v>0</v>
      </c>
      <c r="AF746" t="str">
        <f t="shared" ca="1" si="208"/>
        <v/>
      </c>
      <c r="AG746">
        <v>182</v>
      </c>
      <c r="AH746" t="s">
        <v>136</v>
      </c>
      <c r="AI746" t="str">
        <f t="shared" si="197"/>
        <v>Lutheran Home 25</v>
      </c>
      <c r="AJ746" t="str">
        <f t="shared" si="198"/>
        <v>Green Bay</v>
      </c>
      <c r="AK746" t="str">
        <f t="shared" si="199"/>
        <v>WI</v>
      </c>
    </row>
    <row r="747" spans="18:37" x14ac:dyDescent="0.25">
      <c r="R747">
        <v>1</v>
      </c>
      <c r="S747">
        <v>489</v>
      </c>
      <c r="T747">
        <f t="shared" si="195"/>
        <v>129</v>
      </c>
      <c r="U747">
        <f t="shared" si="200"/>
        <v>26053</v>
      </c>
      <c r="V747">
        <f t="shared" ca="1" si="201"/>
        <v>0</v>
      </c>
      <c r="W747">
        <v>183</v>
      </c>
      <c r="X747" t="str">
        <f t="shared" ca="1" si="202"/>
        <v/>
      </c>
      <c r="Y747" t="s">
        <v>9</v>
      </c>
      <c r="Z747">
        <f t="shared" ca="1" si="203"/>
        <v>0</v>
      </c>
      <c r="AA747" t="str">
        <f t="shared" ca="1" si="204"/>
        <v>SPPN</v>
      </c>
      <c r="AB747">
        <f t="shared" ca="1" si="205"/>
        <v>1</v>
      </c>
      <c r="AC747" t="str">
        <f t="shared" ca="1" si="206"/>
        <v/>
      </c>
      <c r="AD747" t="str">
        <f t="shared" si="196"/>
        <v>4093RN153</v>
      </c>
      <c r="AE747">
        <f t="shared" ca="1" si="207"/>
        <v>0</v>
      </c>
      <c r="AF747" t="str">
        <f t="shared" ca="1" si="208"/>
        <v/>
      </c>
      <c r="AG747">
        <v>183</v>
      </c>
      <c r="AH747" t="s">
        <v>136</v>
      </c>
      <c r="AI747" t="str">
        <f t="shared" si="197"/>
        <v>Lutheran Home 25</v>
      </c>
      <c r="AJ747" t="str">
        <f t="shared" si="198"/>
        <v>Green Bay</v>
      </c>
      <c r="AK747" t="str">
        <f t="shared" si="199"/>
        <v>WI</v>
      </c>
    </row>
    <row r="748" spans="18:37" x14ac:dyDescent="0.25">
      <c r="S748">
        <v>490</v>
      </c>
      <c r="T748">
        <f t="shared" si="195"/>
        <v>129</v>
      </c>
      <c r="U748">
        <f t="shared" si="200"/>
        <v>26053</v>
      </c>
      <c r="V748">
        <f t="shared" ca="1" si="201"/>
        <v>0</v>
      </c>
      <c r="W748">
        <v>183</v>
      </c>
      <c r="X748" t="str">
        <f t="shared" ca="1" si="202"/>
        <v/>
      </c>
      <c r="Y748" t="s">
        <v>33</v>
      </c>
      <c r="Z748">
        <f t="shared" ca="1" si="203"/>
        <v>0</v>
      </c>
      <c r="AA748" t="str">
        <f t="shared" ca="1" si="204"/>
        <v>SPPN</v>
      </c>
      <c r="AB748">
        <f t="shared" ca="1" si="205"/>
        <v>1</v>
      </c>
      <c r="AC748" t="str">
        <f t="shared" ca="1" si="206"/>
        <v/>
      </c>
      <c r="AD748" t="str">
        <f t="shared" si="196"/>
        <v>4093RN153</v>
      </c>
      <c r="AE748">
        <f t="shared" ca="1" si="207"/>
        <v>0</v>
      </c>
      <c r="AF748" t="str">
        <f t="shared" ca="1" si="208"/>
        <v/>
      </c>
      <c r="AG748">
        <v>183</v>
      </c>
      <c r="AH748" t="s">
        <v>136</v>
      </c>
      <c r="AI748" t="str">
        <f t="shared" si="197"/>
        <v>Lutheran Home 25</v>
      </c>
      <c r="AJ748" t="str">
        <f t="shared" si="198"/>
        <v>Green Bay</v>
      </c>
      <c r="AK748" t="str">
        <f t="shared" si="199"/>
        <v>WI</v>
      </c>
    </row>
    <row r="749" spans="18:37" x14ac:dyDescent="0.25">
      <c r="S749">
        <v>491</v>
      </c>
      <c r="T749">
        <f t="shared" si="195"/>
        <v>129</v>
      </c>
      <c r="U749">
        <f t="shared" si="200"/>
        <v>26053</v>
      </c>
      <c r="V749">
        <f t="shared" ca="1" si="201"/>
        <v>0</v>
      </c>
      <c r="W749">
        <v>183</v>
      </c>
      <c r="X749" t="str">
        <f t="shared" ca="1" si="202"/>
        <v/>
      </c>
      <c r="Y749" t="s">
        <v>28</v>
      </c>
      <c r="Z749">
        <f t="shared" ca="1" si="203"/>
        <v>0</v>
      </c>
      <c r="AA749" t="str">
        <f t="shared" ca="1" si="204"/>
        <v>SPPN</v>
      </c>
      <c r="AB749">
        <f t="shared" ca="1" si="205"/>
        <v>1</v>
      </c>
      <c r="AC749">
        <f t="shared" ca="1" si="206"/>
        <v>0</v>
      </c>
      <c r="AD749" t="str">
        <f t="shared" si="196"/>
        <v>4093RN153</v>
      </c>
      <c r="AE749">
        <f t="shared" ca="1" si="207"/>
        <v>0</v>
      </c>
      <c r="AF749" t="str">
        <f t="shared" ca="1" si="208"/>
        <v/>
      </c>
      <c r="AG749">
        <v>183</v>
      </c>
      <c r="AH749" t="s">
        <v>136</v>
      </c>
      <c r="AI749" t="str">
        <f t="shared" si="197"/>
        <v>Lutheran Home 25</v>
      </c>
      <c r="AJ749" t="str">
        <f t="shared" si="198"/>
        <v>Green Bay</v>
      </c>
      <c r="AK749" t="str">
        <f t="shared" si="199"/>
        <v>WI</v>
      </c>
    </row>
    <row r="750" spans="18:37" x14ac:dyDescent="0.25">
      <c r="S750">
        <v>492</v>
      </c>
      <c r="T750">
        <f t="shared" si="195"/>
        <v>129</v>
      </c>
      <c r="U750">
        <f t="shared" si="200"/>
        <v>26053</v>
      </c>
      <c r="V750">
        <f t="shared" ca="1" si="201"/>
        <v>0</v>
      </c>
      <c r="W750">
        <v>183</v>
      </c>
      <c r="X750" t="str">
        <f t="shared" ca="1" si="202"/>
        <v/>
      </c>
      <c r="Y750" t="s">
        <v>32</v>
      </c>
      <c r="Z750">
        <f t="shared" ca="1" si="203"/>
        <v>0</v>
      </c>
      <c r="AA750" t="str">
        <f t="shared" ca="1" si="204"/>
        <v>SPPN</v>
      </c>
      <c r="AB750">
        <f t="shared" ca="1" si="205"/>
        <v>1</v>
      </c>
      <c r="AC750">
        <f t="shared" ca="1" si="206"/>
        <v>0</v>
      </c>
      <c r="AD750" t="str">
        <f t="shared" si="196"/>
        <v>4093RN153</v>
      </c>
      <c r="AE750">
        <f t="shared" ca="1" si="207"/>
        <v>0</v>
      </c>
      <c r="AF750" t="str">
        <f t="shared" ca="1" si="208"/>
        <v/>
      </c>
      <c r="AG750">
        <v>183</v>
      </c>
      <c r="AH750" t="s">
        <v>136</v>
      </c>
      <c r="AI750" t="str">
        <f t="shared" si="197"/>
        <v>Lutheran Home 25</v>
      </c>
      <c r="AJ750" t="str">
        <f t="shared" si="198"/>
        <v>Green Bay</v>
      </c>
      <c r="AK750" t="str">
        <f t="shared" si="199"/>
        <v>WI</v>
      </c>
    </row>
    <row r="751" spans="18:37" x14ac:dyDescent="0.25">
      <c r="R751">
        <v>1</v>
      </c>
      <c r="S751">
        <v>493</v>
      </c>
      <c r="T751">
        <f t="shared" si="195"/>
        <v>129</v>
      </c>
      <c r="U751">
        <f t="shared" si="200"/>
        <v>26053</v>
      </c>
      <c r="V751">
        <f t="shared" ca="1" si="201"/>
        <v>0</v>
      </c>
      <c r="W751">
        <v>184</v>
      </c>
      <c r="X751" t="str">
        <f t="shared" ca="1" si="202"/>
        <v/>
      </c>
      <c r="Y751" t="s">
        <v>9</v>
      </c>
      <c r="Z751">
        <f t="shared" ca="1" si="203"/>
        <v>0</v>
      </c>
      <c r="AA751" t="str">
        <f t="shared" ca="1" si="204"/>
        <v>SPPN</v>
      </c>
      <c r="AB751">
        <f t="shared" ca="1" si="205"/>
        <v>1</v>
      </c>
      <c r="AC751" t="str">
        <f t="shared" ca="1" si="206"/>
        <v/>
      </c>
      <c r="AD751" t="str">
        <f t="shared" si="196"/>
        <v>4093RN153</v>
      </c>
      <c r="AE751">
        <f t="shared" ca="1" si="207"/>
        <v>0</v>
      </c>
      <c r="AF751" t="str">
        <f t="shared" ca="1" si="208"/>
        <v/>
      </c>
      <c r="AG751">
        <v>184</v>
      </c>
      <c r="AH751" t="s">
        <v>136</v>
      </c>
      <c r="AI751" t="str">
        <f t="shared" si="197"/>
        <v>Lutheran Home 25</v>
      </c>
      <c r="AJ751" t="str">
        <f t="shared" si="198"/>
        <v>Green Bay</v>
      </c>
      <c r="AK751" t="str">
        <f t="shared" si="199"/>
        <v>WI</v>
      </c>
    </row>
    <row r="752" spans="18:37" x14ac:dyDescent="0.25">
      <c r="S752">
        <v>494</v>
      </c>
      <c r="T752">
        <f t="shared" si="195"/>
        <v>129</v>
      </c>
      <c r="U752">
        <f t="shared" si="200"/>
        <v>26053</v>
      </c>
      <c r="V752">
        <f t="shared" ca="1" si="201"/>
        <v>0</v>
      </c>
      <c r="W752">
        <v>184</v>
      </c>
      <c r="X752" t="str">
        <f t="shared" ca="1" si="202"/>
        <v/>
      </c>
      <c r="Y752" t="s">
        <v>33</v>
      </c>
      <c r="Z752">
        <f t="shared" ca="1" si="203"/>
        <v>0</v>
      </c>
      <c r="AA752" t="str">
        <f t="shared" ca="1" si="204"/>
        <v>SPPN</v>
      </c>
      <c r="AB752">
        <f t="shared" ca="1" si="205"/>
        <v>1</v>
      </c>
      <c r="AC752" t="str">
        <f t="shared" ca="1" si="206"/>
        <v/>
      </c>
      <c r="AD752" t="str">
        <f t="shared" si="196"/>
        <v>4093RN153</v>
      </c>
      <c r="AE752">
        <f t="shared" ca="1" si="207"/>
        <v>0</v>
      </c>
      <c r="AF752" t="str">
        <f t="shared" ca="1" si="208"/>
        <v/>
      </c>
      <c r="AG752">
        <v>184</v>
      </c>
      <c r="AH752" t="s">
        <v>136</v>
      </c>
      <c r="AI752" t="str">
        <f t="shared" si="197"/>
        <v>Lutheran Home 25</v>
      </c>
      <c r="AJ752" t="str">
        <f t="shared" si="198"/>
        <v>Green Bay</v>
      </c>
      <c r="AK752" t="str">
        <f t="shared" si="199"/>
        <v>WI</v>
      </c>
    </row>
    <row r="753" spans="18:37" x14ac:dyDescent="0.25">
      <c r="S753">
        <v>495</v>
      </c>
      <c r="T753">
        <f t="shared" si="195"/>
        <v>129</v>
      </c>
      <c r="U753">
        <f t="shared" si="200"/>
        <v>26053</v>
      </c>
      <c r="V753">
        <f t="shared" ca="1" si="201"/>
        <v>0</v>
      </c>
      <c r="W753">
        <v>184</v>
      </c>
      <c r="X753" t="str">
        <f t="shared" ca="1" si="202"/>
        <v/>
      </c>
      <c r="Y753" t="s">
        <v>28</v>
      </c>
      <c r="Z753">
        <f t="shared" ca="1" si="203"/>
        <v>0</v>
      </c>
      <c r="AA753" t="str">
        <f t="shared" ca="1" si="204"/>
        <v>SPPN</v>
      </c>
      <c r="AB753">
        <f t="shared" ca="1" si="205"/>
        <v>1</v>
      </c>
      <c r="AC753">
        <f t="shared" ca="1" si="206"/>
        <v>0</v>
      </c>
      <c r="AD753" t="str">
        <f t="shared" si="196"/>
        <v>4093RN153</v>
      </c>
      <c r="AE753">
        <f t="shared" ca="1" si="207"/>
        <v>0</v>
      </c>
      <c r="AF753" t="str">
        <f t="shared" ca="1" si="208"/>
        <v/>
      </c>
      <c r="AG753">
        <v>184</v>
      </c>
      <c r="AH753" t="s">
        <v>136</v>
      </c>
      <c r="AI753" t="str">
        <f t="shared" si="197"/>
        <v>Lutheran Home 25</v>
      </c>
      <c r="AJ753" t="str">
        <f t="shared" si="198"/>
        <v>Green Bay</v>
      </c>
      <c r="AK753" t="str">
        <f t="shared" si="199"/>
        <v>WI</v>
      </c>
    </row>
    <row r="754" spans="18:37" x14ac:dyDescent="0.25">
      <c r="S754">
        <v>496</v>
      </c>
      <c r="T754">
        <f t="shared" si="195"/>
        <v>129</v>
      </c>
      <c r="U754">
        <f t="shared" si="200"/>
        <v>26053</v>
      </c>
      <c r="V754">
        <f t="shared" ca="1" si="201"/>
        <v>0</v>
      </c>
      <c r="W754">
        <v>184</v>
      </c>
      <c r="X754" t="str">
        <f t="shared" ca="1" si="202"/>
        <v/>
      </c>
      <c r="Y754" t="s">
        <v>32</v>
      </c>
      <c r="Z754">
        <f t="shared" ca="1" si="203"/>
        <v>0</v>
      </c>
      <c r="AA754" t="str">
        <f t="shared" ca="1" si="204"/>
        <v>SPPN</v>
      </c>
      <c r="AB754">
        <f t="shared" ca="1" si="205"/>
        <v>1</v>
      </c>
      <c r="AC754">
        <f t="shared" ca="1" si="206"/>
        <v>0</v>
      </c>
      <c r="AD754" t="str">
        <f t="shared" si="196"/>
        <v>4093RN153</v>
      </c>
      <c r="AE754">
        <f t="shared" ca="1" si="207"/>
        <v>0</v>
      </c>
      <c r="AF754" t="str">
        <f t="shared" ca="1" si="208"/>
        <v/>
      </c>
      <c r="AG754">
        <v>184</v>
      </c>
      <c r="AH754" t="s">
        <v>136</v>
      </c>
      <c r="AI754" t="str">
        <f t="shared" si="197"/>
        <v>Lutheran Home 25</v>
      </c>
      <c r="AJ754" t="str">
        <f t="shared" si="198"/>
        <v>Green Bay</v>
      </c>
      <c r="AK754" t="str">
        <f t="shared" si="199"/>
        <v>WI</v>
      </c>
    </row>
    <row r="755" spans="18:37" x14ac:dyDescent="0.25">
      <c r="R755">
        <v>1</v>
      </c>
      <c r="S755">
        <v>497</v>
      </c>
      <c r="T755">
        <f t="shared" si="195"/>
        <v>129</v>
      </c>
      <c r="U755">
        <f t="shared" si="200"/>
        <v>26053</v>
      </c>
      <c r="V755">
        <f t="shared" ca="1" si="201"/>
        <v>0</v>
      </c>
      <c r="W755">
        <v>185</v>
      </c>
      <c r="X755" t="str">
        <f t="shared" ca="1" si="202"/>
        <v/>
      </c>
      <c r="Y755" t="s">
        <v>9</v>
      </c>
      <c r="Z755">
        <f t="shared" ca="1" si="203"/>
        <v>0</v>
      </c>
      <c r="AA755" t="str">
        <f t="shared" ca="1" si="204"/>
        <v>SPPN</v>
      </c>
      <c r="AB755">
        <f t="shared" ca="1" si="205"/>
        <v>1</v>
      </c>
      <c r="AC755" t="str">
        <f t="shared" ca="1" si="206"/>
        <v/>
      </c>
      <c r="AD755" t="str">
        <f t="shared" si="196"/>
        <v>4093RN153</v>
      </c>
      <c r="AE755">
        <f t="shared" ca="1" si="207"/>
        <v>0</v>
      </c>
      <c r="AF755" t="str">
        <f t="shared" ca="1" si="208"/>
        <v/>
      </c>
      <c r="AG755">
        <v>185</v>
      </c>
      <c r="AH755" t="s">
        <v>136</v>
      </c>
      <c r="AI755" t="str">
        <f t="shared" si="197"/>
        <v>Lutheran Home 25</v>
      </c>
      <c r="AJ755" t="str">
        <f t="shared" si="198"/>
        <v>Green Bay</v>
      </c>
      <c r="AK755" t="str">
        <f t="shared" si="199"/>
        <v>WI</v>
      </c>
    </row>
    <row r="756" spans="18:37" x14ac:dyDescent="0.25">
      <c r="S756">
        <v>498</v>
      </c>
      <c r="T756">
        <f t="shared" si="195"/>
        <v>129</v>
      </c>
      <c r="U756">
        <f t="shared" si="200"/>
        <v>26053</v>
      </c>
      <c r="V756">
        <f t="shared" ca="1" si="201"/>
        <v>0</v>
      </c>
      <c r="W756">
        <v>185</v>
      </c>
      <c r="X756" t="str">
        <f t="shared" ca="1" si="202"/>
        <v/>
      </c>
      <c r="Y756" t="s">
        <v>33</v>
      </c>
      <c r="Z756">
        <f t="shared" ca="1" si="203"/>
        <v>0</v>
      </c>
      <c r="AA756" t="str">
        <f t="shared" ca="1" si="204"/>
        <v>SPPN</v>
      </c>
      <c r="AB756">
        <f t="shared" ca="1" si="205"/>
        <v>1</v>
      </c>
      <c r="AC756" t="str">
        <f t="shared" ca="1" si="206"/>
        <v/>
      </c>
      <c r="AD756" t="str">
        <f t="shared" si="196"/>
        <v>4093RN153</v>
      </c>
      <c r="AE756">
        <f t="shared" ca="1" si="207"/>
        <v>0</v>
      </c>
      <c r="AF756" t="str">
        <f t="shared" ca="1" si="208"/>
        <v/>
      </c>
      <c r="AG756">
        <v>185</v>
      </c>
      <c r="AH756" t="s">
        <v>136</v>
      </c>
      <c r="AI756" t="str">
        <f t="shared" si="197"/>
        <v>Lutheran Home 25</v>
      </c>
      <c r="AJ756" t="str">
        <f t="shared" si="198"/>
        <v>Green Bay</v>
      </c>
      <c r="AK756" t="str">
        <f t="shared" si="199"/>
        <v>WI</v>
      </c>
    </row>
    <row r="757" spans="18:37" x14ac:dyDescent="0.25">
      <c r="S757">
        <v>499</v>
      </c>
      <c r="T757">
        <f t="shared" si="195"/>
        <v>129</v>
      </c>
      <c r="U757">
        <f t="shared" si="200"/>
        <v>26053</v>
      </c>
      <c r="V757">
        <f t="shared" ca="1" si="201"/>
        <v>0</v>
      </c>
      <c r="W757">
        <v>185</v>
      </c>
      <c r="X757" t="str">
        <f t="shared" ca="1" si="202"/>
        <v/>
      </c>
      <c r="Y757" t="s">
        <v>28</v>
      </c>
      <c r="Z757">
        <f t="shared" ca="1" si="203"/>
        <v>0</v>
      </c>
      <c r="AA757" t="str">
        <f t="shared" ca="1" si="204"/>
        <v>SPPN</v>
      </c>
      <c r="AB757">
        <f t="shared" ca="1" si="205"/>
        <v>1</v>
      </c>
      <c r="AC757">
        <f t="shared" ca="1" si="206"/>
        <v>0</v>
      </c>
      <c r="AD757" t="str">
        <f t="shared" si="196"/>
        <v>4093RN153</v>
      </c>
      <c r="AE757">
        <f t="shared" ca="1" si="207"/>
        <v>0</v>
      </c>
      <c r="AF757" t="str">
        <f t="shared" ca="1" si="208"/>
        <v/>
      </c>
      <c r="AG757">
        <v>185</v>
      </c>
      <c r="AH757" t="s">
        <v>136</v>
      </c>
      <c r="AI757" t="str">
        <f t="shared" si="197"/>
        <v>Lutheran Home 25</v>
      </c>
      <c r="AJ757" t="str">
        <f t="shared" si="198"/>
        <v>Green Bay</v>
      </c>
      <c r="AK757" t="str">
        <f t="shared" si="199"/>
        <v>WI</v>
      </c>
    </row>
    <row r="758" spans="18:37" x14ac:dyDescent="0.25">
      <c r="S758">
        <v>500</v>
      </c>
      <c r="T758">
        <f t="shared" si="195"/>
        <v>129</v>
      </c>
      <c r="U758">
        <f t="shared" si="200"/>
        <v>26053</v>
      </c>
      <c r="V758">
        <f t="shared" ca="1" si="201"/>
        <v>0</v>
      </c>
      <c r="W758">
        <v>185</v>
      </c>
      <c r="X758" t="str">
        <f t="shared" ca="1" si="202"/>
        <v/>
      </c>
      <c r="Y758" t="s">
        <v>32</v>
      </c>
      <c r="Z758">
        <f t="shared" ca="1" si="203"/>
        <v>0</v>
      </c>
      <c r="AA758" t="str">
        <f t="shared" ca="1" si="204"/>
        <v>SPPN</v>
      </c>
      <c r="AB758">
        <f t="shared" ca="1" si="205"/>
        <v>1</v>
      </c>
      <c r="AC758">
        <f t="shared" ca="1" si="206"/>
        <v>0</v>
      </c>
      <c r="AD758" t="str">
        <f t="shared" si="196"/>
        <v>4093RN153</v>
      </c>
      <c r="AE758">
        <f t="shared" ca="1" si="207"/>
        <v>0</v>
      </c>
      <c r="AF758" t="str">
        <f t="shared" ca="1" si="208"/>
        <v/>
      </c>
      <c r="AG758">
        <v>185</v>
      </c>
      <c r="AH758" t="s">
        <v>136</v>
      </c>
      <c r="AI758" t="str">
        <f t="shared" si="197"/>
        <v>Lutheran Home 25</v>
      </c>
      <c r="AJ758" t="str">
        <f t="shared" si="198"/>
        <v>Green Bay</v>
      </c>
      <c r="AK758" t="str">
        <f t="shared" si="199"/>
        <v>WI</v>
      </c>
    </row>
    <row r="759" spans="18:37" x14ac:dyDescent="0.25">
      <c r="R759">
        <v>1</v>
      </c>
      <c r="S759">
        <v>501</v>
      </c>
      <c r="T759">
        <f t="shared" si="195"/>
        <v>129</v>
      </c>
      <c r="U759">
        <f t="shared" si="200"/>
        <v>26053</v>
      </c>
      <c r="V759">
        <f t="shared" ca="1" si="201"/>
        <v>0</v>
      </c>
      <c r="W759">
        <v>186</v>
      </c>
      <c r="X759" t="str">
        <f t="shared" ca="1" si="202"/>
        <v/>
      </c>
      <c r="Y759" t="s">
        <v>9</v>
      </c>
      <c r="Z759">
        <f t="shared" ca="1" si="203"/>
        <v>0</v>
      </c>
      <c r="AA759" t="str">
        <f t="shared" ca="1" si="204"/>
        <v>SPPN</v>
      </c>
      <c r="AB759">
        <f t="shared" ca="1" si="205"/>
        <v>1</v>
      </c>
      <c r="AC759" t="str">
        <f t="shared" ca="1" si="206"/>
        <v/>
      </c>
      <c r="AD759" t="str">
        <f t="shared" si="196"/>
        <v>4093RN153</v>
      </c>
      <c r="AE759">
        <f t="shared" ca="1" si="207"/>
        <v>0</v>
      </c>
      <c r="AF759" t="str">
        <f t="shared" ca="1" si="208"/>
        <v/>
      </c>
      <c r="AG759">
        <v>186</v>
      </c>
      <c r="AH759" t="s">
        <v>136</v>
      </c>
      <c r="AI759" t="str">
        <f t="shared" si="197"/>
        <v>Lutheran Home 25</v>
      </c>
      <c r="AJ759" t="str">
        <f t="shared" si="198"/>
        <v>Green Bay</v>
      </c>
      <c r="AK759" t="str">
        <f t="shared" si="199"/>
        <v>WI</v>
      </c>
    </row>
    <row r="760" spans="18:37" x14ac:dyDescent="0.25">
      <c r="S760">
        <v>502</v>
      </c>
      <c r="T760">
        <f t="shared" si="195"/>
        <v>129</v>
      </c>
      <c r="U760">
        <f t="shared" si="200"/>
        <v>26053</v>
      </c>
      <c r="V760">
        <f t="shared" ca="1" si="201"/>
        <v>0</v>
      </c>
      <c r="W760">
        <v>186</v>
      </c>
      <c r="X760" t="str">
        <f t="shared" ca="1" si="202"/>
        <v/>
      </c>
      <c r="Y760" t="s">
        <v>33</v>
      </c>
      <c r="Z760">
        <f t="shared" ca="1" si="203"/>
        <v>0</v>
      </c>
      <c r="AA760" t="str">
        <f t="shared" ca="1" si="204"/>
        <v>SPPN</v>
      </c>
      <c r="AB760">
        <f t="shared" ca="1" si="205"/>
        <v>1</v>
      </c>
      <c r="AC760" t="str">
        <f t="shared" ca="1" si="206"/>
        <v/>
      </c>
      <c r="AD760" t="str">
        <f t="shared" si="196"/>
        <v>4093RN153</v>
      </c>
      <c r="AE760">
        <f t="shared" ca="1" si="207"/>
        <v>0</v>
      </c>
      <c r="AF760" t="str">
        <f t="shared" ca="1" si="208"/>
        <v/>
      </c>
      <c r="AG760">
        <v>186</v>
      </c>
      <c r="AH760" t="s">
        <v>136</v>
      </c>
      <c r="AI760" t="str">
        <f t="shared" si="197"/>
        <v>Lutheran Home 25</v>
      </c>
      <c r="AJ760" t="str">
        <f t="shared" si="198"/>
        <v>Green Bay</v>
      </c>
      <c r="AK760" t="str">
        <f t="shared" si="199"/>
        <v>WI</v>
      </c>
    </row>
    <row r="761" spans="18:37" x14ac:dyDescent="0.25">
      <c r="S761">
        <v>503</v>
      </c>
      <c r="T761">
        <f t="shared" si="195"/>
        <v>129</v>
      </c>
      <c r="U761">
        <f t="shared" si="200"/>
        <v>26053</v>
      </c>
      <c r="V761">
        <f t="shared" ca="1" si="201"/>
        <v>0</v>
      </c>
      <c r="W761">
        <v>186</v>
      </c>
      <c r="X761" t="str">
        <f t="shared" ca="1" si="202"/>
        <v/>
      </c>
      <c r="Y761" t="s">
        <v>28</v>
      </c>
      <c r="Z761">
        <f t="shared" ca="1" si="203"/>
        <v>0</v>
      </c>
      <c r="AA761" t="str">
        <f t="shared" ca="1" si="204"/>
        <v>SPPN</v>
      </c>
      <c r="AB761">
        <f t="shared" ca="1" si="205"/>
        <v>1</v>
      </c>
      <c r="AC761">
        <f t="shared" ca="1" si="206"/>
        <v>0</v>
      </c>
      <c r="AD761" t="str">
        <f t="shared" si="196"/>
        <v>4093RN153</v>
      </c>
      <c r="AE761">
        <f t="shared" ca="1" si="207"/>
        <v>0</v>
      </c>
      <c r="AF761" t="str">
        <f t="shared" ca="1" si="208"/>
        <v/>
      </c>
      <c r="AG761">
        <v>186</v>
      </c>
      <c r="AH761" t="s">
        <v>136</v>
      </c>
      <c r="AI761" t="str">
        <f t="shared" si="197"/>
        <v>Lutheran Home 25</v>
      </c>
      <c r="AJ761" t="str">
        <f t="shared" si="198"/>
        <v>Green Bay</v>
      </c>
      <c r="AK761" t="str">
        <f t="shared" si="199"/>
        <v>WI</v>
      </c>
    </row>
    <row r="762" spans="18:37" x14ac:dyDescent="0.25">
      <c r="S762">
        <v>504</v>
      </c>
      <c r="T762">
        <f t="shared" si="195"/>
        <v>129</v>
      </c>
      <c r="U762">
        <f t="shared" si="200"/>
        <v>26053</v>
      </c>
      <c r="V762">
        <f t="shared" ca="1" si="201"/>
        <v>0</v>
      </c>
      <c r="W762">
        <v>186</v>
      </c>
      <c r="X762" t="str">
        <f t="shared" ca="1" si="202"/>
        <v/>
      </c>
      <c r="Y762" t="s">
        <v>32</v>
      </c>
      <c r="Z762">
        <f t="shared" ca="1" si="203"/>
        <v>0</v>
      </c>
      <c r="AA762" t="str">
        <f t="shared" ca="1" si="204"/>
        <v>SPPN</v>
      </c>
      <c r="AB762">
        <f t="shared" ca="1" si="205"/>
        <v>1</v>
      </c>
      <c r="AC762">
        <f t="shared" ca="1" si="206"/>
        <v>0</v>
      </c>
      <c r="AD762" t="str">
        <f t="shared" si="196"/>
        <v>4093RN153</v>
      </c>
      <c r="AE762">
        <f t="shared" ca="1" si="207"/>
        <v>0</v>
      </c>
      <c r="AF762" t="str">
        <f t="shared" ca="1" si="208"/>
        <v/>
      </c>
      <c r="AG762">
        <v>186</v>
      </c>
      <c r="AH762" t="s">
        <v>136</v>
      </c>
      <c r="AI762" t="str">
        <f t="shared" si="197"/>
        <v>Lutheran Home 25</v>
      </c>
      <c r="AJ762" t="str">
        <f t="shared" si="198"/>
        <v>Green Bay</v>
      </c>
      <c r="AK762" t="str">
        <f t="shared" si="199"/>
        <v>WI</v>
      </c>
    </row>
    <row r="763" spans="18:37" x14ac:dyDescent="0.25">
      <c r="R763">
        <v>1</v>
      </c>
      <c r="S763">
        <v>505</v>
      </c>
      <c r="T763">
        <f t="shared" si="195"/>
        <v>129</v>
      </c>
      <c r="U763">
        <f t="shared" si="200"/>
        <v>26053</v>
      </c>
      <c r="V763">
        <f t="shared" ca="1" si="201"/>
        <v>0</v>
      </c>
      <c r="W763">
        <v>187</v>
      </c>
      <c r="X763" t="str">
        <f t="shared" ca="1" si="202"/>
        <v/>
      </c>
      <c r="Y763" t="s">
        <v>9</v>
      </c>
      <c r="Z763">
        <f t="shared" ca="1" si="203"/>
        <v>0</v>
      </c>
      <c r="AA763" t="str">
        <f t="shared" ca="1" si="204"/>
        <v>SPPN</v>
      </c>
      <c r="AB763">
        <f t="shared" ca="1" si="205"/>
        <v>1</v>
      </c>
      <c r="AC763" t="str">
        <f t="shared" ca="1" si="206"/>
        <v/>
      </c>
      <c r="AD763" t="str">
        <f t="shared" si="196"/>
        <v>4093RN153</v>
      </c>
      <c r="AE763">
        <f t="shared" ca="1" si="207"/>
        <v>0</v>
      </c>
      <c r="AF763" t="str">
        <f t="shared" ca="1" si="208"/>
        <v/>
      </c>
      <c r="AG763">
        <v>187</v>
      </c>
      <c r="AH763" t="s">
        <v>136</v>
      </c>
      <c r="AI763" t="str">
        <f t="shared" si="197"/>
        <v>Lutheran Home 25</v>
      </c>
      <c r="AJ763" t="str">
        <f t="shared" si="198"/>
        <v>Green Bay</v>
      </c>
      <c r="AK763" t="str">
        <f t="shared" si="199"/>
        <v>WI</v>
      </c>
    </row>
    <row r="764" spans="18:37" x14ac:dyDescent="0.25">
      <c r="S764">
        <v>506</v>
      </c>
      <c r="T764">
        <f t="shared" si="195"/>
        <v>129</v>
      </c>
      <c r="U764">
        <f t="shared" si="200"/>
        <v>26053</v>
      </c>
      <c r="V764">
        <f t="shared" ca="1" si="201"/>
        <v>0</v>
      </c>
      <c r="W764">
        <v>187</v>
      </c>
      <c r="X764" t="str">
        <f t="shared" ca="1" si="202"/>
        <v/>
      </c>
      <c r="Y764" t="s">
        <v>33</v>
      </c>
      <c r="Z764">
        <f t="shared" ca="1" si="203"/>
        <v>0</v>
      </c>
      <c r="AA764" t="str">
        <f t="shared" ca="1" si="204"/>
        <v>SPPN</v>
      </c>
      <c r="AB764">
        <f t="shared" ca="1" si="205"/>
        <v>1</v>
      </c>
      <c r="AC764" t="str">
        <f t="shared" ca="1" si="206"/>
        <v/>
      </c>
      <c r="AD764" t="str">
        <f t="shared" si="196"/>
        <v>4093RN153</v>
      </c>
      <c r="AE764">
        <f t="shared" ca="1" si="207"/>
        <v>0</v>
      </c>
      <c r="AF764" t="str">
        <f t="shared" ca="1" si="208"/>
        <v/>
      </c>
      <c r="AG764">
        <v>187</v>
      </c>
      <c r="AH764" t="s">
        <v>136</v>
      </c>
      <c r="AI764" t="str">
        <f t="shared" si="197"/>
        <v>Lutheran Home 25</v>
      </c>
      <c r="AJ764" t="str">
        <f t="shared" si="198"/>
        <v>Green Bay</v>
      </c>
      <c r="AK764" t="str">
        <f t="shared" si="199"/>
        <v>WI</v>
      </c>
    </row>
    <row r="765" spans="18:37" x14ac:dyDescent="0.25">
      <c r="S765">
        <v>507</v>
      </c>
      <c r="T765">
        <f t="shared" si="195"/>
        <v>129</v>
      </c>
      <c r="U765">
        <f t="shared" si="200"/>
        <v>26053</v>
      </c>
      <c r="V765">
        <f t="shared" ca="1" si="201"/>
        <v>0</v>
      </c>
      <c r="W765">
        <v>187</v>
      </c>
      <c r="X765" t="str">
        <f t="shared" ca="1" si="202"/>
        <v/>
      </c>
      <c r="Y765" t="s">
        <v>28</v>
      </c>
      <c r="Z765">
        <f t="shared" ca="1" si="203"/>
        <v>0</v>
      </c>
      <c r="AA765" t="str">
        <f t="shared" ca="1" si="204"/>
        <v>SPPN</v>
      </c>
      <c r="AB765">
        <f t="shared" ca="1" si="205"/>
        <v>1</v>
      </c>
      <c r="AC765">
        <f t="shared" ca="1" si="206"/>
        <v>0</v>
      </c>
      <c r="AD765" t="str">
        <f t="shared" si="196"/>
        <v>4093RN153</v>
      </c>
      <c r="AE765">
        <f t="shared" ca="1" si="207"/>
        <v>0</v>
      </c>
      <c r="AF765" t="str">
        <f t="shared" ca="1" si="208"/>
        <v/>
      </c>
      <c r="AG765">
        <v>187</v>
      </c>
      <c r="AH765" t="s">
        <v>136</v>
      </c>
      <c r="AI765" t="str">
        <f t="shared" si="197"/>
        <v>Lutheran Home 25</v>
      </c>
      <c r="AJ765" t="str">
        <f t="shared" si="198"/>
        <v>Green Bay</v>
      </c>
      <c r="AK765" t="str">
        <f t="shared" si="199"/>
        <v>WI</v>
      </c>
    </row>
    <row r="766" spans="18:37" x14ac:dyDescent="0.25">
      <c r="S766">
        <v>508</v>
      </c>
      <c r="T766">
        <f t="shared" si="195"/>
        <v>129</v>
      </c>
      <c r="U766">
        <f t="shared" si="200"/>
        <v>26053</v>
      </c>
      <c r="V766">
        <f t="shared" ca="1" si="201"/>
        <v>0</v>
      </c>
      <c r="W766">
        <v>187</v>
      </c>
      <c r="X766" t="str">
        <f t="shared" ca="1" si="202"/>
        <v/>
      </c>
      <c r="Y766" t="s">
        <v>32</v>
      </c>
      <c r="Z766">
        <f t="shared" ca="1" si="203"/>
        <v>0</v>
      </c>
      <c r="AA766" t="str">
        <f t="shared" ca="1" si="204"/>
        <v>SPPN</v>
      </c>
      <c r="AB766">
        <f t="shared" ca="1" si="205"/>
        <v>1</v>
      </c>
      <c r="AC766">
        <f t="shared" ca="1" si="206"/>
        <v>0</v>
      </c>
      <c r="AD766" t="str">
        <f t="shared" si="196"/>
        <v>4093RN153</v>
      </c>
      <c r="AE766">
        <f t="shared" ca="1" si="207"/>
        <v>0</v>
      </c>
      <c r="AF766" t="str">
        <f t="shared" ca="1" si="208"/>
        <v/>
      </c>
      <c r="AG766">
        <v>187</v>
      </c>
      <c r="AH766" t="s">
        <v>136</v>
      </c>
      <c r="AI766" t="str">
        <f t="shared" si="197"/>
        <v>Lutheran Home 25</v>
      </c>
      <c r="AJ766" t="str">
        <f t="shared" si="198"/>
        <v>Green Bay</v>
      </c>
      <c r="AK766" t="str">
        <f t="shared" si="199"/>
        <v>WI</v>
      </c>
    </row>
    <row r="767" spans="18:37" x14ac:dyDescent="0.25">
      <c r="R767">
        <v>1</v>
      </c>
      <c r="S767">
        <v>509</v>
      </c>
      <c r="T767">
        <f t="shared" si="195"/>
        <v>129</v>
      </c>
      <c r="U767">
        <f t="shared" si="200"/>
        <v>26053</v>
      </c>
      <c r="V767">
        <f t="shared" ca="1" si="201"/>
        <v>0</v>
      </c>
      <c r="W767">
        <v>188</v>
      </c>
      <c r="X767" t="str">
        <f t="shared" ca="1" si="202"/>
        <v/>
      </c>
      <c r="Y767" t="s">
        <v>9</v>
      </c>
      <c r="Z767">
        <f t="shared" ca="1" si="203"/>
        <v>0</v>
      </c>
      <c r="AA767" t="str">
        <f t="shared" ca="1" si="204"/>
        <v>SPPN</v>
      </c>
      <c r="AB767">
        <f t="shared" ca="1" si="205"/>
        <v>1</v>
      </c>
      <c r="AC767" t="str">
        <f t="shared" ca="1" si="206"/>
        <v/>
      </c>
      <c r="AD767" t="str">
        <f t="shared" si="196"/>
        <v>4093RN153</v>
      </c>
      <c r="AE767">
        <f t="shared" ca="1" si="207"/>
        <v>0</v>
      </c>
      <c r="AF767" t="str">
        <f t="shared" ca="1" si="208"/>
        <v/>
      </c>
      <c r="AG767">
        <v>188</v>
      </c>
      <c r="AH767" t="s">
        <v>136</v>
      </c>
      <c r="AI767" t="str">
        <f t="shared" si="197"/>
        <v>Lutheran Home 25</v>
      </c>
      <c r="AJ767" t="str">
        <f t="shared" si="198"/>
        <v>Green Bay</v>
      </c>
      <c r="AK767" t="str">
        <f t="shared" si="199"/>
        <v>WI</v>
      </c>
    </row>
    <row r="768" spans="18:37" x14ac:dyDescent="0.25">
      <c r="S768">
        <v>510</v>
      </c>
      <c r="T768">
        <f t="shared" si="195"/>
        <v>129</v>
      </c>
      <c r="U768">
        <f t="shared" si="200"/>
        <v>26053</v>
      </c>
      <c r="V768">
        <f t="shared" ca="1" si="201"/>
        <v>0</v>
      </c>
      <c r="W768">
        <v>188</v>
      </c>
      <c r="X768" t="str">
        <f t="shared" ca="1" si="202"/>
        <v/>
      </c>
      <c r="Y768" t="s">
        <v>33</v>
      </c>
      <c r="Z768">
        <f t="shared" ca="1" si="203"/>
        <v>0</v>
      </c>
      <c r="AA768" t="str">
        <f t="shared" ca="1" si="204"/>
        <v>SPPN</v>
      </c>
      <c r="AB768">
        <f t="shared" ca="1" si="205"/>
        <v>1</v>
      </c>
      <c r="AC768" t="str">
        <f t="shared" ca="1" si="206"/>
        <v/>
      </c>
      <c r="AD768" t="str">
        <f t="shared" si="196"/>
        <v>4093RN153</v>
      </c>
      <c r="AE768">
        <f t="shared" ca="1" si="207"/>
        <v>0</v>
      </c>
      <c r="AF768" t="str">
        <f t="shared" ca="1" si="208"/>
        <v/>
      </c>
      <c r="AG768">
        <v>188</v>
      </c>
      <c r="AH768" t="s">
        <v>136</v>
      </c>
      <c r="AI768" t="str">
        <f t="shared" si="197"/>
        <v>Lutheran Home 25</v>
      </c>
      <c r="AJ768" t="str">
        <f t="shared" si="198"/>
        <v>Green Bay</v>
      </c>
      <c r="AK768" t="str">
        <f t="shared" si="199"/>
        <v>WI</v>
      </c>
    </row>
    <row r="769" spans="18:37" x14ac:dyDescent="0.25">
      <c r="S769">
        <v>511</v>
      </c>
      <c r="T769">
        <f t="shared" si="195"/>
        <v>129</v>
      </c>
      <c r="U769">
        <f t="shared" si="200"/>
        <v>26053</v>
      </c>
      <c r="V769">
        <f t="shared" ca="1" si="201"/>
        <v>0</v>
      </c>
      <c r="W769">
        <v>188</v>
      </c>
      <c r="X769" t="str">
        <f t="shared" ca="1" si="202"/>
        <v/>
      </c>
      <c r="Y769" t="s">
        <v>28</v>
      </c>
      <c r="Z769">
        <f t="shared" ca="1" si="203"/>
        <v>0</v>
      </c>
      <c r="AA769" t="str">
        <f t="shared" ca="1" si="204"/>
        <v>SPPN</v>
      </c>
      <c r="AB769">
        <f t="shared" ca="1" si="205"/>
        <v>1</v>
      </c>
      <c r="AC769">
        <f t="shared" ca="1" si="206"/>
        <v>0</v>
      </c>
      <c r="AD769" t="str">
        <f t="shared" si="196"/>
        <v>4093RN153</v>
      </c>
      <c r="AE769">
        <f t="shared" ca="1" si="207"/>
        <v>0</v>
      </c>
      <c r="AF769" t="str">
        <f t="shared" ca="1" si="208"/>
        <v/>
      </c>
      <c r="AG769">
        <v>188</v>
      </c>
      <c r="AH769" t="s">
        <v>136</v>
      </c>
      <c r="AI769" t="str">
        <f t="shared" si="197"/>
        <v>Lutheran Home 25</v>
      </c>
      <c r="AJ769" t="str">
        <f t="shared" si="198"/>
        <v>Green Bay</v>
      </c>
      <c r="AK769" t="str">
        <f t="shared" si="199"/>
        <v>WI</v>
      </c>
    </row>
    <row r="770" spans="18:37" x14ac:dyDescent="0.25">
      <c r="S770">
        <v>512</v>
      </c>
      <c r="T770">
        <f t="shared" si="195"/>
        <v>129</v>
      </c>
      <c r="U770">
        <f t="shared" si="200"/>
        <v>26053</v>
      </c>
      <c r="V770">
        <f t="shared" ca="1" si="201"/>
        <v>0</v>
      </c>
      <c r="W770">
        <v>188</v>
      </c>
      <c r="X770" t="str">
        <f t="shared" ca="1" si="202"/>
        <v/>
      </c>
      <c r="Y770" t="s">
        <v>32</v>
      </c>
      <c r="Z770">
        <f t="shared" ca="1" si="203"/>
        <v>0</v>
      </c>
      <c r="AA770" t="str">
        <f t="shared" ca="1" si="204"/>
        <v>SPPN</v>
      </c>
      <c r="AB770">
        <f t="shared" ca="1" si="205"/>
        <v>1</v>
      </c>
      <c r="AC770">
        <f t="shared" ca="1" si="206"/>
        <v>0</v>
      </c>
      <c r="AD770" t="str">
        <f t="shared" si="196"/>
        <v>4093RN153</v>
      </c>
      <c r="AE770">
        <f t="shared" ca="1" si="207"/>
        <v>0</v>
      </c>
      <c r="AF770" t="str">
        <f t="shared" ca="1" si="208"/>
        <v/>
      </c>
      <c r="AG770">
        <v>188</v>
      </c>
      <c r="AH770" t="s">
        <v>136</v>
      </c>
      <c r="AI770" t="str">
        <f t="shared" si="197"/>
        <v>Lutheran Home 25</v>
      </c>
      <c r="AJ770" t="str">
        <f t="shared" si="198"/>
        <v>Green Bay</v>
      </c>
      <c r="AK770" t="str">
        <f t="shared" si="199"/>
        <v>WI</v>
      </c>
    </row>
    <row r="771" spans="18:37" x14ac:dyDescent="0.25">
      <c r="R771">
        <v>1</v>
      </c>
      <c r="S771">
        <v>513</v>
      </c>
      <c r="T771">
        <f t="shared" si="195"/>
        <v>129</v>
      </c>
      <c r="U771">
        <f t="shared" si="200"/>
        <v>26053</v>
      </c>
      <c r="V771">
        <f t="shared" ca="1" si="201"/>
        <v>0</v>
      </c>
      <c r="W771">
        <v>189</v>
      </c>
      <c r="X771" t="str">
        <f t="shared" ca="1" si="202"/>
        <v/>
      </c>
      <c r="Y771" t="s">
        <v>9</v>
      </c>
      <c r="Z771">
        <f t="shared" ca="1" si="203"/>
        <v>0</v>
      </c>
      <c r="AA771" t="str">
        <f t="shared" ca="1" si="204"/>
        <v>SPPN</v>
      </c>
      <c r="AB771">
        <f t="shared" ca="1" si="205"/>
        <v>1</v>
      </c>
      <c r="AC771" t="str">
        <f t="shared" ca="1" si="206"/>
        <v/>
      </c>
      <c r="AD771" t="str">
        <f t="shared" si="196"/>
        <v>4093RN153</v>
      </c>
      <c r="AE771">
        <f t="shared" ca="1" si="207"/>
        <v>0</v>
      </c>
      <c r="AF771" t="str">
        <f t="shared" ca="1" si="208"/>
        <v/>
      </c>
      <c r="AG771">
        <v>189</v>
      </c>
      <c r="AH771" t="s">
        <v>136</v>
      </c>
      <c r="AI771" t="str">
        <f t="shared" si="197"/>
        <v>Lutheran Home 25</v>
      </c>
      <c r="AJ771" t="str">
        <f t="shared" si="198"/>
        <v>Green Bay</v>
      </c>
      <c r="AK771" t="str">
        <f t="shared" si="199"/>
        <v>WI</v>
      </c>
    </row>
    <row r="772" spans="18:37" x14ac:dyDescent="0.25">
      <c r="S772">
        <v>514</v>
      </c>
      <c r="T772">
        <f t="shared" si="195"/>
        <v>129</v>
      </c>
      <c r="U772">
        <f t="shared" si="200"/>
        <v>26053</v>
      </c>
      <c r="V772">
        <f t="shared" ca="1" si="201"/>
        <v>0</v>
      </c>
      <c r="W772">
        <v>189</v>
      </c>
      <c r="X772" t="str">
        <f t="shared" ca="1" si="202"/>
        <v/>
      </c>
      <c r="Y772" t="s">
        <v>33</v>
      </c>
      <c r="Z772">
        <f t="shared" ca="1" si="203"/>
        <v>0</v>
      </c>
      <c r="AA772" t="str">
        <f t="shared" ca="1" si="204"/>
        <v>SPPN</v>
      </c>
      <c r="AB772">
        <f t="shared" ca="1" si="205"/>
        <v>1</v>
      </c>
      <c r="AC772" t="str">
        <f t="shared" ca="1" si="206"/>
        <v/>
      </c>
      <c r="AD772" t="str">
        <f t="shared" si="196"/>
        <v>4093RN153</v>
      </c>
      <c r="AE772">
        <f t="shared" ca="1" si="207"/>
        <v>0</v>
      </c>
      <c r="AF772" t="str">
        <f t="shared" ca="1" si="208"/>
        <v/>
      </c>
      <c r="AG772">
        <v>189</v>
      </c>
      <c r="AH772" t="s">
        <v>136</v>
      </c>
      <c r="AI772" t="str">
        <f t="shared" si="197"/>
        <v>Lutheran Home 25</v>
      </c>
      <c r="AJ772" t="str">
        <f t="shared" si="198"/>
        <v>Green Bay</v>
      </c>
      <c r="AK772" t="str">
        <f t="shared" si="199"/>
        <v>WI</v>
      </c>
    </row>
    <row r="773" spans="18:37" x14ac:dyDescent="0.25">
      <c r="S773">
        <v>515</v>
      </c>
      <c r="T773">
        <f t="shared" si="195"/>
        <v>129</v>
      </c>
      <c r="U773">
        <f t="shared" si="200"/>
        <v>26053</v>
      </c>
      <c r="V773">
        <f t="shared" ca="1" si="201"/>
        <v>0</v>
      </c>
      <c r="W773">
        <v>189</v>
      </c>
      <c r="X773" t="str">
        <f t="shared" ca="1" si="202"/>
        <v/>
      </c>
      <c r="Y773" t="s">
        <v>28</v>
      </c>
      <c r="Z773">
        <f t="shared" ca="1" si="203"/>
        <v>0</v>
      </c>
      <c r="AA773" t="str">
        <f t="shared" ca="1" si="204"/>
        <v>SPPN</v>
      </c>
      <c r="AB773">
        <f t="shared" ca="1" si="205"/>
        <v>1</v>
      </c>
      <c r="AC773">
        <f t="shared" ca="1" si="206"/>
        <v>0</v>
      </c>
      <c r="AD773" t="str">
        <f t="shared" si="196"/>
        <v>4093RN153</v>
      </c>
      <c r="AE773">
        <f t="shared" ca="1" si="207"/>
        <v>0</v>
      </c>
      <c r="AF773" t="str">
        <f t="shared" ca="1" si="208"/>
        <v/>
      </c>
      <c r="AG773">
        <v>189</v>
      </c>
      <c r="AH773" t="s">
        <v>136</v>
      </c>
      <c r="AI773" t="str">
        <f t="shared" si="197"/>
        <v>Lutheran Home 25</v>
      </c>
      <c r="AJ773" t="str">
        <f t="shared" si="198"/>
        <v>Green Bay</v>
      </c>
      <c r="AK773" t="str">
        <f t="shared" si="199"/>
        <v>WI</v>
      </c>
    </row>
    <row r="774" spans="18:37" x14ac:dyDescent="0.25">
      <c r="S774">
        <v>516</v>
      </c>
      <c r="T774">
        <f t="shared" si="195"/>
        <v>129</v>
      </c>
      <c r="U774">
        <f t="shared" si="200"/>
        <v>26053</v>
      </c>
      <c r="V774">
        <f t="shared" ca="1" si="201"/>
        <v>0</v>
      </c>
      <c r="W774">
        <v>189</v>
      </c>
      <c r="X774" t="str">
        <f t="shared" ca="1" si="202"/>
        <v/>
      </c>
      <c r="Y774" t="s">
        <v>32</v>
      </c>
      <c r="Z774">
        <f t="shared" ca="1" si="203"/>
        <v>0</v>
      </c>
      <c r="AA774" t="str">
        <f t="shared" ca="1" si="204"/>
        <v>SPPN</v>
      </c>
      <c r="AB774">
        <f t="shared" ca="1" si="205"/>
        <v>1</v>
      </c>
      <c r="AC774">
        <f t="shared" ca="1" si="206"/>
        <v>0</v>
      </c>
      <c r="AD774" t="str">
        <f t="shared" si="196"/>
        <v>4093RN153</v>
      </c>
      <c r="AE774">
        <f t="shared" ca="1" si="207"/>
        <v>0</v>
      </c>
      <c r="AF774" t="str">
        <f t="shared" ca="1" si="208"/>
        <v/>
      </c>
      <c r="AG774">
        <v>189</v>
      </c>
      <c r="AH774" t="s">
        <v>136</v>
      </c>
      <c r="AI774" t="str">
        <f t="shared" si="197"/>
        <v>Lutheran Home 25</v>
      </c>
      <c r="AJ774" t="str">
        <f t="shared" si="198"/>
        <v>Green Bay</v>
      </c>
      <c r="AK774" t="str">
        <f t="shared" si="199"/>
        <v>WI</v>
      </c>
    </row>
    <row r="775" spans="18:37" x14ac:dyDescent="0.25">
      <c r="R775">
        <v>1</v>
      </c>
      <c r="S775">
        <v>517</v>
      </c>
      <c r="T775">
        <f t="shared" si="195"/>
        <v>129</v>
      </c>
      <c r="U775">
        <f t="shared" si="200"/>
        <v>26053</v>
      </c>
      <c r="V775">
        <f t="shared" ca="1" si="201"/>
        <v>0</v>
      </c>
      <c r="W775">
        <v>190</v>
      </c>
      <c r="X775" t="str">
        <f t="shared" ca="1" si="202"/>
        <v/>
      </c>
      <c r="Y775" t="s">
        <v>9</v>
      </c>
      <c r="Z775">
        <f t="shared" ca="1" si="203"/>
        <v>0</v>
      </c>
      <c r="AA775" t="str">
        <f t="shared" ca="1" si="204"/>
        <v>SPPN</v>
      </c>
      <c r="AB775">
        <f t="shared" ca="1" si="205"/>
        <v>1</v>
      </c>
      <c r="AC775" t="str">
        <f t="shared" ca="1" si="206"/>
        <v/>
      </c>
      <c r="AD775" t="str">
        <f t="shared" si="196"/>
        <v>4093RN153</v>
      </c>
      <c r="AE775">
        <f t="shared" ca="1" si="207"/>
        <v>0</v>
      </c>
      <c r="AF775" t="str">
        <f t="shared" ca="1" si="208"/>
        <v/>
      </c>
      <c r="AG775">
        <v>190</v>
      </c>
      <c r="AH775" t="s">
        <v>136</v>
      </c>
      <c r="AI775" t="str">
        <f t="shared" si="197"/>
        <v>Lutheran Home 25</v>
      </c>
      <c r="AJ775" t="str">
        <f t="shared" si="198"/>
        <v>Green Bay</v>
      </c>
      <c r="AK775" t="str">
        <f t="shared" si="199"/>
        <v>WI</v>
      </c>
    </row>
    <row r="776" spans="18:37" x14ac:dyDescent="0.25">
      <c r="S776">
        <v>518</v>
      </c>
      <c r="T776">
        <f t="shared" si="195"/>
        <v>129</v>
      </c>
      <c r="U776">
        <f t="shared" si="200"/>
        <v>26053</v>
      </c>
      <c r="V776">
        <f t="shared" ca="1" si="201"/>
        <v>0</v>
      </c>
      <c r="W776">
        <v>190</v>
      </c>
      <c r="X776" t="str">
        <f t="shared" ca="1" si="202"/>
        <v/>
      </c>
      <c r="Y776" t="s">
        <v>33</v>
      </c>
      <c r="Z776">
        <f t="shared" ca="1" si="203"/>
        <v>0</v>
      </c>
      <c r="AA776" t="str">
        <f t="shared" ca="1" si="204"/>
        <v>SPPN</v>
      </c>
      <c r="AB776">
        <f t="shared" ca="1" si="205"/>
        <v>1</v>
      </c>
      <c r="AC776" t="str">
        <f t="shared" ca="1" si="206"/>
        <v/>
      </c>
      <c r="AD776" t="str">
        <f t="shared" si="196"/>
        <v>4093RN153</v>
      </c>
      <c r="AE776">
        <f t="shared" ca="1" si="207"/>
        <v>0</v>
      </c>
      <c r="AF776" t="str">
        <f t="shared" ca="1" si="208"/>
        <v/>
      </c>
      <c r="AG776">
        <v>190</v>
      </c>
      <c r="AH776" t="s">
        <v>136</v>
      </c>
      <c r="AI776" t="str">
        <f t="shared" si="197"/>
        <v>Lutheran Home 25</v>
      </c>
      <c r="AJ776" t="str">
        <f t="shared" si="198"/>
        <v>Green Bay</v>
      </c>
      <c r="AK776" t="str">
        <f t="shared" si="199"/>
        <v>WI</v>
      </c>
    </row>
    <row r="777" spans="18:37" x14ac:dyDescent="0.25">
      <c r="S777">
        <v>519</v>
      </c>
      <c r="T777">
        <f t="shared" si="195"/>
        <v>129</v>
      </c>
      <c r="U777">
        <f t="shared" si="200"/>
        <v>26053</v>
      </c>
      <c r="V777">
        <f t="shared" ca="1" si="201"/>
        <v>0</v>
      </c>
      <c r="W777">
        <v>190</v>
      </c>
      <c r="X777" t="str">
        <f t="shared" ca="1" si="202"/>
        <v/>
      </c>
      <c r="Y777" t="s">
        <v>28</v>
      </c>
      <c r="Z777">
        <f t="shared" ca="1" si="203"/>
        <v>0</v>
      </c>
      <c r="AA777" t="str">
        <f t="shared" ca="1" si="204"/>
        <v>SPPN</v>
      </c>
      <c r="AB777">
        <f t="shared" ca="1" si="205"/>
        <v>1</v>
      </c>
      <c r="AC777">
        <f t="shared" ca="1" si="206"/>
        <v>0</v>
      </c>
      <c r="AD777" t="str">
        <f t="shared" si="196"/>
        <v>4093RN153</v>
      </c>
      <c r="AE777">
        <f t="shared" ca="1" si="207"/>
        <v>0</v>
      </c>
      <c r="AF777" t="str">
        <f t="shared" ca="1" si="208"/>
        <v/>
      </c>
      <c r="AG777">
        <v>190</v>
      </c>
      <c r="AH777" t="s">
        <v>136</v>
      </c>
      <c r="AI777" t="str">
        <f t="shared" si="197"/>
        <v>Lutheran Home 25</v>
      </c>
      <c r="AJ777" t="str">
        <f t="shared" si="198"/>
        <v>Green Bay</v>
      </c>
      <c r="AK777" t="str">
        <f t="shared" si="199"/>
        <v>WI</v>
      </c>
    </row>
    <row r="778" spans="18:37" x14ac:dyDescent="0.25">
      <c r="S778">
        <v>520</v>
      </c>
      <c r="T778">
        <f t="shared" si="195"/>
        <v>129</v>
      </c>
      <c r="U778">
        <f t="shared" si="200"/>
        <v>26053</v>
      </c>
      <c r="V778">
        <f t="shared" ca="1" si="201"/>
        <v>0</v>
      </c>
      <c r="W778">
        <v>190</v>
      </c>
      <c r="X778" t="str">
        <f t="shared" ca="1" si="202"/>
        <v/>
      </c>
      <c r="Y778" t="s">
        <v>32</v>
      </c>
      <c r="Z778">
        <f t="shared" ca="1" si="203"/>
        <v>0</v>
      </c>
      <c r="AA778" t="str">
        <f t="shared" ca="1" si="204"/>
        <v>SPPN</v>
      </c>
      <c r="AB778">
        <f t="shared" ca="1" si="205"/>
        <v>1</v>
      </c>
      <c r="AC778">
        <f t="shared" ca="1" si="206"/>
        <v>0</v>
      </c>
      <c r="AD778" t="str">
        <f t="shared" si="196"/>
        <v>4093RN153</v>
      </c>
      <c r="AE778">
        <f t="shared" ca="1" si="207"/>
        <v>0</v>
      </c>
      <c r="AF778" t="str">
        <f t="shared" ca="1" si="208"/>
        <v/>
      </c>
      <c r="AG778">
        <v>190</v>
      </c>
      <c r="AH778" t="s">
        <v>136</v>
      </c>
      <c r="AI778" t="str">
        <f t="shared" si="197"/>
        <v>Lutheran Home 25</v>
      </c>
      <c r="AJ778" t="str">
        <f t="shared" si="198"/>
        <v>Green Bay</v>
      </c>
      <c r="AK778" t="str">
        <f t="shared" si="199"/>
        <v>WI</v>
      </c>
    </row>
    <row r="779" spans="18:37" x14ac:dyDescent="0.25">
      <c r="R779">
        <v>1</v>
      </c>
      <c r="S779">
        <v>521</v>
      </c>
      <c r="T779">
        <f t="shared" si="195"/>
        <v>129</v>
      </c>
      <c r="U779">
        <f t="shared" si="200"/>
        <v>26053</v>
      </c>
      <c r="V779">
        <f t="shared" ca="1" si="201"/>
        <v>0</v>
      </c>
      <c r="W779">
        <v>191</v>
      </c>
      <c r="X779" t="str">
        <f t="shared" ca="1" si="202"/>
        <v/>
      </c>
      <c r="Y779" t="s">
        <v>9</v>
      </c>
      <c r="Z779">
        <f t="shared" ca="1" si="203"/>
        <v>0</v>
      </c>
      <c r="AA779" t="str">
        <f t="shared" ca="1" si="204"/>
        <v>SPPN</v>
      </c>
      <c r="AB779">
        <f t="shared" ca="1" si="205"/>
        <v>1</v>
      </c>
      <c r="AC779" t="str">
        <f t="shared" ca="1" si="206"/>
        <v/>
      </c>
      <c r="AD779" t="str">
        <f t="shared" si="196"/>
        <v>4093RN153</v>
      </c>
      <c r="AE779">
        <f t="shared" ca="1" si="207"/>
        <v>0</v>
      </c>
      <c r="AF779" t="str">
        <f t="shared" ca="1" si="208"/>
        <v/>
      </c>
      <c r="AG779">
        <v>191</v>
      </c>
      <c r="AH779" t="s">
        <v>136</v>
      </c>
      <c r="AI779" t="str">
        <f t="shared" si="197"/>
        <v>Lutheran Home 25</v>
      </c>
      <c r="AJ779" t="str">
        <f t="shared" si="198"/>
        <v>Green Bay</v>
      </c>
      <c r="AK779" t="str">
        <f t="shared" si="199"/>
        <v>WI</v>
      </c>
    </row>
    <row r="780" spans="18:37" x14ac:dyDescent="0.25">
      <c r="S780">
        <v>522</v>
      </c>
      <c r="T780">
        <f t="shared" si="195"/>
        <v>129</v>
      </c>
      <c r="U780">
        <f t="shared" si="200"/>
        <v>26053</v>
      </c>
      <c r="V780">
        <f t="shared" ca="1" si="201"/>
        <v>0</v>
      </c>
      <c r="W780">
        <v>191</v>
      </c>
      <c r="X780" t="str">
        <f t="shared" ca="1" si="202"/>
        <v/>
      </c>
      <c r="Y780" t="s">
        <v>33</v>
      </c>
      <c r="Z780">
        <f t="shared" ca="1" si="203"/>
        <v>0</v>
      </c>
      <c r="AA780" t="str">
        <f t="shared" ca="1" si="204"/>
        <v>SPPN</v>
      </c>
      <c r="AB780">
        <f t="shared" ca="1" si="205"/>
        <v>1</v>
      </c>
      <c r="AC780" t="str">
        <f t="shared" ca="1" si="206"/>
        <v/>
      </c>
      <c r="AD780" t="str">
        <f t="shared" si="196"/>
        <v>4093RN153</v>
      </c>
      <c r="AE780">
        <f t="shared" ca="1" si="207"/>
        <v>0</v>
      </c>
      <c r="AF780" t="str">
        <f t="shared" ca="1" si="208"/>
        <v/>
      </c>
      <c r="AG780">
        <v>191</v>
      </c>
      <c r="AH780" t="s">
        <v>136</v>
      </c>
      <c r="AI780" t="str">
        <f t="shared" si="197"/>
        <v>Lutheran Home 25</v>
      </c>
      <c r="AJ780" t="str">
        <f t="shared" si="198"/>
        <v>Green Bay</v>
      </c>
      <c r="AK780" t="str">
        <f t="shared" si="199"/>
        <v>WI</v>
      </c>
    </row>
    <row r="781" spans="18:37" x14ac:dyDescent="0.25">
      <c r="S781">
        <v>523</v>
      </c>
      <c r="T781">
        <f t="shared" si="195"/>
        <v>129</v>
      </c>
      <c r="U781">
        <f t="shared" si="200"/>
        <v>26053</v>
      </c>
      <c r="V781">
        <f t="shared" ca="1" si="201"/>
        <v>0</v>
      </c>
      <c r="W781">
        <v>191</v>
      </c>
      <c r="X781" t="str">
        <f t="shared" ca="1" si="202"/>
        <v/>
      </c>
      <c r="Y781" t="s">
        <v>28</v>
      </c>
      <c r="Z781">
        <f t="shared" ca="1" si="203"/>
        <v>0</v>
      </c>
      <c r="AA781" t="str">
        <f t="shared" ca="1" si="204"/>
        <v>SPPN</v>
      </c>
      <c r="AB781">
        <f t="shared" ca="1" si="205"/>
        <v>1</v>
      </c>
      <c r="AC781">
        <f t="shared" ca="1" si="206"/>
        <v>0</v>
      </c>
      <c r="AD781" t="str">
        <f t="shared" si="196"/>
        <v>4093RN153</v>
      </c>
      <c r="AE781">
        <f t="shared" ca="1" si="207"/>
        <v>0</v>
      </c>
      <c r="AF781" t="str">
        <f t="shared" ca="1" si="208"/>
        <v/>
      </c>
      <c r="AG781">
        <v>191</v>
      </c>
      <c r="AH781" t="s">
        <v>136</v>
      </c>
      <c r="AI781" t="str">
        <f t="shared" si="197"/>
        <v>Lutheran Home 25</v>
      </c>
      <c r="AJ781" t="str">
        <f t="shared" si="198"/>
        <v>Green Bay</v>
      </c>
      <c r="AK781" t="str">
        <f t="shared" si="199"/>
        <v>WI</v>
      </c>
    </row>
    <row r="782" spans="18:37" x14ac:dyDescent="0.25">
      <c r="S782">
        <v>524</v>
      </c>
      <c r="T782">
        <f t="shared" si="195"/>
        <v>129</v>
      </c>
      <c r="U782">
        <f t="shared" si="200"/>
        <v>26053</v>
      </c>
      <c r="V782">
        <f t="shared" ca="1" si="201"/>
        <v>0</v>
      </c>
      <c r="W782">
        <v>191</v>
      </c>
      <c r="X782" t="str">
        <f t="shared" ca="1" si="202"/>
        <v/>
      </c>
      <c r="Y782" t="s">
        <v>32</v>
      </c>
      <c r="Z782">
        <f t="shared" ca="1" si="203"/>
        <v>0</v>
      </c>
      <c r="AA782" t="str">
        <f t="shared" ca="1" si="204"/>
        <v>SPPN</v>
      </c>
      <c r="AB782">
        <f t="shared" ca="1" si="205"/>
        <v>1</v>
      </c>
      <c r="AC782">
        <f t="shared" ca="1" si="206"/>
        <v>0</v>
      </c>
      <c r="AD782" t="str">
        <f t="shared" si="196"/>
        <v>4093RN153</v>
      </c>
      <c r="AE782">
        <f t="shared" ca="1" si="207"/>
        <v>0</v>
      </c>
      <c r="AF782" t="str">
        <f t="shared" ca="1" si="208"/>
        <v/>
      </c>
      <c r="AG782">
        <v>191</v>
      </c>
      <c r="AH782" t="s">
        <v>136</v>
      </c>
      <c r="AI782" t="str">
        <f t="shared" si="197"/>
        <v>Lutheran Home 25</v>
      </c>
      <c r="AJ782" t="str">
        <f t="shared" si="198"/>
        <v>Green Bay</v>
      </c>
      <c r="AK782" t="str">
        <f t="shared" si="199"/>
        <v>WI</v>
      </c>
    </row>
    <row r="783" spans="18:37" x14ac:dyDescent="0.25">
      <c r="R783">
        <v>1</v>
      </c>
      <c r="S783">
        <v>525</v>
      </c>
      <c r="T783">
        <f t="shared" si="195"/>
        <v>129</v>
      </c>
      <c r="U783">
        <f t="shared" si="200"/>
        <v>26053</v>
      </c>
      <c r="V783">
        <f t="shared" ca="1" si="201"/>
        <v>0</v>
      </c>
      <c r="W783">
        <v>192</v>
      </c>
      <c r="X783" t="str">
        <f t="shared" ca="1" si="202"/>
        <v/>
      </c>
      <c r="Y783" t="s">
        <v>9</v>
      </c>
      <c r="Z783">
        <f t="shared" ca="1" si="203"/>
        <v>0</v>
      </c>
      <c r="AA783" t="str">
        <f t="shared" ca="1" si="204"/>
        <v>SPPN</v>
      </c>
      <c r="AB783">
        <f t="shared" ca="1" si="205"/>
        <v>1</v>
      </c>
      <c r="AC783" t="str">
        <f t="shared" ca="1" si="206"/>
        <v/>
      </c>
      <c r="AD783" t="str">
        <f t="shared" si="196"/>
        <v>4093RN153</v>
      </c>
      <c r="AE783">
        <f t="shared" ca="1" si="207"/>
        <v>0</v>
      </c>
      <c r="AF783" t="str">
        <f t="shared" ca="1" si="208"/>
        <v/>
      </c>
      <c r="AG783">
        <v>192</v>
      </c>
      <c r="AH783" t="s">
        <v>136</v>
      </c>
      <c r="AI783" t="str">
        <f t="shared" si="197"/>
        <v>Lutheran Home 25</v>
      </c>
      <c r="AJ783" t="str">
        <f t="shared" si="198"/>
        <v>Green Bay</v>
      </c>
      <c r="AK783" t="str">
        <f t="shared" si="199"/>
        <v>WI</v>
      </c>
    </row>
    <row r="784" spans="18:37" x14ac:dyDescent="0.25">
      <c r="S784">
        <v>526</v>
      </c>
      <c r="T784">
        <f t="shared" si="195"/>
        <v>129</v>
      </c>
      <c r="U784">
        <f t="shared" si="200"/>
        <v>26053</v>
      </c>
      <c r="V784">
        <f t="shared" ca="1" si="201"/>
        <v>0</v>
      </c>
      <c r="W784">
        <v>192</v>
      </c>
      <c r="X784" t="str">
        <f t="shared" ca="1" si="202"/>
        <v/>
      </c>
      <c r="Y784" t="s">
        <v>33</v>
      </c>
      <c r="Z784">
        <f t="shared" ca="1" si="203"/>
        <v>0</v>
      </c>
      <c r="AA784" t="str">
        <f t="shared" ca="1" si="204"/>
        <v>SPPN</v>
      </c>
      <c r="AB784">
        <f t="shared" ca="1" si="205"/>
        <v>1</v>
      </c>
      <c r="AC784" t="str">
        <f t="shared" ca="1" si="206"/>
        <v/>
      </c>
      <c r="AD784" t="str">
        <f t="shared" si="196"/>
        <v>4093RN153</v>
      </c>
      <c r="AE784">
        <f t="shared" ca="1" si="207"/>
        <v>0</v>
      </c>
      <c r="AF784" t="str">
        <f t="shared" ca="1" si="208"/>
        <v/>
      </c>
      <c r="AG784">
        <v>192</v>
      </c>
      <c r="AH784" t="s">
        <v>136</v>
      </c>
      <c r="AI784" t="str">
        <f t="shared" si="197"/>
        <v>Lutheran Home 25</v>
      </c>
      <c r="AJ784" t="str">
        <f t="shared" si="198"/>
        <v>Green Bay</v>
      </c>
      <c r="AK784" t="str">
        <f t="shared" si="199"/>
        <v>WI</v>
      </c>
    </row>
    <row r="785" spans="18:37" x14ac:dyDescent="0.25">
      <c r="S785">
        <v>527</v>
      </c>
      <c r="T785">
        <f t="shared" si="195"/>
        <v>129</v>
      </c>
      <c r="U785">
        <f t="shared" si="200"/>
        <v>26053</v>
      </c>
      <c r="V785">
        <f t="shared" ca="1" si="201"/>
        <v>0</v>
      </c>
      <c r="W785">
        <v>192</v>
      </c>
      <c r="X785" t="str">
        <f t="shared" ca="1" si="202"/>
        <v/>
      </c>
      <c r="Y785" t="s">
        <v>28</v>
      </c>
      <c r="Z785">
        <f t="shared" ca="1" si="203"/>
        <v>0</v>
      </c>
      <c r="AA785" t="str">
        <f t="shared" ca="1" si="204"/>
        <v>SPPN</v>
      </c>
      <c r="AB785">
        <f t="shared" ca="1" si="205"/>
        <v>1</v>
      </c>
      <c r="AC785">
        <f t="shared" ca="1" si="206"/>
        <v>0</v>
      </c>
      <c r="AD785" t="str">
        <f t="shared" si="196"/>
        <v>4093RN153</v>
      </c>
      <c r="AE785">
        <f t="shared" ca="1" si="207"/>
        <v>0</v>
      </c>
      <c r="AF785" t="str">
        <f t="shared" ca="1" si="208"/>
        <v/>
      </c>
      <c r="AG785">
        <v>192</v>
      </c>
      <c r="AH785" t="s">
        <v>136</v>
      </c>
      <c r="AI785" t="str">
        <f t="shared" si="197"/>
        <v>Lutheran Home 25</v>
      </c>
      <c r="AJ785" t="str">
        <f t="shared" si="198"/>
        <v>Green Bay</v>
      </c>
      <c r="AK785" t="str">
        <f t="shared" si="199"/>
        <v>WI</v>
      </c>
    </row>
    <row r="786" spans="18:37" x14ac:dyDescent="0.25">
      <c r="S786">
        <v>528</v>
      </c>
      <c r="T786">
        <f t="shared" si="195"/>
        <v>129</v>
      </c>
      <c r="U786">
        <f t="shared" si="200"/>
        <v>26053</v>
      </c>
      <c r="V786">
        <f t="shared" ca="1" si="201"/>
        <v>0</v>
      </c>
      <c r="W786">
        <v>192</v>
      </c>
      <c r="X786" t="str">
        <f t="shared" ca="1" si="202"/>
        <v/>
      </c>
      <c r="Y786" t="s">
        <v>32</v>
      </c>
      <c r="Z786">
        <f t="shared" ca="1" si="203"/>
        <v>0</v>
      </c>
      <c r="AA786" t="str">
        <f t="shared" ca="1" si="204"/>
        <v>SPPN</v>
      </c>
      <c r="AB786">
        <f t="shared" ca="1" si="205"/>
        <v>1</v>
      </c>
      <c r="AC786">
        <f t="shared" ca="1" si="206"/>
        <v>0</v>
      </c>
      <c r="AD786" t="str">
        <f t="shared" si="196"/>
        <v>4093RN153</v>
      </c>
      <c r="AE786">
        <f t="shared" ca="1" si="207"/>
        <v>0</v>
      </c>
      <c r="AF786" t="str">
        <f t="shared" ca="1" si="208"/>
        <v/>
      </c>
      <c r="AG786">
        <v>192</v>
      </c>
      <c r="AH786" t="s">
        <v>136</v>
      </c>
      <c r="AI786" t="str">
        <f t="shared" si="197"/>
        <v>Lutheran Home 25</v>
      </c>
      <c r="AJ786" t="str">
        <f t="shared" si="198"/>
        <v>Green Bay</v>
      </c>
      <c r="AK786" t="str">
        <f t="shared" si="199"/>
        <v>WI</v>
      </c>
    </row>
    <row r="787" spans="18:37" x14ac:dyDescent="0.25">
      <c r="R787">
        <v>1</v>
      </c>
      <c r="S787">
        <v>529</v>
      </c>
      <c r="T787">
        <f t="shared" ref="T787:T850" si="209">$H$14</f>
        <v>129</v>
      </c>
      <c r="U787">
        <f t="shared" si="200"/>
        <v>26053</v>
      </c>
      <c r="V787">
        <f t="shared" ca="1" si="201"/>
        <v>0</v>
      </c>
      <c r="W787">
        <v>193</v>
      </c>
      <c r="X787" t="str">
        <f t="shared" ca="1" si="202"/>
        <v/>
      </c>
      <c r="Y787" t="s">
        <v>9</v>
      </c>
      <c r="Z787">
        <f t="shared" ca="1" si="203"/>
        <v>0</v>
      </c>
      <c r="AA787" t="str">
        <f t="shared" ca="1" si="204"/>
        <v>SPPN</v>
      </c>
      <c r="AB787">
        <f t="shared" ca="1" si="205"/>
        <v>1</v>
      </c>
      <c r="AC787" t="str">
        <f t="shared" ca="1" si="206"/>
        <v/>
      </c>
      <c r="AD787" t="str">
        <f t="shared" ref="AD787:AD850" si="210">$H$5</f>
        <v>4093RN153</v>
      </c>
      <c r="AE787">
        <f t="shared" ca="1" si="207"/>
        <v>0</v>
      </c>
      <c r="AF787" t="str">
        <f t="shared" ca="1" si="208"/>
        <v/>
      </c>
      <c r="AG787">
        <v>193</v>
      </c>
      <c r="AH787" t="s">
        <v>136</v>
      </c>
      <c r="AI787" t="str">
        <f t="shared" ref="AI787:AI850" si="211">$H$6</f>
        <v>Lutheran Home 25</v>
      </c>
      <c r="AJ787" t="str">
        <f t="shared" ref="AJ787:AJ850" si="212">$H$7</f>
        <v>Green Bay</v>
      </c>
      <c r="AK787" t="str">
        <f t="shared" ref="AK787:AK850" si="213">$H$8</f>
        <v>WI</v>
      </c>
    </row>
    <row r="788" spans="18:37" x14ac:dyDescent="0.25">
      <c r="S788">
        <v>530</v>
      </c>
      <c r="T788">
        <f t="shared" si="209"/>
        <v>129</v>
      </c>
      <c r="U788">
        <f t="shared" ref="U788:U851" si="214">$H$2</f>
        <v>26053</v>
      </c>
      <c r="V788">
        <f t="shared" ref="V788:V851" ca="1" si="215">(OFFSET($B$19,INT((ROW(A770)-1)/4),0))</f>
        <v>0</v>
      </c>
      <c r="W788">
        <v>193</v>
      </c>
      <c r="X788" t="str">
        <f t="shared" ref="X788:X851" ca="1" si="216">IF((OFFSET($J$19,INT((ROW(A770)-1)/4),0))="JE","JE",IF((OFFSET($J$19,INT((ROW(A770)-1)/4),0))="Drilled","JC",""))</f>
        <v/>
      </c>
      <c r="Y788" t="s">
        <v>33</v>
      </c>
      <c r="Z788">
        <f t="shared" ref="Z788:Z851" ca="1" si="217">(OFFSET($F$19,INT((ROW(A770)-1)/4),0))</f>
        <v>0</v>
      </c>
      <c r="AA788" t="str">
        <f t="shared" ref="AA788:AA851" ca="1" si="218">IF((OFFSET($K$19,INT((ROW(A770)-1)/4),0))="Poplar","PAINT",IF((OFFSET($K$19,INT((ROW(A770)-1)/4),0))="Red Oak","SGO",IF((OFFSET($K$19,INT((ROW(A770)-1)/4),0))="Maple","SM","SPPN")))</f>
        <v>SPPN</v>
      </c>
      <c r="AB788">
        <f t="shared" ref="AB788:AB851" ca="1" si="219">(OFFSET($I$19,INT((ROW(A770)-1)/4),0))</f>
        <v>1</v>
      </c>
      <c r="AC788" t="str">
        <f t="shared" ref="AC788:AC851" ca="1" si="220">IF(OR(Y788="L",Y788="R"),(OFFSET($M$19,INT((ROW(A770)-1)/4),0)),IF(Y788="B",IF((OFFSET($A$19,INT((ROW(A770)-1)/4),0))="3 Sided Patio Door",0,(OFFSET($G$19,INT((ROW(A770)-1)/4),0))),(OFFSET($G$19,INT((ROW(A770)-1)/4),0))))</f>
        <v/>
      </c>
      <c r="AD788" t="str">
        <f t="shared" si="210"/>
        <v>4093RN153</v>
      </c>
      <c r="AE788">
        <f t="shared" ref="AE788:AE851" ca="1" si="221">(OFFSET($L$19,INT((ROW(A770)-1)/4),0))</f>
        <v>0</v>
      </c>
      <c r="AF788" t="str">
        <f t="shared" ref="AF788:AF851" ca="1" si="222">IF((OFFSET($A$19,INT((ROW(A770)-1)/4),0))="3 sided Patio door", "Unassemble","")</f>
        <v/>
      </c>
      <c r="AG788">
        <v>193</v>
      </c>
      <c r="AH788" t="s">
        <v>136</v>
      </c>
      <c r="AI788" t="str">
        <f t="shared" si="211"/>
        <v>Lutheran Home 25</v>
      </c>
      <c r="AJ788" t="str">
        <f t="shared" si="212"/>
        <v>Green Bay</v>
      </c>
      <c r="AK788" t="str">
        <f t="shared" si="213"/>
        <v>WI</v>
      </c>
    </row>
    <row r="789" spans="18:37" x14ac:dyDescent="0.25">
      <c r="S789">
        <v>531</v>
      </c>
      <c r="T789">
        <f t="shared" si="209"/>
        <v>129</v>
      </c>
      <c r="U789">
        <f t="shared" si="214"/>
        <v>26053</v>
      </c>
      <c r="V789">
        <f t="shared" ca="1" si="215"/>
        <v>0</v>
      </c>
      <c r="W789">
        <v>193</v>
      </c>
      <c r="X789" t="str">
        <f t="shared" ca="1" si="216"/>
        <v/>
      </c>
      <c r="Y789" t="s">
        <v>28</v>
      </c>
      <c r="Z789">
        <f t="shared" ca="1" si="217"/>
        <v>0</v>
      </c>
      <c r="AA789" t="str">
        <f t="shared" ca="1" si="218"/>
        <v>SPPN</v>
      </c>
      <c r="AB789">
        <f t="shared" ca="1" si="219"/>
        <v>1</v>
      </c>
      <c r="AC789">
        <f t="shared" ca="1" si="220"/>
        <v>0</v>
      </c>
      <c r="AD789" t="str">
        <f t="shared" si="210"/>
        <v>4093RN153</v>
      </c>
      <c r="AE789">
        <f t="shared" ca="1" si="221"/>
        <v>0</v>
      </c>
      <c r="AF789" t="str">
        <f t="shared" ca="1" si="222"/>
        <v/>
      </c>
      <c r="AG789">
        <v>193</v>
      </c>
      <c r="AH789" t="s">
        <v>136</v>
      </c>
      <c r="AI789" t="str">
        <f t="shared" si="211"/>
        <v>Lutheran Home 25</v>
      </c>
      <c r="AJ789" t="str">
        <f t="shared" si="212"/>
        <v>Green Bay</v>
      </c>
      <c r="AK789" t="str">
        <f t="shared" si="213"/>
        <v>WI</v>
      </c>
    </row>
    <row r="790" spans="18:37" x14ac:dyDescent="0.25">
      <c r="S790">
        <v>532</v>
      </c>
      <c r="T790">
        <f t="shared" si="209"/>
        <v>129</v>
      </c>
      <c r="U790">
        <f t="shared" si="214"/>
        <v>26053</v>
      </c>
      <c r="V790">
        <f t="shared" ca="1" si="215"/>
        <v>0</v>
      </c>
      <c r="W790">
        <v>193</v>
      </c>
      <c r="X790" t="str">
        <f t="shared" ca="1" si="216"/>
        <v/>
      </c>
      <c r="Y790" t="s">
        <v>32</v>
      </c>
      <c r="Z790">
        <f t="shared" ca="1" si="217"/>
        <v>0</v>
      </c>
      <c r="AA790" t="str">
        <f t="shared" ca="1" si="218"/>
        <v>SPPN</v>
      </c>
      <c r="AB790">
        <f t="shared" ca="1" si="219"/>
        <v>1</v>
      </c>
      <c r="AC790">
        <f t="shared" ca="1" si="220"/>
        <v>0</v>
      </c>
      <c r="AD790" t="str">
        <f t="shared" si="210"/>
        <v>4093RN153</v>
      </c>
      <c r="AE790">
        <f t="shared" ca="1" si="221"/>
        <v>0</v>
      </c>
      <c r="AF790" t="str">
        <f t="shared" ca="1" si="222"/>
        <v/>
      </c>
      <c r="AG790">
        <v>193</v>
      </c>
      <c r="AH790" t="s">
        <v>136</v>
      </c>
      <c r="AI790" t="str">
        <f t="shared" si="211"/>
        <v>Lutheran Home 25</v>
      </c>
      <c r="AJ790" t="str">
        <f t="shared" si="212"/>
        <v>Green Bay</v>
      </c>
      <c r="AK790" t="str">
        <f t="shared" si="213"/>
        <v>WI</v>
      </c>
    </row>
    <row r="791" spans="18:37" x14ac:dyDescent="0.25">
      <c r="R791">
        <v>1</v>
      </c>
      <c r="S791">
        <v>533</v>
      </c>
      <c r="T791">
        <f t="shared" si="209"/>
        <v>129</v>
      </c>
      <c r="U791">
        <f t="shared" si="214"/>
        <v>26053</v>
      </c>
      <c r="V791">
        <f t="shared" ca="1" si="215"/>
        <v>0</v>
      </c>
      <c r="W791">
        <v>194</v>
      </c>
      <c r="X791" t="str">
        <f t="shared" ca="1" si="216"/>
        <v/>
      </c>
      <c r="Y791" t="s">
        <v>9</v>
      </c>
      <c r="Z791">
        <f t="shared" ca="1" si="217"/>
        <v>0</v>
      </c>
      <c r="AA791" t="str">
        <f t="shared" ca="1" si="218"/>
        <v>SPPN</v>
      </c>
      <c r="AB791">
        <f t="shared" ca="1" si="219"/>
        <v>1</v>
      </c>
      <c r="AC791" t="str">
        <f t="shared" ca="1" si="220"/>
        <v/>
      </c>
      <c r="AD791" t="str">
        <f t="shared" si="210"/>
        <v>4093RN153</v>
      </c>
      <c r="AE791">
        <f t="shared" ca="1" si="221"/>
        <v>0</v>
      </c>
      <c r="AF791" t="str">
        <f t="shared" ca="1" si="222"/>
        <v/>
      </c>
      <c r="AG791">
        <v>194</v>
      </c>
      <c r="AH791" t="s">
        <v>136</v>
      </c>
      <c r="AI791" t="str">
        <f t="shared" si="211"/>
        <v>Lutheran Home 25</v>
      </c>
      <c r="AJ791" t="str">
        <f t="shared" si="212"/>
        <v>Green Bay</v>
      </c>
      <c r="AK791" t="str">
        <f t="shared" si="213"/>
        <v>WI</v>
      </c>
    </row>
    <row r="792" spans="18:37" x14ac:dyDescent="0.25">
      <c r="S792">
        <v>534</v>
      </c>
      <c r="T792">
        <f t="shared" si="209"/>
        <v>129</v>
      </c>
      <c r="U792">
        <f t="shared" si="214"/>
        <v>26053</v>
      </c>
      <c r="V792">
        <f t="shared" ca="1" si="215"/>
        <v>0</v>
      </c>
      <c r="W792">
        <v>194</v>
      </c>
      <c r="X792" t="str">
        <f t="shared" ca="1" si="216"/>
        <v/>
      </c>
      <c r="Y792" t="s">
        <v>33</v>
      </c>
      <c r="Z792">
        <f t="shared" ca="1" si="217"/>
        <v>0</v>
      </c>
      <c r="AA792" t="str">
        <f t="shared" ca="1" si="218"/>
        <v>SPPN</v>
      </c>
      <c r="AB792">
        <f t="shared" ca="1" si="219"/>
        <v>1</v>
      </c>
      <c r="AC792" t="str">
        <f t="shared" ca="1" si="220"/>
        <v/>
      </c>
      <c r="AD792" t="str">
        <f t="shared" si="210"/>
        <v>4093RN153</v>
      </c>
      <c r="AE792">
        <f t="shared" ca="1" si="221"/>
        <v>0</v>
      </c>
      <c r="AF792" t="str">
        <f t="shared" ca="1" si="222"/>
        <v/>
      </c>
      <c r="AG792">
        <v>194</v>
      </c>
      <c r="AH792" t="s">
        <v>136</v>
      </c>
      <c r="AI792" t="str">
        <f t="shared" si="211"/>
        <v>Lutheran Home 25</v>
      </c>
      <c r="AJ792" t="str">
        <f t="shared" si="212"/>
        <v>Green Bay</v>
      </c>
      <c r="AK792" t="str">
        <f t="shared" si="213"/>
        <v>WI</v>
      </c>
    </row>
    <row r="793" spans="18:37" x14ac:dyDescent="0.25">
      <c r="S793">
        <v>535</v>
      </c>
      <c r="T793">
        <f t="shared" si="209"/>
        <v>129</v>
      </c>
      <c r="U793">
        <f t="shared" si="214"/>
        <v>26053</v>
      </c>
      <c r="V793">
        <f t="shared" ca="1" si="215"/>
        <v>0</v>
      </c>
      <c r="W793">
        <v>194</v>
      </c>
      <c r="X793" t="str">
        <f t="shared" ca="1" si="216"/>
        <v/>
      </c>
      <c r="Y793" t="s">
        <v>28</v>
      </c>
      <c r="Z793">
        <f t="shared" ca="1" si="217"/>
        <v>0</v>
      </c>
      <c r="AA793" t="str">
        <f t="shared" ca="1" si="218"/>
        <v>SPPN</v>
      </c>
      <c r="AB793">
        <f t="shared" ca="1" si="219"/>
        <v>1</v>
      </c>
      <c r="AC793">
        <f t="shared" ca="1" si="220"/>
        <v>0</v>
      </c>
      <c r="AD793" t="str">
        <f t="shared" si="210"/>
        <v>4093RN153</v>
      </c>
      <c r="AE793">
        <f t="shared" ca="1" si="221"/>
        <v>0</v>
      </c>
      <c r="AF793" t="str">
        <f t="shared" ca="1" si="222"/>
        <v/>
      </c>
      <c r="AG793">
        <v>194</v>
      </c>
      <c r="AH793" t="s">
        <v>136</v>
      </c>
      <c r="AI793" t="str">
        <f t="shared" si="211"/>
        <v>Lutheran Home 25</v>
      </c>
      <c r="AJ793" t="str">
        <f t="shared" si="212"/>
        <v>Green Bay</v>
      </c>
      <c r="AK793" t="str">
        <f t="shared" si="213"/>
        <v>WI</v>
      </c>
    </row>
    <row r="794" spans="18:37" x14ac:dyDescent="0.25">
      <c r="S794">
        <v>536</v>
      </c>
      <c r="T794">
        <f t="shared" si="209"/>
        <v>129</v>
      </c>
      <c r="U794">
        <f t="shared" si="214"/>
        <v>26053</v>
      </c>
      <c r="V794">
        <f t="shared" ca="1" si="215"/>
        <v>0</v>
      </c>
      <c r="W794">
        <v>194</v>
      </c>
      <c r="X794" t="str">
        <f t="shared" ca="1" si="216"/>
        <v/>
      </c>
      <c r="Y794" t="s">
        <v>32</v>
      </c>
      <c r="Z794">
        <f t="shared" ca="1" si="217"/>
        <v>0</v>
      </c>
      <c r="AA794" t="str">
        <f t="shared" ca="1" si="218"/>
        <v>SPPN</v>
      </c>
      <c r="AB794">
        <f t="shared" ca="1" si="219"/>
        <v>1</v>
      </c>
      <c r="AC794">
        <f t="shared" ca="1" si="220"/>
        <v>0</v>
      </c>
      <c r="AD794" t="str">
        <f t="shared" si="210"/>
        <v>4093RN153</v>
      </c>
      <c r="AE794">
        <f t="shared" ca="1" si="221"/>
        <v>0</v>
      </c>
      <c r="AF794" t="str">
        <f t="shared" ca="1" si="222"/>
        <v/>
      </c>
      <c r="AG794">
        <v>194</v>
      </c>
      <c r="AH794" t="s">
        <v>136</v>
      </c>
      <c r="AI794" t="str">
        <f t="shared" si="211"/>
        <v>Lutheran Home 25</v>
      </c>
      <c r="AJ794" t="str">
        <f t="shared" si="212"/>
        <v>Green Bay</v>
      </c>
      <c r="AK794" t="str">
        <f t="shared" si="213"/>
        <v>WI</v>
      </c>
    </row>
    <row r="795" spans="18:37" x14ac:dyDescent="0.25">
      <c r="R795">
        <v>1</v>
      </c>
      <c r="S795">
        <v>537</v>
      </c>
      <c r="T795">
        <f t="shared" si="209"/>
        <v>129</v>
      </c>
      <c r="U795">
        <f t="shared" si="214"/>
        <v>26053</v>
      </c>
      <c r="V795">
        <f t="shared" ca="1" si="215"/>
        <v>0</v>
      </c>
      <c r="W795">
        <v>195</v>
      </c>
      <c r="X795" t="str">
        <f t="shared" ca="1" si="216"/>
        <v/>
      </c>
      <c r="Y795" t="s">
        <v>9</v>
      </c>
      <c r="Z795">
        <f t="shared" ca="1" si="217"/>
        <v>0</v>
      </c>
      <c r="AA795" t="str">
        <f t="shared" ca="1" si="218"/>
        <v>SPPN</v>
      </c>
      <c r="AB795">
        <f t="shared" ca="1" si="219"/>
        <v>1</v>
      </c>
      <c r="AC795" t="str">
        <f t="shared" ca="1" si="220"/>
        <v/>
      </c>
      <c r="AD795" t="str">
        <f t="shared" si="210"/>
        <v>4093RN153</v>
      </c>
      <c r="AE795">
        <f t="shared" ca="1" si="221"/>
        <v>0</v>
      </c>
      <c r="AF795" t="str">
        <f t="shared" ca="1" si="222"/>
        <v/>
      </c>
      <c r="AG795">
        <v>195</v>
      </c>
      <c r="AH795" t="s">
        <v>136</v>
      </c>
      <c r="AI795" t="str">
        <f t="shared" si="211"/>
        <v>Lutheran Home 25</v>
      </c>
      <c r="AJ795" t="str">
        <f t="shared" si="212"/>
        <v>Green Bay</v>
      </c>
      <c r="AK795" t="str">
        <f t="shared" si="213"/>
        <v>WI</v>
      </c>
    </row>
    <row r="796" spans="18:37" x14ac:dyDescent="0.25">
      <c r="S796">
        <v>538</v>
      </c>
      <c r="T796">
        <f t="shared" si="209"/>
        <v>129</v>
      </c>
      <c r="U796">
        <f t="shared" si="214"/>
        <v>26053</v>
      </c>
      <c r="V796">
        <f t="shared" ca="1" si="215"/>
        <v>0</v>
      </c>
      <c r="W796">
        <v>195</v>
      </c>
      <c r="X796" t="str">
        <f t="shared" ca="1" si="216"/>
        <v/>
      </c>
      <c r="Y796" t="s">
        <v>33</v>
      </c>
      <c r="Z796">
        <f t="shared" ca="1" si="217"/>
        <v>0</v>
      </c>
      <c r="AA796" t="str">
        <f t="shared" ca="1" si="218"/>
        <v>SPPN</v>
      </c>
      <c r="AB796">
        <f t="shared" ca="1" si="219"/>
        <v>1</v>
      </c>
      <c r="AC796" t="str">
        <f t="shared" ca="1" si="220"/>
        <v/>
      </c>
      <c r="AD796" t="str">
        <f t="shared" si="210"/>
        <v>4093RN153</v>
      </c>
      <c r="AE796">
        <f t="shared" ca="1" si="221"/>
        <v>0</v>
      </c>
      <c r="AF796" t="str">
        <f t="shared" ca="1" si="222"/>
        <v/>
      </c>
      <c r="AG796">
        <v>195</v>
      </c>
      <c r="AH796" t="s">
        <v>136</v>
      </c>
      <c r="AI796" t="str">
        <f t="shared" si="211"/>
        <v>Lutheran Home 25</v>
      </c>
      <c r="AJ796" t="str">
        <f t="shared" si="212"/>
        <v>Green Bay</v>
      </c>
      <c r="AK796" t="str">
        <f t="shared" si="213"/>
        <v>WI</v>
      </c>
    </row>
    <row r="797" spans="18:37" x14ac:dyDescent="0.25">
      <c r="S797">
        <v>539</v>
      </c>
      <c r="T797">
        <f t="shared" si="209"/>
        <v>129</v>
      </c>
      <c r="U797">
        <f t="shared" si="214"/>
        <v>26053</v>
      </c>
      <c r="V797">
        <f t="shared" ca="1" si="215"/>
        <v>0</v>
      </c>
      <c r="W797">
        <v>195</v>
      </c>
      <c r="X797" t="str">
        <f t="shared" ca="1" si="216"/>
        <v/>
      </c>
      <c r="Y797" t="s">
        <v>28</v>
      </c>
      <c r="Z797">
        <f t="shared" ca="1" si="217"/>
        <v>0</v>
      </c>
      <c r="AA797" t="str">
        <f t="shared" ca="1" si="218"/>
        <v>SPPN</v>
      </c>
      <c r="AB797">
        <f t="shared" ca="1" si="219"/>
        <v>1</v>
      </c>
      <c r="AC797">
        <f t="shared" ca="1" si="220"/>
        <v>0</v>
      </c>
      <c r="AD797" t="str">
        <f t="shared" si="210"/>
        <v>4093RN153</v>
      </c>
      <c r="AE797">
        <f t="shared" ca="1" si="221"/>
        <v>0</v>
      </c>
      <c r="AF797" t="str">
        <f t="shared" ca="1" si="222"/>
        <v/>
      </c>
      <c r="AG797">
        <v>195</v>
      </c>
      <c r="AH797" t="s">
        <v>136</v>
      </c>
      <c r="AI797" t="str">
        <f t="shared" si="211"/>
        <v>Lutheran Home 25</v>
      </c>
      <c r="AJ797" t="str">
        <f t="shared" si="212"/>
        <v>Green Bay</v>
      </c>
      <c r="AK797" t="str">
        <f t="shared" si="213"/>
        <v>WI</v>
      </c>
    </row>
    <row r="798" spans="18:37" x14ac:dyDescent="0.25">
      <c r="S798">
        <v>540</v>
      </c>
      <c r="T798">
        <f t="shared" si="209"/>
        <v>129</v>
      </c>
      <c r="U798">
        <f t="shared" si="214"/>
        <v>26053</v>
      </c>
      <c r="V798">
        <f t="shared" ca="1" si="215"/>
        <v>0</v>
      </c>
      <c r="W798">
        <v>195</v>
      </c>
      <c r="X798" t="str">
        <f t="shared" ca="1" si="216"/>
        <v/>
      </c>
      <c r="Y798" t="s">
        <v>32</v>
      </c>
      <c r="Z798">
        <f t="shared" ca="1" si="217"/>
        <v>0</v>
      </c>
      <c r="AA798" t="str">
        <f t="shared" ca="1" si="218"/>
        <v>SPPN</v>
      </c>
      <c r="AB798">
        <f t="shared" ca="1" si="219"/>
        <v>1</v>
      </c>
      <c r="AC798">
        <f t="shared" ca="1" si="220"/>
        <v>0</v>
      </c>
      <c r="AD798" t="str">
        <f t="shared" si="210"/>
        <v>4093RN153</v>
      </c>
      <c r="AE798">
        <f t="shared" ca="1" si="221"/>
        <v>0</v>
      </c>
      <c r="AF798" t="str">
        <f t="shared" ca="1" si="222"/>
        <v/>
      </c>
      <c r="AG798">
        <v>195</v>
      </c>
      <c r="AH798" t="s">
        <v>136</v>
      </c>
      <c r="AI798" t="str">
        <f t="shared" si="211"/>
        <v>Lutheran Home 25</v>
      </c>
      <c r="AJ798" t="str">
        <f t="shared" si="212"/>
        <v>Green Bay</v>
      </c>
      <c r="AK798" t="str">
        <f t="shared" si="213"/>
        <v>WI</v>
      </c>
    </row>
    <row r="799" spans="18:37" x14ac:dyDescent="0.25">
      <c r="R799">
        <v>1</v>
      </c>
      <c r="S799">
        <v>541</v>
      </c>
      <c r="T799">
        <f t="shared" si="209"/>
        <v>129</v>
      </c>
      <c r="U799">
        <f t="shared" si="214"/>
        <v>26053</v>
      </c>
      <c r="V799">
        <f t="shared" ca="1" si="215"/>
        <v>0</v>
      </c>
      <c r="W799">
        <v>196</v>
      </c>
      <c r="X799" t="str">
        <f t="shared" ca="1" si="216"/>
        <v/>
      </c>
      <c r="Y799" t="s">
        <v>9</v>
      </c>
      <c r="Z799">
        <f t="shared" ca="1" si="217"/>
        <v>0</v>
      </c>
      <c r="AA799" t="str">
        <f t="shared" ca="1" si="218"/>
        <v>SPPN</v>
      </c>
      <c r="AB799">
        <f t="shared" ca="1" si="219"/>
        <v>1</v>
      </c>
      <c r="AC799" t="str">
        <f t="shared" ca="1" si="220"/>
        <v/>
      </c>
      <c r="AD799" t="str">
        <f t="shared" si="210"/>
        <v>4093RN153</v>
      </c>
      <c r="AE799">
        <f t="shared" ca="1" si="221"/>
        <v>0</v>
      </c>
      <c r="AF799" t="str">
        <f t="shared" ca="1" si="222"/>
        <v/>
      </c>
      <c r="AG799">
        <v>196</v>
      </c>
      <c r="AH799" t="s">
        <v>136</v>
      </c>
      <c r="AI799" t="str">
        <f t="shared" si="211"/>
        <v>Lutheran Home 25</v>
      </c>
      <c r="AJ799" t="str">
        <f t="shared" si="212"/>
        <v>Green Bay</v>
      </c>
      <c r="AK799" t="str">
        <f t="shared" si="213"/>
        <v>WI</v>
      </c>
    </row>
    <row r="800" spans="18:37" x14ac:dyDescent="0.25">
      <c r="S800">
        <v>542</v>
      </c>
      <c r="T800">
        <f t="shared" si="209"/>
        <v>129</v>
      </c>
      <c r="U800">
        <f t="shared" si="214"/>
        <v>26053</v>
      </c>
      <c r="V800">
        <f t="shared" ca="1" si="215"/>
        <v>0</v>
      </c>
      <c r="W800">
        <v>196</v>
      </c>
      <c r="X800" t="str">
        <f t="shared" ca="1" si="216"/>
        <v/>
      </c>
      <c r="Y800" t="s">
        <v>33</v>
      </c>
      <c r="Z800">
        <f t="shared" ca="1" si="217"/>
        <v>0</v>
      </c>
      <c r="AA800" t="str">
        <f t="shared" ca="1" si="218"/>
        <v>SPPN</v>
      </c>
      <c r="AB800">
        <f t="shared" ca="1" si="219"/>
        <v>1</v>
      </c>
      <c r="AC800" t="str">
        <f t="shared" ca="1" si="220"/>
        <v/>
      </c>
      <c r="AD800" t="str">
        <f t="shared" si="210"/>
        <v>4093RN153</v>
      </c>
      <c r="AE800">
        <f t="shared" ca="1" si="221"/>
        <v>0</v>
      </c>
      <c r="AF800" t="str">
        <f t="shared" ca="1" si="222"/>
        <v/>
      </c>
      <c r="AG800">
        <v>196</v>
      </c>
      <c r="AH800" t="s">
        <v>136</v>
      </c>
      <c r="AI800" t="str">
        <f t="shared" si="211"/>
        <v>Lutheran Home 25</v>
      </c>
      <c r="AJ800" t="str">
        <f t="shared" si="212"/>
        <v>Green Bay</v>
      </c>
      <c r="AK800" t="str">
        <f t="shared" si="213"/>
        <v>WI</v>
      </c>
    </row>
    <row r="801" spans="18:37" x14ac:dyDescent="0.25">
      <c r="S801">
        <v>543</v>
      </c>
      <c r="T801">
        <f t="shared" si="209"/>
        <v>129</v>
      </c>
      <c r="U801">
        <f t="shared" si="214"/>
        <v>26053</v>
      </c>
      <c r="V801">
        <f t="shared" ca="1" si="215"/>
        <v>0</v>
      </c>
      <c r="W801">
        <v>196</v>
      </c>
      <c r="X801" t="str">
        <f t="shared" ca="1" si="216"/>
        <v/>
      </c>
      <c r="Y801" t="s">
        <v>28</v>
      </c>
      <c r="Z801">
        <f t="shared" ca="1" si="217"/>
        <v>0</v>
      </c>
      <c r="AA801" t="str">
        <f t="shared" ca="1" si="218"/>
        <v>SPPN</v>
      </c>
      <c r="AB801">
        <f t="shared" ca="1" si="219"/>
        <v>1</v>
      </c>
      <c r="AC801">
        <f t="shared" ca="1" si="220"/>
        <v>0</v>
      </c>
      <c r="AD801" t="str">
        <f t="shared" si="210"/>
        <v>4093RN153</v>
      </c>
      <c r="AE801">
        <f t="shared" ca="1" si="221"/>
        <v>0</v>
      </c>
      <c r="AF801" t="str">
        <f t="shared" ca="1" si="222"/>
        <v/>
      </c>
      <c r="AG801">
        <v>196</v>
      </c>
      <c r="AH801" t="s">
        <v>136</v>
      </c>
      <c r="AI801" t="str">
        <f t="shared" si="211"/>
        <v>Lutheran Home 25</v>
      </c>
      <c r="AJ801" t="str">
        <f t="shared" si="212"/>
        <v>Green Bay</v>
      </c>
      <c r="AK801" t="str">
        <f t="shared" si="213"/>
        <v>WI</v>
      </c>
    </row>
    <row r="802" spans="18:37" x14ac:dyDescent="0.25">
      <c r="S802">
        <v>544</v>
      </c>
      <c r="T802">
        <f t="shared" si="209"/>
        <v>129</v>
      </c>
      <c r="U802">
        <f t="shared" si="214"/>
        <v>26053</v>
      </c>
      <c r="V802">
        <f t="shared" ca="1" si="215"/>
        <v>0</v>
      </c>
      <c r="W802">
        <v>196</v>
      </c>
      <c r="X802" t="str">
        <f t="shared" ca="1" si="216"/>
        <v/>
      </c>
      <c r="Y802" t="s">
        <v>32</v>
      </c>
      <c r="Z802">
        <f t="shared" ca="1" si="217"/>
        <v>0</v>
      </c>
      <c r="AA802" t="str">
        <f t="shared" ca="1" si="218"/>
        <v>SPPN</v>
      </c>
      <c r="AB802">
        <f t="shared" ca="1" si="219"/>
        <v>1</v>
      </c>
      <c r="AC802">
        <f t="shared" ca="1" si="220"/>
        <v>0</v>
      </c>
      <c r="AD802" t="str">
        <f t="shared" si="210"/>
        <v>4093RN153</v>
      </c>
      <c r="AE802">
        <f t="shared" ca="1" si="221"/>
        <v>0</v>
      </c>
      <c r="AF802" t="str">
        <f t="shared" ca="1" si="222"/>
        <v/>
      </c>
      <c r="AG802">
        <v>196</v>
      </c>
      <c r="AH802" t="s">
        <v>136</v>
      </c>
      <c r="AI802" t="str">
        <f t="shared" si="211"/>
        <v>Lutheran Home 25</v>
      </c>
      <c r="AJ802" t="str">
        <f t="shared" si="212"/>
        <v>Green Bay</v>
      </c>
      <c r="AK802" t="str">
        <f t="shared" si="213"/>
        <v>WI</v>
      </c>
    </row>
    <row r="803" spans="18:37" x14ac:dyDescent="0.25">
      <c r="R803">
        <v>1</v>
      </c>
      <c r="S803">
        <v>545</v>
      </c>
      <c r="T803">
        <f t="shared" si="209"/>
        <v>129</v>
      </c>
      <c r="U803">
        <f t="shared" si="214"/>
        <v>26053</v>
      </c>
      <c r="V803">
        <f t="shared" ca="1" si="215"/>
        <v>0</v>
      </c>
      <c r="W803">
        <v>197</v>
      </c>
      <c r="X803" t="str">
        <f t="shared" ca="1" si="216"/>
        <v/>
      </c>
      <c r="Y803" t="s">
        <v>9</v>
      </c>
      <c r="Z803">
        <f t="shared" ca="1" si="217"/>
        <v>0</v>
      </c>
      <c r="AA803" t="str">
        <f t="shared" ca="1" si="218"/>
        <v>SPPN</v>
      </c>
      <c r="AB803">
        <f t="shared" ca="1" si="219"/>
        <v>1</v>
      </c>
      <c r="AC803" t="str">
        <f t="shared" ca="1" si="220"/>
        <v/>
      </c>
      <c r="AD803" t="str">
        <f t="shared" si="210"/>
        <v>4093RN153</v>
      </c>
      <c r="AE803">
        <f t="shared" ca="1" si="221"/>
        <v>0</v>
      </c>
      <c r="AF803" t="str">
        <f t="shared" ca="1" si="222"/>
        <v/>
      </c>
      <c r="AG803">
        <v>197</v>
      </c>
      <c r="AH803" t="s">
        <v>136</v>
      </c>
      <c r="AI803" t="str">
        <f t="shared" si="211"/>
        <v>Lutheran Home 25</v>
      </c>
      <c r="AJ803" t="str">
        <f t="shared" si="212"/>
        <v>Green Bay</v>
      </c>
      <c r="AK803" t="str">
        <f t="shared" si="213"/>
        <v>WI</v>
      </c>
    </row>
    <row r="804" spans="18:37" x14ac:dyDescent="0.25">
      <c r="S804">
        <v>546</v>
      </c>
      <c r="T804">
        <f t="shared" si="209"/>
        <v>129</v>
      </c>
      <c r="U804">
        <f t="shared" si="214"/>
        <v>26053</v>
      </c>
      <c r="V804">
        <f t="shared" ca="1" si="215"/>
        <v>0</v>
      </c>
      <c r="W804">
        <v>197</v>
      </c>
      <c r="X804" t="str">
        <f t="shared" ca="1" si="216"/>
        <v/>
      </c>
      <c r="Y804" t="s">
        <v>33</v>
      </c>
      <c r="Z804">
        <f t="shared" ca="1" si="217"/>
        <v>0</v>
      </c>
      <c r="AA804" t="str">
        <f t="shared" ca="1" si="218"/>
        <v>SPPN</v>
      </c>
      <c r="AB804">
        <f t="shared" ca="1" si="219"/>
        <v>1</v>
      </c>
      <c r="AC804" t="str">
        <f t="shared" ca="1" si="220"/>
        <v/>
      </c>
      <c r="AD804" t="str">
        <f t="shared" si="210"/>
        <v>4093RN153</v>
      </c>
      <c r="AE804">
        <f t="shared" ca="1" si="221"/>
        <v>0</v>
      </c>
      <c r="AF804" t="str">
        <f t="shared" ca="1" si="222"/>
        <v/>
      </c>
      <c r="AG804">
        <v>197</v>
      </c>
      <c r="AH804" t="s">
        <v>136</v>
      </c>
      <c r="AI804" t="str">
        <f t="shared" si="211"/>
        <v>Lutheran Home 25</v>
      </c>
      <c r="AJ804" t="str">
        <f t="shared" si="212"/>
        <v>Green Bay</v>
      </c>
      <c r="AK804" t="str">
        <f t="shared" si="213"/>
        <v>WI</v>
      </c>
    </row>
    <row r="805" spans="18:37" x14ac:dyDescent="0.25">
      <c r="S805">
        <v>547</v>
      </c>
      <c r="T805">
        <f t="shared" si="209"/>
        <v>129</v>
      </c>
      <c r="U805">
        <f t="shared" si="214"/>
        <v>26053</v>
      </c>
      <c r="V805">
        <f t="shared" ca="1" si="215"/>
        <v>0</v>
      </c>
      <c r="W805">
        <v>197</v>
      </c>
      <c r="X805" t="str">
        <f t="shared" ca="1" si="216"/>
        <v/>
      </c>
      <c r="Y805" t="s">
        <v>28</v>
      </c>
      <c r="Z805">
        <f t="shared" ca="1" si="217"/>
        <v>0</v>
      </c>
      <c r="AA805" t="str">
        <f t="shared" ca="1" si="218"/>
        <v>SPPN</v>
      </c>
      <c r="AB805">
        <f t="shared" ca="1" si="219"/>
        <v>1</v>
      </c>
      <c r="AC805">
        <f t="shared" ca="1" si="220"/>
        <v>0</v>
      </c>
      <c r="AD805" t="str">
        <f t="shared" si="210"/>
        <v>4093RN153</v>
      </c>
      <c r="AE805">
        <f t="shared" ca="1" si="221"/>
        <v>0</v>
      </c>
      <c r="AF805" t="str">
        <f t="shared" ca="1" si="222"/>
        <v/>
      </c>
      <c r="AG805">
        <v>197</v>
      </c>
      <c r="AH805" t="s">
        <v>136</v>
      </c>
      <c r="AI805" t="str">
        <f t="shared" si="211"/>
        <v>Lutheran Home 25</v>
      </c>
      <c r="AJ805" t="str">
        <f t="shared" si="212"/>
        <v>Green Bay</v>
      </c>
      <c r="AK805" t="str">
        <f t="shared" si="213"/>
        <v>WI</v>
      </c>
    </row>
    <row r="806" spans="18:37" x14ac:dyDescent="0.25">
      <c r="S806">
        <v>548</v>
      </c>
      <c r="T806">
        <f t="shared" si="209"/>
        <v>129</v>
      </c>
      <c r="U806">
        <f t="shared" si="214"/>
        <v>26053</v>
      </c>
      <c r="V806">
        <f t="shared" ca="1" si="215"/>
        <v>0</v>
      </c>
      <c r="W806">
        <v>197</v>
      </c>
      <c r="X806" t="str">
        <f t="shared" ca="1" si="216"/>
        <v/>
      </c>
      <c r="Y806" t="s">
        <v>32</v>
      </c>
      <c r="Z806">
        <f t="shared" ca="1" si="217"/>
        <v>0</v>
      </c>
      <c r="AA806" t="str">
        <f t="shared" ca="1" si="218"/>
        <v>SPPN</v>
      </c>
      <c r="AB806">
        <f t="shared" ca="1" si="219"/>
        <v>1</v>
      </c>
      <c r="AC806">
        <f t="shared" ca="1" si="220"/>
        <v>0</v>
      </c>
      <c r="AD806" t="str">
        <f t="shared" si="210"/>
        <v>4093RN153</v>
      </c>
      <c r="AE806">
        <f t="shared" ca="1" si="221"/>
        <v>0</v>
      </c>
      <c r="AF806" t="str">
        <f t="shared" ca="1" si="222"/>
        <v/>
      </c>
      <c r="AG806">
        <v>197</v>
      </c>
      <c r="AH806" t="s">
        <v>136</v>
      </c>
      <c r="AI806" t="str">
        <f t="shared" si="211"/>
        <v>Lutheran Home 25</v>
      </c>
      <c r="AJ806" t="str">
        <f t="shared" si="212"/>
        <v>Green Bay</v>
      </c>
      <c r="AK806" t="str">
        <f t="shared" si="213"/>
        <v>WI</v>
      </c>
    </row>
    <row r="807" spans="18:37" x14ac:dyDescent="0.25">
      <c r="R807">
        <v>1</v>
      </c>
      <c r="S807">
        <v>549</v>
      </c>
      <c r="T807">
        <f t="shared" si="209"/>
        <v>129</v>
      </c>
      <c r="U807">
        <f t="shared" si="214"/>
        <v>26053</v>
      </c>
      <c r="V807">
        <f t="shared" ca="1" si="215"/>
        <v>0</v>
      </c>
      <c r="W807">
        <v>198</v>
      </c>
      <c r="X807" t="str">
        <f t="shared" ca="1" si="216"/>
        <v/>
      </c>
      <c r="Y807" t="s">
        <v>9</v>
      </c>
      <c r="Z807">
        <f t="shared" ca="1" si="217"/>
        <v>0</v>
      </c>
      <c r="AA807" t="str">
        <f t="shared" ca="1" si="218"/>
        <v>SPPN</v>
      </c>
      <c r="AB807">
        <f t="shared" ca="1" si="219"/>
        <v>1</v>
      </c>
      <c r="AC807" t="str">
        <f t="shared" ca="1" si="220"/>
        <v/>
      </c>
      <c r="AD807" t="str">
        <f t="shared" si="210"/>
        <v>4093RN153</v>
      </c>
      <c r="AE807">
        <f t="shared" ca="1" si="221"/>
        <v>0</v>
      </c>
      <c r="AF807" t="str">
        <f t="shared" ca="1" si="222"/>
        <v/>
      </c>
      <c r="AG807">
        <v>198</v>
      </c>
      <c r="AH807" t="s">
        <v>136</v>
      </c>
      <c r="AI807" t="str">
        <f t="shared" si="211"/>
        <v>Lutheran Home 25</v>
      </c>
      <c r="AJ807" t="str">
        <f t="shared" si="212"/>
        <v>Green Bay</v>
      </c>
      <c r="AK807" t="str">
        <f t="shared" si="213"/>
        <v>WI</v>
      </c>
    </row>
    <row r="808" spans="18:37" x14ac:dyDescent="0.25">
      <c r="S808">
        <v>550</v>
      </c>
      <c r="T808">
        <f t="shared" si="209"/>
        <v>129</v>
      </c>
      <c r="U808">
        <f t="shared" si="214"/>
        <v>26053</v>
      </c>
      <c r="V808">
        <f t="shared" ca="1" si="215"/>
        <v>0</v>
      </c>
      <c r="W808">
        <v>198</v>
      </c>
      <c r="X808" t="str">
        <f t="shared" ca="1" si="216"/>
        <v/>
      </c>
      <c r="Y808" t="s">
        <v>33</v>
      </c>
      <c r="Z808">
        <f t="shared" ca="1" si="217"/>
        <v>0</v>
      </c>
      <c r="AA808" t="str">
        <f t="shared" ca="1" si="218"/>
        <v>SPPN</v>
      </c>
      <c r="AB808">
        <f t="shared" ca="1" si="219"/>
        <v>1</v>
      </c>
      <c r="AC808" t="str">
        <f t="shared" ca="1" si="220"/>
        <v/>
      </c>
      <c r="AD808" t="str">
        <f t="shared" si="210"/>
        <v>4093RN153</v>
      </c>
      <c r="AE808">
        <f t="shared" ca="1" si="221"/>
        <v>0</v>
      </c>
      <c r="AF808" t="str">
        <f t="shared" ca="1" si="222"/>
        <v/>
      </c>
      <c r="AG808">
        <v>198</v>
      </c>
      <c r="AH808" t="s">
        <v>136</v>
      </c>
      <c r="AI808" t="str">
        <f t="shared" si="211"/>
        <v>Lutheran Home 25</v>
      </c>
      <c r="AJ808" t="str">
        <f t="shared" si="212"/>
        <v>Green Bay</v>
      </c>
      <c r="AK808" t="str">
        <f t="shared" si="213"/>
        <v>WI</v>
      </c>
    </row>
    <row r="809" spans="18:37" x14ac:dyDescent="0.25">
      <c r="S809">
        <v>551</v>
      </c>
      <c r="T809">
        <f t="shared" si="209"/>
        <v>129</v>
      </c>
      <c r="U809">
        <f t="shared" si="214"/>
        <v>26053</v>
      </c>
      <c r="V809">
        <f t="shared" ca="1" si="215"/>
        <v>0</v>
      </c>
      <c r="W809">
        <v>198</v>
      </c>
      <c r="X809" t="str">
        <f t="shared" ca="1" si="216"/>
        <v/>
      </c>
      <c r="Y809" t="s">
        <v>28</v>
      </c>
      <c r="Z809">
        <f t="shared" ca="1" si="217"/>
        <v>0</v>
      </c>
      <c r="AA809" t="str">
        <f t="shared" ca="1" si="218"/>
        <v>SPPN</v>
      </c>
      <c r="AB809">
        <f t="shared" ca="1" si="219"/>
        <v>1</v>
      </c>
      <c r="AC809">
        <f t="shared" ca="1" si="220"/>
        <v>0</v>
      </c>
      <c r="AD809" t="str">
        <f t="shared" si="210"/>
        <v>4093RN153</v>
      </c>
      <c r="AE809">
        <f t="shared" ca="1" si="221"/>
        <v>0</v>
      </c>
      <c r="AF809" t="str">
        <f t="shared" ca="1" si="222"/>
        <v/>
      </c>
      <c r="AG809">
        <v>198</v>
      </c>
      <c r="AH809" t="s">
        <v>136</v>
      </c>
      <c r="AI809" t="str">
        <f t="shared" si="211"/>
        <v>Lutheran Home 25</v>
      </c>
      <c r="AJ809" t="str">
        <f t="shared" si="212"/>
        <v>Green Bay</v>
      </c>
      <c r="AK809" t="str">
        <f t="shared" si="213"/>
        <v>WI</v>
      </c>
    </row>
    <row r="810" spans="18:37" x14ac:dyDescent="0.25">
      <c r="S810">
        <v>552</v>
      </c>
      <c r="T810">
        <f t="shared" si="209"/>
        <v>129</v>
      </c>
      <c r="U810">
        <f t="shared" si="214"/>
        <v>26053</v>
      </c>
      <c r="V810">
        <f t="shared" ca="1" si="215"/>
        <v>0</v>
      </c>
      <c r="W810">
        <v>198</v>
      </c>
      <c r="X810" t="str">
        <f t="shared" ca="1" si="216"/>
        <v/>
      </c>
      <c r="Y810" t="s">
        <v>32</v>
      </c>
      <c r="Z810">
        <f t="shared" ca="1" si="217"/>
        <v>0</v>
      </c>
      <c r="AA810" t="str">
        <f t="shared" ca="1" si="218"/>
        <v>SPPN</v>
      </c>
      <c r="AB810">
        <f t="shared" ca="1" si="219"/>
        <v>1</v>
      </c>
      <c r="AC810">
        <f t="shared" ca="1" si="220"/>
        <v>0</v>
      </c>
      <c r="AD810" t="str">
        <f t="shared" si="210"/>
        <v>4093RN153</v>
      </c>
      <c r="AE810">
        <f t="shared" ca="1" si="221"/>
        <v>0</v>
      </c>
      <c r="AF810" t="str">
        <f t="shared" ca="1" si="222"/>
        <v/>
      </c>
      <c r="AG810">
        <v>198</v>
      </c>
      <c r="AH810" t="s">
        <v>136</v>
      </c>
      <c r="AI810" t="str">
        <f t="shared" si="211"/>
        <v>Lutheran Home 25</v>
      </c>
      <c r="AJ810" t="str">
        <f t="shared" si="212"/>
        <v>Green Bay</v>
      </c>
      <c r="AK810" t="str">
        <f t="shared" si="213"/>
        <v>WI</v>
      </c>
    </row>
    <row r="811" spans="18:37" x14ac:dyDescent="0.25">
      <c r="R811">
        <v>1</v>
      </c>
      <c r="S811">
        <v>553</v>
      </c>
      <c r="T811">
        <f t="shared" si="209"/>
        <v>129</v>
      </c>
      <c r="U811">
        <f t="shared" si="214"/>
        <v>26053</v>
      </c>
      <c r="V811">
        <f t="shared" ca="1" si="215"/>
        <v>0</v>
      </c>
      <c r="W811">
        <v>199</v>
      </c>
      <c r="X811" t="str">
        <f t="shared" ca="1" si="216"/>
        <v/>
      </c>
      <c r="Y811" t="s">
        <v>9</v>
      </c>
      <c r="Z811">
        <f t="shared" ca="1" si="217"/>
        <v>0</v>
      </c>
      <c r="AA811" t="str">
        <f t="shared" ca="1" si="218"/>
        <v>SPPN</v>
      </c>
      <c r="AB811">
        <f t="shared" ca="1" si="219"/>
        <v>1</v>
      </c>
      <c r="AC811" t="str">
        <f t="shared" ca="1" si="220"/>
        <v/>
      </c>
      <c r="AD811" t="str">
        <f t="shared" si="210"/>
        <v>4093RN153</v>
      </c>
      <c r="AE811">
        <f t="shared" ca="1" si="221"/>
        <v>0</v>
      </c>
      <c r="AF811" t="str">
        <f t="shared" ca="1" si="222"/>
        <v/>
      </c>
      <c r="AG811">
        <v>199</v>
      </c>
      <c r="AH811" t="s">
        <v>136</v>
      </c>
      <c r="AI811" t="str">
        <f t="shared" si="211"/>
        <v>Lutheran Home 25</v>
      </c>
      <c r="AJ811" t="str">
        <f t="shared" si="212"/>
        <v>Green Bay</v>
      </c>
      <c r="AK811" t="str">
        <f t="shared" si="213"/>
        <v>WI</v>
      </c>
    </row>
    <row r="812" spans="18:37" x14ac:dyDescent="0.25">
      <c r="S812">
        <v>554</v>
      </c>
      <c r="T812">
        <f t="shared" si="209"/>
        <v>129</v>
      </c>
      <c r="U812">
        <f t="shared" si="214"/>
        <v>26053</v>
      </c>
      <c r="V812">
        <f t="shared" ca="1" si="215"/>
        <v>0</v>
      </c>
      <c r="W812">
        <v>199</v>
      </c>
      <c r="X812" t="str">
        <f t="shared" ca="1" si="216"/>
        <v/>
      </c>
      <c r="Y812" t="s">
        <v>33</v>
      </c>
      <c r="Z812">
        <f t="shared" ca="1" si="217"/>
        <v>0</v>
      </c>
      <c r="AA812" t="str">
        <f t="shared" ca="1" si="218"/>
        <v>SPPN</v>
      </c>
      <c r="AB812">
        <f t="shared" ca="1" si="219"/>
        <v>1</v>
      </c>
      <c r="AC812" t="str">
        <f t="shared" ca="1" si="220"/>
        <v/>
      </c>
      <c r="AD812" t="str">
        <f t="shared" si="210"/>
        <v>4093RN153</v>
      </c>
      <c r="AE812">
        <f t="shared" ca="1" si="221"/>
        <v>0</v>
      </c>
      <c r="AF812" t="str">
        <f t="shared" ca="1" si="222"/>
        <v/>
      </c>
      <c r="AG812">
        <v>199</v>
      </c>
      <c r="AH812" t="s">
        <v>136</v>
      </c>
      <c r="AI812" t="str">
        <f t="shared" si="211"/>
        <v>Lutheran Home 25</v>
      </c>
      <c r="AJ812" t="str">
        <f t="shared" si="212"/>
        <v>Green Bay</v>
      </c>
      <c r="AK812" t="str">
        <f t="shared" si="213"/>
        <v>WI</v>
      </c>
    </row>
    <row r="813" spans="18:37" x14ac:dyDescent="0.25">
      <c r="S813">
        <v>555</v>
      </c>
      <c r="T813">
        <f t="shared" si="209"/>
        <v>129</v>
      </c>
      <c r="U813">
        <f t="shared" si="214"/>
        <v>26053</v>
      </c>
      <c r="V813">
        <f t="shared" ca="1" si="215"/>
        <v>0</v>
      </c>
      <c r="W813">
        <v>199</v>
      </c>
      <c r="X813" t="str">
        <f t="shared" ca="1" si="216"/>
        <v/>
      </c>
      <c r="Y813" t="s">
        <v>28</v>
      </c>
      <c r="Z813">
        <f t="shared" ca="1" si="217"/>
        <v>0</v>
      </c>
      <c r="AA813" t="str">
        <f t="shared" ca="1" si="218"/>
        <v>SPPN</v>
      </c>
      <c r="AB813">
        <f t="shared" ca="1" si="219"/>
        <v>1</v>
      </c>
      <c r="AC813">
        <f t="shared" ca="1" si="220"/>
        <v>0</v>
      </c>
      <c r="AD813" t="str">
        <f t="shared" si="210"/>
        <v>4093RN153</v>
      </c>
      <c r="AE813">
        <f t="shared" ca="1" si="221"/>
        <v>0</v>
      </c>
      <c r="AF813" t="str">
        <f t="shared" ca="1" si="222"/>
        <v/>
      </c>
      <c r="AG813">
        <v>199</v>
      </c>
      <c r="AH813" t="s">
        <v>136</v>
      </c>
      <c r="AI813" t="str">
        <f t="shared" si="211"/>
        <v>Lutheran Home 25</v>
      </c>
      <c r="AJ813" t="str">
        <f t="shared" si="212"/>
        <v>Green Bay</v>
      </c>
      <c r="AK813" t="str">
        <f t="shared" si="213"/>
        <v>WI</v>
      </c>
    </row>
    <row r="814" spans="18:37" x14ac:dyDescent="0.25">
      <c r="S814">
        <v>556</v>
      </c>
      <c r="T814">
        <f t="shared" si="209"/>
        <v>129</v>
      </c>
      <c r="U814">
        <f t="shared" si="214"/>
        <v>26053</v>
      </c>
      <c r="V814">
        <f t="shared" ca="1" si="215"/>
        <v>0</v>
      </c>
      <c r="W814">
        <v>199</v>
      </c>
      <c r="X814" t="str">
        <f t="shared" ca="1" si="216"/>
        <v/>
      </c>
      <c r="Y814" t="s">
        <v>32</v>
      </c>
      <c r="Z814">
        <f t="shared" ca="1" si="217"/>
        <v>0</v>
      </c>
      <c r="AA814" t="str">
        <f t="shared" ca="1" si="218"/>
        <v>SPPN</v>
      </c>
      <c r="AB814">
        <f t="shared" ca="1" si="219"/>
        <v>1</v>
      </c>
      <c r="AC814">
        <f t="shared" ca="1" si="220"/>
        <v>0</v>
      </c>
      <c r="AD814" t="str">
        <f t="shared" si="210"/>
        <v>4093RN153</v>
      </c>
      <c r="AE814">
        <f t="shared" ca="1" si="221"/>
        <v>0</v>
      </c>
      <c r="AF814" t="str">
        <f t="shared" ca="1" si="222"/>
        <v/>
      </c>
      <c r="AG814">
        <v>199</v>
      </c>
      <c r="AH814" t="s">
        <v>136</v>
      </c>
      <c r="AI814" t="str">
        <f t="shared" si="211"/>
        <v>Lutheran Home 25</v>
      </c>
      <c r="AJ814" t="str">
        <f t="shared" si="212"/>
        <v>Green Bay</v>
      </c>
      <c r="AK814" t="str">
        <f t="shared" si="213"/>
        <v>WI</v>
      </c>
    </row>
    <row r="815" spans="18:37" x14ac:dyDescent="0.25">
      <c r="R815">
        <v>1</v>
      </c>
      <c r="S815">
        <v>557</v>
      </c>
      <c r="T815">
        <f t="shared" si="209"/>
        <v>129</v>
      </c>
      <c r="U815">
        <f t="shared" si="214"/>
        <v>26053</v>
      </c>
      <c r="V815">
        <f t="shared" ca="1" si="215"/>
        <v>0</v>
      </c>
      <c r="W815">
        <v>200</v>
      </c>
      <c r="X815" t="str">
        <f t="shared" ca="1" si="216"/>
        <v/>
      </c>
      <c r="Y815" t="s">
        <v>9</v>
      </c>
      <c r="Z815">
        <f t="shared" ca="1" si="217"/>
        <v>0</v>
      </c>
      <c r="AA815" t="str">
        <f t="shared" ca="1" si="218"/>
        <v>SPPN</v>
      </c>
      <c r="AB815">
        <f t="shared" ca="1" si="219"/>
        <v>1</v>
      </c>
      <c r="AC815" t="str">
        <f t="shared" ca="1" si="220"/>
        <v/>
      </c>
      <c r="AD815" t="str">
        <f t="shared" si="210"/>
        <v>4093RN153</v>
      </c>
      <c r="AE815">
        <f t="shared" ca="1" si="221"/>
        <v>0</v>
      </c>
      <c r="AF815" t="str">
        <f t="shared" ca="1" si="222"/>
        <v/>
      </c>
      <c r="AG815">
        <v>200</v>
      </c>
      <c r="AH815" t="s">
        <v>136</v>
      </c>
      <c r="AI815" t="str">
        <f t="shared" si="211"/>
        <v>Lutheran Home 25</v>
      </c>
      <c r="AJ815" t="str">
        <f t="shared" si="212"/>
        <v>Green Bay</v>
      </c>
      <c r="AK815" t="str">
        <f t="shared" si="213"/>
        <v>WI</v>
      </c>
    </row>
    <row r="816" spans="18:37" x14ac:dyDescent="0.25">
      <c r="S816">
        <v>558</v>
      </c>
      <c r="T816">
        <f t="shared" si="209"/>
        <v>129</v>
      </c>
      <c r="U816">
        <f t="shared" si="214"/>
        <v>26053</v>
      </c>
      <c r="V816">
        <f t="shared" ca="1" si="215"/>
        <v>0</v>
      </c>
      <c r="W816">
        <v>200</v>
      </c>
      <c r="X816" t="str">
        <f t="shared" ca="1" si="216"/>
        <v/>
      </c>
      <c r="Y816" t="s">
        <v>33</v>
      </c>
      <c r="Z816">
        <f t="shared" ca="1" si="217"/>
        <v>0</v>
      </c>
      <c r="AA816" t="str">
        <f t="shared" ca="1" si="218"/>
        <v>SPPN</v>
      </c>
      <c r="AB816">
        <f t="shared" ca="1" si="219"/>
        <v>1</v>
      </c>
      <c r="AC816" t="str">
        <f t="shared" ca="1" si="220"/>
        <v/>
      </c>
      <c r="AD816" t="str">
        <f t="shared" si="210"/>
        <v>4093RN153</v>
      </c>
      <c r="AE816">
        <f t="shared" ca="1" si="221"/>
        <v>0</v>
      </c>
      <c r="AF816" t="str">
        <f t="shared" ca="1" si="222"/>
        <v/>
      </c>
      <c r="AG816">
        <v>200</v>
      </c>
      <c r="AH816" t="s">
        <v>136</v>
      </c>
      <c r="AI816" t="str">
        <f t="shared" si="211"/>
        <v>Lutheran Home 25</v>
      </c>
      <c r="AJ816" t="str">
        <f t="shared" si="212"/>
        <v>Green Bay</v>
      </c>
      <c r="AK816" t="str">
        <f t="shared" si="213"/>
        <v>WI</v>
      </c>
    </row>
    <row r="817" spans="18:37" x14ac:dyDescent="0.25">
      <c r="S817">
        <v>559</v>
      </c>
      <c r="T817">
        <f t="shared" si="209"/>
        <v>129</v>
      </c>
      <c r="U817">
        <f t="shared" si="214"/>
        <v>26053</v>
      </c>
      <c r="V817">
        <f t="shared" ca="1" si="215"/>
        <v>0</v>
      </c>
      <c r="W817">
        <v>200</v>
      </c>
      <c r="X817" t="str">
        <f t="shared" ca="1" si="216"/>
        <v/>
      </c>
      <c r="Y817" t="s">
        <v>28</v>
      </c>
      <c r="Z817">
        <f t="shared" ca="1" si="217"/>
        <v>0</v>
      </c>
      <c r="AA817" t="str">
        <f t="shared" ca="1" si="218"/>
        <v>SPPN</v>
      </c>
      <c r="AB817">
        <f t="shared" ca="1" si="219"/>
        <v>1</v>
      </c>
      <c r="AC817">
        <f t="shared" ca="1" si="220"/>
        <v>0</v>
      </c>
      <c r="AD817" t="str">
        <f t="shared" si="210"/>
        <v>4093RN153</v>
      </c>
      <c r="AE817">
        <f t="shared" ca="1" si="221"/>
        <v>0</v>
      </c>
      <c r="AF817" t="str">
        <f t="shared" ca="1" si="222"/>
        <v/>
      </c>
      <c r="AG817">
        <v>200</v>
      </c>
      <c r="AH817" t="s">
        <v>136</v>
      </c>
      <c r="AI817" t="str">
        <f t="shared" si="211"/>
        <v>Lutheran Home 25</v>
      </c>
      <c r="AJ817" t="str">
        <f t="shared" si="212"/>
        <v>Green Bay</v>
      </c>
      <c r="AK817" t="str">
        <f t="shared" si="213"/>
        <v>WI</v>
      </c>
    </row>
    <row r="818" spans="18:37" x14ac:dyDescent="0.25">
      <c r="S818">
        <v>560</v>
      </c>
      <c r="T818">
        <f t="shared" si="209"/>
        <v>129</v>
      </c>
      <c r="U818">
        <f t="shared" si="214"/>
        <v>26053</v>
      </c>
      <c r="V818">
        <f t="shared" ca="1" si="215"/>
        <v>0</v>
      </c>
      <c r="W818">
        <v>200</v>
      </c>
      <c r="X818" t="str">
        <f t="shared" ca="1" si="216"/>
        <v/>
      </c>
      <c r="Y818" t="s">
        <v>32</v>
      </c>
      <c r="Z818">
        <f t="shared" ca="1" si="217"/>
        <v>0</v>
      </c>
      <c r="AA818" t="str">
        <f t="shared" ca="1" si="218"/>
        <v>SPPN</v>
      </c>
      <c r="AB818">
        <f t="shared" ca="1" si="219"/>
        <v>1</v>
      </c>
      <c r="AC818">
        <f t="shared" ca="1" si="220"/>
        <v>0</v>
      </c>
      <c r="AD818" t="str">
        <f t="shared" si="210"/>
        <v>4093RN153</v>
      </c>
      <c r="AE818">
        <f t="shared" ca="1" si="221"/>
        <v>0</v>
      </c>
      <c r="AF818" t="str">
        <f t="shared" ca="1" si="222"/>
        <v/>
      </c>
      <c r="AG818">
        <v>200</v>
      </c>
      <c r="AH818" t="s">
        <v>136</v>
      </c>
      <c r="AI818" t="str">
        <f t="shared" si="211"/>
        <v>Lutheran Home 25</v>
      </c>
      <c r="AJ818" t="str">
        <f t="shared" si="212"/>
        <v>Green Bay</v>
      </c>
      <c r="AK818" t="str">
        <f t="shared" si="213"/>
        <v>WI</v>
      </c>
    </row>
    <row r="819" spans="18:37" x14ac:dyDescent="0.25">
      <c r="R819">
        <v>1</v>
      </c>
      <c r="S819">
        <v>561</v>
      </c>
      <c r="T819">
        <f t="shared" si="209"/>
        <v>129</v>
      </c>
      <c r="U819">
        <f t="shared" si="214"/>
        <v>26053</v>
      </c>
      <c r="V819">
        <f t="shared" ca="1" si="215"/>
        <v>0</v>
      </c>
      <c r="W819">
        <v>201</v>
      </c>
      <c r="X819" t="str">
        <f t="shared" ca="1" si="216"/>
        <v/>
      </c>
      <c r="Y819" t="s">
        <v>9</v>
      </c>
      <c r="Z819">
        <f t="shared" ca="1" si="217"/>
        <v>0</v>
      </c>
      <c r="AA819" t="str">
        <f t="shared" ca="1" si="218"/>
        <v>SPPN</v>
      </c>
      <c r="AB819">
        <f t="shared" ca="1" si="219"/>
        <v>1</v>
      </c>
      <c r="AC819" t="str">
        <f t="shared" ca="1" si="220"/>
        <v/>
      </c>
      <c r="AD819" t="str">
        <f t="shared" si="210"/>
        <v>4093RN153</v>
      </c>
      <c r="AE819">
        <f t="shared" ca="1" si="221"/>
        <v>0</v>
      </c>
      <c r="AF819" t="str">
        <f t="shared" ca="1" si="222"/>
        <v/>
      </c>
      <c r="AG819">
        <v>201</v>
      </c>
      <c r="AH819" t="s">
        <v>136</v>
      </c>
      <c r="AI819" t="str">
        <f t="shared" si="211"/>
        <v>Lutheran Home 25</v>
      </c>
      <c r="AJ819" t="str">
        <f t="shared" si="212"/>
        <v>Green Bay</v>
      </c>
      <c r="AK819" t="str">
        <f t="shared" si="213"/>
        <v>WI</v>
      </c>
    </row>
    <row r="820" spans="18:37" x14ac:dyDescent="0.25">
      <c r="S820">
        <v>562</v>
      </c>
      <c r="T820">
        <f t="shared" si="209"/>
        <v>129</v>
      </c>
      <c r="U820">
        <f t="shared" si="214"/>
        <v>26053</v>
      </c>
      <c r="V820">
        <f t="shared" ca="1" si="215"/>
        <v>0</v>
      </c>
      <c r="W820">
        <v>201</v>
      </c>
      <c r="X820" t="str">
        <f t="shared" ca="1" si="216"/>
        <v/>
      </c>
      <c r="Y820" t="s">
        <v>33</v>
      </c>
      <c r="Z820">
        <f t="shared" ca="1" si="217"/>
        <v>0</v>
      </c>
      <c r="AA820" t="str">
        <f t="shared" ca="1" si="218"/>
        <v>SPPN</v>
      </c>
      <c r="AB820">
        <f t="shared" ca="1" si="219"/>
        <v>1</v>
      </c>
      <c r="AC820" t="str">
        <f t="shared" ca="1" si="220"/>
        <v/>
      </c>
      <c r="AD820" t="str">
        <f t="shared" si="210"/>
        <v>4093RN153</v>
      </c>
      <c r="AE820">
        <f t="shared" ca="1" si="221"/>
        <v>0</v>
      </c>
      <c r="AF820" t="str">
        <f t="shared" ca="1" si="222"/>
        <v/>
      </c>
      <c r="AG820">
        <v>201</v>
      </c>
      <c r="AH820" t="s">
        <v>136</v>
      </c>
      <c r="AI820" t="str">
        <f t="shared" si="211"/>
        <v>Lutheran Home 25</v>
      </c>
      <c r="AJ820" t="str">
        <f t="shared" si="212"/>
        <v>Green Bay</v>
      </c>
      <c r="AK820" t="str">
        <f t="shared" si="213"/>
        <v>WI</v>
      </c>
    </row>
    <row r="821" spans="18:37" x14ac:dyDescent="0.25">
      <c r="S821">
        <v>563</v>
      </c>
      <c r="T821">
        <f t="shared" si="209"/>
        <v>129</v>
      </c>
      <c r="U821">
        <f t="shared" si="214"/>
        <v>26053</v>
      </c>
      <c r="V821">
        <f t="shared" ca="1" si="215"/>
        <v>0</v>
      </c>
      <c r="W821">
        <v>201</v>
      </c>
      <c r="X821" t="str">
        <f t="shared" ca="1" si="216"/>
        <v/>
      </c>
      <c r="Y821" t="s">
        <v>28</v>
      </c>
      <c r="Z821">
        <f t="shared" ca="1" si="217"/>
        <v>0</v>
      </c>
      <c r="AA821" t="str">
        <f t="shared" ca="1" si="218"/>
        <v>SPPN</v>
      </c>
      <c r="AB821">
        <f t="shared" ca="1" si="219"/>
        <v>1</v>
      </c>
      <c r="AC821">
        <f t="shared" ca="1" si="220"/>
        <v>0</v>
      </c>
      <c r="AD821" t="str">
        <f t="shared" si="210"/>
        <v>4093RN153</v>
      </c>
      <c r="AE821">
        <f t="shared" ca="1" si="221"/>
        <v>0</v>
      </c>
      <c r="AF821" t="str">
        <f t="shared" ca="1" si="222"/>
        <v/>
      </c>
      <c r="AG821">
        <v>201</v>
      </c>
      <c r="AH821" t="s">
        <v>136</v>
      </c>
      <c r="AI821" t="str">
        <f t="shared" si="211"/>
        <v>Lutheran Home 25</v>
      </c>
      <c r="AJ821" t="str">
        <f t="shared" si="212"/>
        <v>Green Bay</v>
      </c>
      <c r="AK821" t="str">
        <f t="shared" si="213"/>
        <v>WI</v>
      </c>
    </row>
    <row r="822" spans="18:37" x14ac:dyDescent="0.25">
      <c r="S822">
        <v>564</v>
      </c>
      <c r="T822">
        <f t="shared" si="209"/>
        <v>129</v>
      </c>
      <c r="U822">
        <f t="shared" si="214"/>
        <v>26053</v>
      </c>
      <c r="V822">
        <f t="shared" ca="1" si="215"/>
        <v>0</v>
      </c>
      <c r="W822">
        <v>201</v>
      </c>
      <c r="X822" t="str">
        <f t="shared" ca="1" si="216"/>
        <v/>
      </c>
      <c r="Y822" t="s">
        <v>32</v>
      </c>
      <c r="Z822">
        <f t="shared" ca="1" si="217"/>
        <v>0</v>
      </c>
      <c r="AA822" t="str">
        <f t="shared" ca="1" si="218"/>
        <v>SPPN</v>
      </c>
      <c r="AB822">
        <f t="shared" ca="1" si="219"/>
        <v>1</v>
      </c>
      <c r="AC822">
        <f t="shared" ca="1" si="220"/>
        <v>0</v>
      </c>
      <c r="AD822" t="str">
        <f t="shared" si="210"/>
        <v>4093RN153</v>
      </c>
      <c r="AE822">
        <f t="shared" ca="1" si="221"/>
        <v>0</v>
      </c>
      <c r="AF822" t="str">
        <f t="shared" ca="1" si="222"/>
        <v/>
      </c>
      <c r="AG822">
        <v>201</v>
      </c>
      <c r="AH822" t="s">
        <v>136</v>
      </c>
      <c r="AI822" t="str">
        <f t="shared" si="211"/>
        <v>Lutheran Home 25</v>
      </c>
      <c r="AJ822" t="str">
        <f t="shared" si="212"/>
        <v>Green Bay</v>
      </c>
      <c r="AK822" t="str">
        <f t="shared" si="213"/>
        <v>WI</v>
      </c>
    </row>
    <row r="823" spans="18:37" x14ac:dyDescent="0.25">
      <c r="R823">
        <v>1</v>
      </c>
      <c r="S823">
        <v>565</v>
      </c>
      <c r="T823">
        <f t="shared" si="209"/>
        <v>129</v>
      </c>
      <c r="U823">
        <f t="shared" si="214"/>
        <v>26053</v>
      </c>
      <c r="V823">
        <f t="shared" ca="1" si="215"/>
        <v>0</v>
      </c>
      <c r="W823">
        <v>202</v>
      </c>
      <c r="X823" t="str">
        <f t="shared" ca="1" si="216"/>
        <v/>
      </c>
      <c r="Y823" t="s">
        <v>9</v>
      </c>
      <c r="Z823">
        <f t="shared" ca="1" si="217"/>
        <v>0</v>
      </c>
      <c r="AA823" t="str">
        <f t="shared" ca="1" si="218"/>
        <v>SPPN</v>
      </c>
      <c r="AB823">
        <f t="shared" ca="1" si="219"/>
        <v>1</v>
      </c>
      <c r="AC823" t="str">
        <f t="shared" ca="1" si="220"/>
        <v/>
      </c>
      <c r="AD823" t="str">
        <f t="shared" si="210"/>
        <v>4093RN153</v>
      </c>
      <c r="AE823">
        <f t="shared" ca="1" si="221"/>
        <v>0</v>
      </c>
      <c r="AF823" t="str">
        <f t="shared" ca="1" si="222"/>
        <v/>
      </c>
      <c r="AG823">
        <v>202</v>
      </c>
      <c r="AH823" t="s">
        <v>136</v>
      </c>
      <c r="AI823" t="str">
        <f t="shared" si="211"/>
        <v>Lutheran Home 25</v>
      </c>
      <c r="AJ823" t="str">
        <f t="shared" si="212"/>
        <v>Green Bay</v>
      </c>
      <c r="AK823" t="str">
        <f t="shared" si="213"/>
        <v>WI</v>
      </c>
    </row>
    <row r="824" spans="18:37" x14ac:dyDescent="0.25">
      <c r="S824">
        <v>566</v>
      </c>
      <c r="T824">
        <f t="shared" si="209"/>
        <v>129</v>
      </c>
      <c r="U824">
        <f t="shared" si="214"/>
        <v>26053</v>
      </c>
      <c r="V824">
        <f t="shared" ca="1" si="215"/>
        <v>0</v>
      </c>
      <c r="W824">
        <v>202</v>
      </c>
      <c r="X824" t="str">
        <f t="shared" ca="1" si="216"/>
        <v/>
      </c>
      <c r="Y824" t="s">
        <v>33</v>
      </c>
      <c r="Z824">
        <f t="shared" ca="1" si="217"/>
        <v>0</v>
      </c>
      <c r="AA824" t="str">
        <f t="shared" ca="1" si="218"/>
        <v>SPPN</v>
      </c>
      <c r="AB824">
        <f t="shared" ca="1" si="219"/>
        <v>1</v>
      </c>
      <c r="AC824" t="str">
        <f t="shared" ca="1" si="220"/>
        <v/>
      </c>
      <c r="AD824" t="str">
        <f t="shared" si="210"/>
        <v>4093RN153</v>
      </c>
      <c r="AE824">
        <f t="shared" ca="1" si="221"/>
        <v>0</v>
      </c>
      <c r="AF824" t="str">
        <f t="shared" ca="1" si="222"/>
        <v/>
      </c>
      <c r="AG824">
        <v>202</v>
      </c>
      <c r="AH824" t="s">
        <v>136</v>
      </c>
      <c r="AI824" t="str">
        <f t="shared" si="211"/>
        <v>Lutheran Home 25</v>
      </c>
      <c r="AJ824" t="str">
        <f t="shared" si="212"/>
        <v>Green Bay</v>
      </c>
      <c r="AK824" t="str">
        <f t="shared" si="213"/>
        <v>WI</v>
      </c>
    </row>
    <row r="825" spans="18:37" x14ac:dyDescent="0.25">
      <c r="S825">
        <v>567</v>
      </c>
      <c r="T825">
        <f t="shared" si="209"/>
        <v>129</v>
      </c>
      <c r="U825">
        <f t="shared" si="214"/>
        <v>26053</v>
      </c>
      <c r="V825">
        <f t="shared" ca="1" si="215"/>
        <v>0</v>
      </c>
      <c r="W825">
        <v>202</v>
      </c>
      <c r="X825" t="str">
        <f t="shared" ca="1" si="216"/>
        <v/>
      </c>
      <c r="Y825" t="s">
        <v>28</v>
      </c>
      <c r="Z825">
        <f t="shared" ca="1" si="217"/>
        <v>0</v>
      </c>
      <c r="AA825" t="str">
        <f t="shared" ca="1" si="218"/>
        <v>SPPN</v>
      </c>
      <c r="AB825">
        <f t="shared" ca="1" si="219"/>
        <v>1</v>
      </c>
      <c r="AC825">
        <f t="shared" ca="1" si="220"/>
        <v>0</v>
      </c>
      <c r="AD825" t="str">
        <f t="shared" si="210"/>
        <v>4093RN153</v>
      </c>
      <c r="AE825">
        <f t="shared" ca="1" si="221"/>
        <v>0</v>
      </c>
      <c r="AF825" t="str">
        <f t="shared" ca="1" si="222"/>
        <v/>
      </c>
      <c r="AG825">
        <v>202</v>
      </c>
      <c r="AH825" t="s">
        <v>136</v>
      </c>
      <c r="AI825" t="str">
        <f t="shared" si="211"/>
        <v>Lutheran Home 25</v>
      </c>
      <c r="AJ825" t="str">
        <f t="shared" si="212"/>
        <v>Green Bay</v>
      </c>
      <c r="AK825" t="str">
        <f t="shared" si="213"/>
        <v>WI</v>
      </c>
    </row>
    <row r="826" spans="18:37" x14ac:dyDescent="0.25">
      <c r="S826">
        <v>568</v>
      </c>
      <c r="T826">
        <f t="shared" si="209"/>
        <v>129</v>
      </c>
      <c r="U826">
        <f t="shared" si="214"/>
        <v>26053</v>
      </c>
      <c r="V826">
        <f t="shared" ca="1" si="215"/>
        <v>0</v>
      </c>
      <c r="W826">
        <v>202</v>
      </c>
      <c r="X826" t="str">
        <f t="shared" ca="1" si="216"/>
        <v/>
      </c>
      <c r="Y826" t="s">
        <v>32</v>
      </c>
      <c r="Z826">
        <f t="shared" ca="1" si="217"/>
        <v>0</v>
      </c>
      <c r="AA826" t="str">
        <f t="shared" ca="1" si="218"/>
        <v>SPPN</v>
      </c>
      <c r="AB826">
        <f t="shared" ca="1" si="219"/>
        <v>1</v>
      </c>
      <c r="AC826">
        <f t="shared" ca="1" si="220"/>
        <v>0</v>
      </c>
      <c r="AD826" t="str">
        <f t="shared" si="210"/>
        <v>4093RN153</v>
      </c>
      <c r="AE826">
        <f t="shared" ca="1" si="221"/>
        <v>0</v>
      </c>
      <c r="AF826" t="str">
        <f t="shared" ca="1" si="222"/>
        <v/>
      </c>
      <c r="AG826">
        <v>202</v>
      </c>
      <c r="AH826" t="s">
        <v>136</v>
      </c>
      <c r="AI826" t="str">
        <f t="shared" si="211"/>
        <v>Lutheran Home 25</v>
      </c>
      <c r="AJ826" t="str">
        <f t="shared" si="212"/>
        <v>Green Bay</v>
      </c>
      <c r="AK826" t="str">
        <f t="shared" si="213"/>
        <v>WI</v>
      </c>
    </row>
    <row r="827" spans="18:37" x14ac:dyDescent="0.25">
      <c r="R827">
        <v>1</v>
      </c>
      <c r="S827">
        <v>569</v>
      </c>
      <c r="T827">
        <f t="shared" si="209"/>
        <v>129</v>
      </c>
      <c r="U827">
        <f t="shared" si="214"/>
        <v>26053</v>
      </c>
      <c r="V827">
        <f t="shared" ca="1" si="215"/>
        <v>0</v>
      </c>
      <c r="W827">
        <v>203</v>
      </c>
      <c r="X827" t="str">
        <f t="shared" ca="1" si="216"/>
        <v/>
      </c>
      <c r="Y827" t="s">
        <v>9</v>
      </c>
      <c r="Z827">
        <f t="shared" ca="1" si="217"/>
        <v>0</v>
      </c>
      <c r="AA827" t="str">
        <f t="shared" ca="1" si="218"/>
        <v>SPPN</v>
      </c>
      <c r="AB827">
        <f t="shared" ca="1" si="219"/>
        <v>1</v>
      </c>
      <c r="AC827" t="str">
        <f t="shared" ca="1" si="220"/>
        <v/>
      </c>
      <c r="AD827" t="str">
        <f t="shared" si="210"/>
        <v>4093RN153</v>
      </c>
      <c r="AE827">
        <f t="shared" ca="1" si="221"/>
        <v>0</v>
      </c>
      <c r="AF827" t="str">
        <f t="shared" ca="1" si="222"/>
        <v/>
      </c>
      <c r="AG827">
        <v>203</v>
      </c>
      <c r="AH827" t="s">
        <v>136</v>
      </c>
      <c r="AI827" t="str">
        <f t="shared" si="211"/>
        <v>Lutheran Home 25</v>
      </c>
      <c r="AJ827" t="str">
        <f t="shared" si="212"/>
        <v>Green Bay</v>
      </c>
      <c r="AK827" t="str">
        <f t="shared" si="213"/>
        <v>WI</v>
      </c>
    </row>
    <row r="828" spans="18:37" x14ac:dyDescent="0.25">
      <c r="S828">
        <v>570</v>
      </c>
      <c r="T828">
        <f t="shared" si="209"/>
        <v>129</v>
      </c>
      <c r="U828">
        <f t="shared" si="214"/>
        <v>26053</v>
      </c>
      <c r="V828">
        <f t="shared" ca="1" si="215"/>
        <v>0</v>
      </c>
      <c r="W828">
        <v>203</v>
      </c>
      <c r="X828" t="str">
        <f t="shared" ca="1" si="216"/>
        <v/>
      </c>
      <c r="Y828" t="s">
        <v>33</v>
      </c>
      <c r="Z828">
        <f t="shared" ca="1" si="217"/>
        <v>0</v>
      </c>
      <c r="AA828" t="str">
        <f t="shared" ca="1" si="218"/>
        <v>SPPN</v>
      </c>
      <c r="AB828">
        <f t="shared" ca="1" si="219"/>
        <v>1</v>
      </c>
      <c r="AC828" t="str">
        <f t="shared" ca="1" si="220"/>
        <v/>
      </c>
      <c r="AD828" t="str">
        <f t="shared" si="210"/>
        <v>4093RN153</v>
      </c>
      <c r="AE828">
        <f t="shared" ca="1" si="221"/>
        <v>0</v>
      </c>
      <c r="AF828" t="str">
        <f t="shared" ca="1" si="222"/>
        <v/>
      </c>
      <c r="AG828">
        <v>203</v>
      </c>
      <c r="AH828" t="s">
        <v>136</v>
      </c>
      <c r="AI828" t="str">
        <f t="shared" si="211"/>
        <v>Lutheran Home 25</v>
      </c>
      <c r="AJ828" t="str">
        <f t="shared" si="212"/>
        <v>Green Bay</v>
      </c>
      <c r="AK828" t="str">
        <f t="shared" si="213"/>
        <v>WI</v>
      </c>
    </row>
    <row r="829" spans="18:37" x14ac:dyDescent="0.25">
      <c r="S829">
        <v>571</v>
      </c>
      <c r="T829">
        <f t="shared" si="209"/>
        <v>129</v>
      </c>
      <c r="U829">
        <f t="shared" si="214"/>
        <v>26053</v>
      </c>
      <c r="V829">
        <f t="shared" ca="1" si="215"/>
        <v>0</v>
      </c>
      <c r="W829">
        <v>203</v>
      </c>
      <c r="X829" t="str">
        <f t="shared" ca="1" si="216"/>
        <v/>
      </c>
      <c r="Y829" t="s">
        <v>28</v>
      </c>
      <c r="Z829">
        <f t="shared" ca="1" si="217"/>
        <v>0</v>
      </c>
      <c r="AA829" t="str">
        <f t="shared" ca="1" si="218"/>
        <v>SPPN</v>
      </c>
      <c r="AB829">
        <f t="shared" ca="1" si="219"/>
        <v>1</v>
      </c>
      <c r="AC829">
        <f t="shared" ca="1" si="220"/>
        <v>0</v>
      </c>
      <c r="AD829" t="str">
        <f t="shared" si="210"/>
        <v>4093RN153</v>
      </c>
      <c r="AE829">
        <f t="shared" ca="1" si="221"/>
        <v>0</v>
      </c>
      <c r="AF829" t="str">
        <f t="shared" ca="1" si="222"/>
        <v/>
      </c>
      <c r="AG829">
        <v>203</v>
      </c>
      <c r="AH829" t="s">
        <v>136</v>
      </c>
      <c r="AI829" t="str">
        <f t="shared" si="211"/>
        <v>Lutheran Home 25</v>
      </c>
      <c r="AJ829" t="str">
        <f t="shared" si="212"/>
        <v>Green Bay</v>
      </c>
      <c r="AK829" t="str">
        <f t="shared" si="213"/>
        <v>WI</v>
      </c>
    </row>
    <row r="830" spans="18:37" x14ac:dyDescent="0.25">
      <c r="S830">
        <v>572</v>
      </c>
      <c r="T830">
        <f t="shared" si="209"/>
        <v>129</v>
      </c>
      <c r="U830">
        <f t="shared" si="214"/>
        <v>26053</v>
      </c>
      <c r="V830">
        <f t="shared" ca="1" si="215"/>
        <v>0</v>
      </c>
      <c r="W830">
        <v>203</v>
      </c>
      <c r="X830" t="str">
        <f t="shared" ca="1" si="216"/>
        <v/>
      </c>
      <c r="Y830" t="s">
        <v>32</v>
      </c>
      <c r="Z830">
        <f t="shared" ca="1" si="217"/>
        <v>0</v>
      </c>
      <c r="AA830" t="str">
        <f t="shared" ca="1" si="218"/>
        <v>SPPN</v>
      </c>
      <c r="AB830">
        <f t="shared" ca="1" si="219"/>
        <v>1</v>
      </c>
      <c r="AC830">
        <f t="shared" ca="1" si="220"/>
        <v>0</v>
      </c>
      <c r="AD830" t="str">
        <f t="shared" si="210"/>
        <v>4093RN153</v>
      </c>
      <c r="AE830">
        <f t="shared" ca="1" si="221"/>
        <v>0</v>
      </c>
      <c r="AF830" t="str">
        <f t="shared" ca="1" si="222"/>
        <v/>
      </c>
      <c r="AG830">
        <v>203</v>
      </c>
      <c r="AH830" t="s">
        <v>136</v>
      </c>
      <c r="AI830" t="str">
        <f t="shared" si="211"/>
        <v>Lutheran Home 25</v>
      </c>
      <c r="AJ830" t="str">
        <f t="shared" si="212"/>
        <v>Green Bay</v>
      </c>
      <c r="AK830" t="str">
        <f t="shared" si="213"/>
        <v>WI</v>
      </c>
    </row>
    <row r="831" spans="18:37" x14ac:dyDescent="0.25">
      <c r="R831">
        <v>1</v>
      </c>
      <c r="S831">
        <v>573</v>
      </c>
      <c r="T831">
        <f t="shared" si="209"/>
        <v>129</v>
      </c>
      <c r="U831">
        <f t="shared" si="214"/>
        <v>26053</v>
      </c>
      <c r="V831">
        <f t="shared" ca="1" si="215"/>
        <v>0</v>
      </c>
      <c r="W831">
        <v>204</v>
      </c>
      <c r="X831" t="str">
        <f t="shared" ca="1" si="216"/>
        <v/>
      </c>
      <c r="Y831" t="s">
        <v>9</v>
      </c>
      <c r="Z831">
        <f t="shared" ca="1" si="217"/>
        <v>0</v>
      </c>
      <c r="AA831" t="str">
        <f t="shared" ca="1" si="218"/>
        <v>SPPN</v>
      </c>
      <c r="AB831">
        <f t="shared" ca="1" si="219"/>
        <v>1</v>
      </c>
      <c r="AC831" t="str">
        <f t="shared" ca="1" si="220"/>
        <v/>
      </c>
      <c r="AD831" t="str">
        <f t="shared" si="210"/>
        <v>4093RN153</v>
      </c>
      <c r="AE831">
        <f t="shared" ca="1" si="221"/>
        <v>0</v>
      </c>
      <c r="AF831" t="str">
        <f t="shared" ca="1" si="222"/>
        <v/>
      </c>
      <c r="AG831">
        <v>204</v>
      </c>
      <c r="AH831" t="s">
        <v>136</v>
      </c>
      <c r="AI831" t="str">
        <f t="shared" si="211"/>
        <v>Lutheran Home 25</v>
      </c>
      <c r="AJ831" t="str">
        <f t="shared" si="212"/>
        <v>Green Bay</v>
      </c>
      <c r="AK831" t="str">
        <f t="shared" si="213"/>
        <v>WI</v>
      </c>
    </row>
    <row r="832" spans="18:37" x14ac:dyDescent="0.25">
      <c r="S832">
        <v>574</v>
      </c>
      <c r="T832">
        <f t="shared" si="209"/>
        <v>129</v>
      </c>
      <c r="U832">
        <f t="shared" si="214"/>
        <v>26053</v>
      </c>
      <c r="V832">
        <f t="shared" ca="1" si="215"/>
        <v>0</v>
      </c>
      <c r="W832">
        <v>204</v>
      </c>
      <c r="X832" t="str">
        <f t="shared" ca="1" si="216"/>
        <v/>
      </c>
      <c r="Y832" t="s">
        <v>33</v>
      </c>
      <c r="Z832">
        <f t="shared" ca="1" si="217"/>
        <v>0</v>
      </c>
      <c r="AA832" t="str">
        <f t="shared" ca="1" si="218"/>
        <v>SPPN</v>
      </c>
      <c r="AB832">
        <f t="shared" ca="1" si="219"/>
        <v>1</v>
      </c>
      <c r="AC832" t="str">
        <f t="shared" ca="1" si="220"/>
        <v/>
      </c>
      <c r="AD832" t="str">
        <f t="shared" si="210"/>
        <v>4093RN153</v>
      </c>
      <c r="AE832">
        <f t="shared" ca="1" si="221"/>
        <v>0</v>
      </c>
      <c r="AF832" t="str">
        <f t="shared" ca="1" si="222"/>
        <v/>
      </c>
      <c r="AG832">
        <v>204</v>
      </c>
      <c r="AH832" t="s">
        <v>136</v>
      </c>
      <c r="AI832" t="str">
        <f t="shared" si="211"/>
        <v>Lutheran Home 25</v>
      </c>
      <c r="AJ832" t="str">
        <f t="shared" si="212"/>
        <v>Green Bay</v>
      </c>
      <c r="AK832" t="str">
        <f t="shared" si="213"/>
        <v>WI</v>
      </c>
    </row>
    <row r="833" spans="18:37" x14ac:dyDescent="0.25">
      <c r="S833">
        <v>575</v>
      </c>
      <c r="T833">
        <f t="shared" si="209"/>
        <v>129</v>
      </c>
      <c r="U833">
        <f t="shared" si="214"/>
        <v>26053</v>
      </c>
      <c r="V833">
        <f t="shared" ca="1" si="215"/>
        <v>0</v>
      </c>
      <c r="W833">
        <v>204</v>
      </c>
      <c r="X833" t="str">
        <f t="shared" ca="1" si="216"/>
        <v/>
      </c>
      <c r="Y833" t="s">
        <v>28</v>
      </c>
      <c r="Z833">
        <f t="shared" ca="1" si="217"/>
        <v>0</v>
      </c>
      <c r="AA833" t="str">
        <f t="shared" ca="1" si="218"/>
        <v>SPPN</v>
      </c>
      <c r="AB833">
        <f t="shared" ca="1" si="219"/>
        <v>1</v>
      </c>
      <c r="AC833">
        <f t="shared" ca="1" si="220"/>
        <v>0</v>
      </c>
      <c r="AD833" t="str">
        <f t="shared" si="210"/>
        <v>4093RN153</v>
      </c>
      <c r="AE833">
        <f t="shared" ca="1" si="221"/>
        <v>0</v>
      </c>
      <c r="AF833" t="str">
        <f t="shared" ca="1" si="222"/>
        <v/>
      </c>
      <c r="AG833">
        <v>204</v>
      </c>
      <c r="AH833" t="s">
        <v>136</v>
      </c>
      <c r="AI833" t="str">
        <f t="shared" si="211"/>
        <v>Lutheran Home 25</v>
      </c>
      <c r="AJ833" t="str">
        <f t="shared" si="212"/>
        <v>Green Bay</v>
      </c>
      <c r="AK833" t="str">
        <f t="shared" si="213"/>
        <v>WI</v>
      </c>
    </row>
    <row r="834" spans="18:37" x14ac:dyDescent="0.25">
      <c r="S834">
        <v>576</v>
      </c>
      <c r="T834">
        <f t="shared" si="209"/>
        <v>129</v>
      </c>
      <c r="U834">
        <f t="shared" si="214"/>
        <v>26053</v>
      </c>
      <c r="V834">
        <f t="shared" ca="1" si="215"/>
        <v>0</v>
      </c>
      <c r="W834">
        <v>204</v>
      </c>
      <c r="X834" t="str">
        <f t="shared" ca="1" si="216"/>
        <v/>
      </c>
      <c r="Y834" t="s">
        <v>32</v>
      </c>
      <c r="Z834">
        <f t="shared" ca="1" si="217"/>
        <v>0</v>
      </c>
      <c r="AA834" t="str">
        <f t="shared" ca="1" si="218"/>
        <v>SPPN</v>
      </c>
      <c r="AB834">
        <f t="shared" ca="1" si="219"/>
        <v>1</v>
      </c>
      <c r="AC834">
        <f t="shared" ca="1" si="220"/>
        <v>0</v>
      </c>
      <c r="AD834" t="str">
        <f t="shared" si="210"/>
        <v>4093RN153</v>
      </c>
      <c r="AE834">
        <f t="shared" ca="1" si="221"/>
        <v>0</v>
      </c>
      <c r="AF834" t="str">
        <f t="shared" ca="1" si="222"/>
        <v/>
      </c>
      <c r="AG834">
        <v>204</v>
      </c>
      <c r="AH834" t="s">
        <v>136</v>
      </c>
      <c r="AI834" t="str">
        <f t="shared" si="211"/>
        <v>Lutheran Home 25</v>
      </c>
      <c r="AJ834" t="str">
        <f t="shared" si="212"/>
        <v>Green Bay</v>
      </c>
      <c r="AK834" t="str">
        <f t="shared" si="213"/>
        <v>WI</v>
      </c>
    </row>
    <row r="835" spans="18:37" x14ac:dyDescent="0.25">
      <c r="R835">
        <v>1</v>
      </c>
      <c r="S835">
        <v>577</v>
      </c>
      <c r="T835">
        <f t="shared" si="209"/>
        <v>129</v>
      </c>
      <c r="U835">
        <f t="shared" si="214"/>
        <v>26053</v>
      </c>
      <c r="V835">
        <f t="shared" ca="1" si="215"/>
        <v>0</v>
      </c>
      <c r="W835">
        <v>205</v>
      </c>
      <c r="X835" t="str">
        <f t="shared" ca="1" si="216"/>
        <v/>
      </c>
      <c r="Y835" t="s">
        <v>9</v>
      </c>
      <c r="Z835">
        <f t="shared" ca="1" si="217"/>
        <v>0</v>
      </c>
      <c r="AA835" t="str">
        <f t="shared" ca="1" si="218"/>
        <v>SPPN</v>
      </c>
      <c r="AB835">
        <f t="shared" ca="1" si="219"/>
        <v>1</v>
      </c>
      <c r="AC835" t="str">
        <f t="shared" ca="1" si="220"/>
        <v/>
      </c>
      <c r="AD835" t="str">
        <f t="shared" si="210"/>
        <v>4093RN153</v>
      </c>
      <c r="AE835">
        <f t="shared" ca="1" si="221"/>
        <v>0</v>
      </c>
      <c r="AF835" t="str">
        <f t="shared" ca="1" si="222"/>
        <v/>
      </c>
      <c r="AG835">
        <v>205</v>
      </c>
      <c r="AH835" t="s">
        <v>136</v>
      </c>
      <c r="AI835" t="str">
        <f t="shared" si="211"/>
        <v>Lutheran Home 25</v>
      </c>
      <c r="AJ835" t="str">
        <f t="shared" si="212"/>
        <v>Green Bay</v>
      </c>
      <c r="AK835" t="str">
        <f t="shared" si="213"/>
        <v>WI</v>
      </c>
    </row>
    <row r="836" spans="18:37" x14ac:dyDescent="0.25">
      <c r="S836">
        <v>578</v>
      </c>
      <c r="T836">
        <f t="shared" si="209"/>
        <v>129</v>
      </c>
      <c r="U836">
        <f t="shared" si="214"/>
        <v>26053</v>
      </c>
      <c r="V836">
        <f t="shared" ca="1" si="215"/>
        <v>0</v>
      </c>
      <c r="W836">
        <v>205</v>
      </c>
      <c r="X836" t="str">
        <f t="shared" ca="1" si="216"/>
        <v/>
      </c>
      <c r="Y836" t="s">
        <v>33</v>
      </c>
      <c r="Z836">
        <f t="shared" ca="1" si="217"/>
        <v>0</v>
      </c>
      <c r="AA836" t="str">
        <f t="shared" ca="1" si="218"/>
        <v>SPPN</v>
      </c>
      <c r="AB836">
        <f t="shared" ca="1" si="219"/>
        <v>1</v>
      </c>
      <c r="AC836" t="str">
        <f t="shared" ca="1" si="220"/>
        <v/>
      </c>
      <c r="AD836" t="str">
        <f t="shared" si="210"/>
        <v>4093RN153</v>
      </c>
      <c r="AE836">
        <f t="shared" ca="1" si="221"/>
        <v>0</v>
      </c>
      <c r="AF836" t="str">
        <f t="shared" ca="1" si="222"/>
        <v/>
      </c>
      <c r="AG836">
        <v>205</v>
      </c>
      <c r="AH836" t="s">
        <v>136</v>
      </c>
      <c r="AI836" t="str">
        <f t="shared" si="211"/>
        <v>Lutheran Home 25</v>
      </c>
      <c r="AJ836" t="str">
        <f t="shared" si="212"/>
        <v>Green Bay</v>
      </c>
      <c r="AK836" t="str">
        <f t="shared" si="213"/>
        <v>WI</v>
      </c>
    </row>
    <row r="837" spans="18:37" x14ac:dyDescent="0.25">
      <c r="S837">
        <v>579</v>
      </c>
      <c r="T837">
        <f t="shared" si="209"/>
        <v>129</v>
      </c>
      <c r="U837">
        <f t="shared" si="214"/>
        <v>26053</v>
      </c>
      <c r="V837">
        <f t="shared" ca="1" si="215"/>
        <v>0</v>
      </c>
      <c r="W837">
        <v>205</v>
      </c>
      <c r="X837" t="str">
        <f t="shared" ca="1" si="216"/>
        <v/>
      </c>
      <c r="Y837" t="s">
        <v>28</v>
      </c>
      <c r="Z837">
        <f t="shared" ca="1" si="217"/>
        <v>0</v>
      </c>
      <c r="AA837" t="str">
        <f t="shared" ca="1" si="218"/>
        <v>SPPN</v>
      </c>
      <c r="AB837">
        <f t="shared" ca="1" si="219"/>
        <v>1</v>
      </c>
      <c r="AC837">
        <f t="shared" ca="1" si="220"/>
        <v>0</v>
      </c>
      <c r="AD837" t="str">
        <f t="shared" si="210"/>
        <v>4093RN153</v>
      </c>
      <c r="AE837">
        <f t="shared" ca="1" si="221"/>
        <v>0</v>
      </c>
      <c r="AF837" t="str">
        <f t="shared" ca="1" si="222"/>
        <v/>
      </c>
      <c r="AG837">
        <v>205</v>
      </c>
      <c r="AH837" t="s">
        <v>136</v>
      </c>
      <c r="AI837" t="str">
        <f t="shared" si="211"/>
        <v>Lutheran Home 25</v>
      </c>
      <c r="AJ837" t="str">
        <f t="shared" si="212"/>
        <v>Green Bay</v>
      </c>
      <c r="AK837" t="str">
        <f t="shared" si="213"/>
        <v>WI</v>
      </c>
    </row>
    <row r="838" spans="18:37" x14ac:dyDescent="0.25">
      <c r="S838">
        <v>580</v>
      </c>
      <c r="T838">
        <f t="shared" si="209"/>
        <v>129</v>
      </c>
      <c r="U838">
        <f t="shared" si="214"/>
        <v>26053</v>
      </c>
      <c r="V838">
        <f t="shared" ca="1" si="215"/>
        <v>0</v>
      </c>
      <c r="W838">
        <v>205</v>
      </c>
      <c r="X838" t="str">
        <f t="shared" ca="1" si="216"/>
        <v/>
      </c>
      <c r="Y838" t="s">
        <v>32</v>
      </c>
      <c r="Z838">
        <f t="shared" ca="1" si="217"/>
        <v>0</v>
      </c>
      <c r="AA838" t="str">
        <f t="shared" ca="1" si="218"/>
        <v>SPPN</v>
      </c>
      <c r="AB838">
        <f t="shared" ca="1" si="219"/>
        <v>1</v>
      </c>
      <c r="AC838">
        <f t="shared" ca="1" si="220"/>
        <v>0</v>
      </c>
      <c r="AD838" t="str">
        <f t="shared" si="210"/>
        <v>4093RN153</v>
      </c>
      <c r="AE838">
        <f t="shared" ca="1" si="221"/>
        <v>0</v>
      </c>
      <c r="AF838" t="str">
        <f t="shared" ca="1" si="222"/>
        <v/>
      </c>
      <c r="AG838">
        <v>205</v>
      </c>
      <c r="AH838" t="s">
        <v>136</v>
      </c>
      <c r="AI838" t="str">
        <f t="shared" si="211"/>
        <v>Lutheran Home 25</v>
      </c>
      <c r="AJ838" t="str">
        <f t="shared" si="212"/>
        <v>Green Bay</v>
      </c>
      <c r="AK838" t="str">
        <f t="shared" si="213"/>
        <v>WI</v>
      </c>
    </row>
    <row r="839" spans="18:37" x14ac:dyDescent="0.25">
      <c r="R839">
        <v>1</v>
      </c>
      <c r="S839">
        <v>581</v>
      </c>
      <c r="T839">
        <f t="shared" si="209"/>
        <v>129</v>
      </c>
      <c r="U839">
        <f t="shared" si="214"/>
        <v>26053</v>
      </c>
      <c r="V839">
        <f t="shared" ca="1" si="215"/>
        <v>0</v>
      </c>
      <c r="W839">
        <v>206</v>
      </c>
      <c r="X839" t="str">
        <f t="shared" ca="1" si="216"/>
        <v/>
      </c>
      <c r="Y839" t="s">
        <v>9</v>
      </c>
      <c r="Z839">
        <f t="shared" ca="1" si="217"/>
        <v>0</v>
      </c>
      <c r="AA839" t="str">
        <f t="shared" ca="1" si="218"/>
        <v>SPPN</v>
      </c>
      <c r="AB839">
        <f t="shared" ca="1" si="219"/>
        <v>1</v>
      </c>
      <c r="AC839" t="str">
        <f t="shared" ca="1" si="220"/>
        <v/>
      </c>
      <c r="AD839" t="str">
        <f t="shared" si="210"/>
        <v>4093RN153</v>
      </c>
      <c r="AE839">
        <f t="shared" ca="1" si="221"/>
        <v>0</v>
      </c>
      <c r="AF839" t="str">
        <f t="shared" ca="1" si="222"/>
        <v/>
      </c>
      <c r="AG839">
        <v>206</v>
      </c>
      <c r="AH839" t="s">
        <v>136</v>
      </c>
      <c r="AI839" t="str">
        <f t="shared" si="211"/>
        <v>Lutheran Home 25</v>
      </c>
      <c r="AJ839" t="str">
        <f t="shared" si="212"/>
        <v>Green Bay</v>
      </c>
      <c r="AK839" t="str">
        <f t="shared" si="213"/>
        <v>WI</v>
      </c>
    </row>
    <row r="840" spans="18:37" x14ac:dyDescent="0.25">
      <c r="S840">
        <v>582</v>
      </c>
      <c r="T840">
        <f t="shared" si="209"/>
        <v>129</v>
      </c>
      <c r="U840">
        <f t="shared" si="214"/>
        <v>26053</v>
      </c>
      <c r="V840">
        <f t="shared" ca="1" si="215"/>
        <v>0</v>
      </c>
      <c r="W840">
        <v>206</v>
      </c>
      <c r="X840" t="str">
        <f t="shared" ca="1" si="216"/>
        <v/>
      </c>
      <c r="Y840" t="s">
        <v>33</v>
      </c>
      <c r="Z840">
        <f t="shared" ca="1" si="217"/>
        <v>0</v>
      </c>
      <c r="AA840" t="str">
        <f t="shared" ca="1" si="218"/>
        <v>SPPN</v>
      </c>
      <c r="AB840">
        <f t="shared" ca="1" si="219"/>
        <v>1</v>
      </c>
      <c r="AC840" t="str">
        <f t="shared" ca="1" si="220"/>
        <v/>
      </c>
      <c r="AD840" t="str">
        <f t="shared" si="210"/>
        <v>4093RN153</v>
      </c>
      <c r="AE840">
        <f t="shared" ca="1" si="221"/>
        <v>0</v>
      </c>
      <c r="AF840" t="str">
        <f t="shared" ca="1" si="222"/>
        <v/>
      </c>
      <c r="AG840">
        <v>206</v>
      </c>
      <c r="AH840" t="s">
        <v>136</v>
      </c>
      <c r="AI840" t="str">
        <f t="shared" si="211"/>
        <v>Lutheran Home 25</v>
      </c>
      <c r="AJ840" t="str">
        <f t="shared" si="212"/>
        <v>Green Bay</v>
      </c>
      <c r="AK840" t="str">
        <f t="shared" si="213"/>
        <v>WI</v>
      </c>
    </row>
    <row r="841" spans="18:37" x14ac:dyDescent="0.25">
      <c r="S841">
        <v>583</v>
      </c>
      <c r="T841">
        <f t="shared" si="209"/>
        <v>129</v>
      </c>
      <c r="U841">
        <f t="shared" si="214"/>
        <v>26053</v>
      </c>
      <c r="V841">
        <f t="shared" ca="1" si="215"/>
        <v>0</v>
      </c>
      <c r="W841">
        <v>206</v>
      </c>
      <c r="X841" t="str">
        <f t="shared" ca="1" si="216"/>
        <v/>
      </c>
      <c r="Y841" t="s">
        <v>28</v>
      </c>
      <c r="Z841">
        <f t="shared" ca="1" si="217"/>
        <v>0</v>
      </c>
      <c r="AA841" t="str">
        <f t="shared" ca="1" si="218"/>
        <v>SPPN</v>
      </c>
      <c r="AB841">
        <f t="shared" ca="1" si="219"/>
        <v>1</v>
      </c>
      <c r="AC841">
        <f t="shared" ca="1" si="220"/>
        <v>0</v>
      </c>
      <c r="AD841" t="str">
        <f t="shared" si="210"/>
        <v>4093RN153</v>
      </c>
      <c r="AE841">
        <f t="shared" ca="1" si="221"/>
        <v>0</v>
      </c>
      <c r="AF841" t="str">
        <f t="shared" ca="1" si="222"/>
        <v/>
      </c>
      <c r="AG841">
        <v>206</v>
      </c>
      <c r="AH841" t="s">
        <v>136</v>
      </c>
      <c r="AI841" t="str">
        <f t="shared" si="211"/>
        <v>Lutheran Home 25</v>
      </c>
      <c r="AJ841" t="str">
        <f t="shared" si="212"/>
        <v>Green Bay</v>
      </c>
      <c r="AK841" t="str">
        <f t="shared" si="213"/>
        <v>WI</v>
      </c>
    </row>
    <row r="842" spans="18:37" x14ac:dyDescent="0.25">
      <c r="S842">
        <v>584</v>
      </c>
      <c r="T842">
        <f t="shared" si="209"/>
        <v>129</v>
      </c>
      <c r="U842">
        <f t="shared" si="214"/>
        <v>26053</v>
      </c>
      <c r="V842">
        <f t="shared" ca="1" si="215"/>
        <v>0</v>
      </c>
      <c r="W842">
        <v>206</v>
      </c>
      <c r="X842" t="str">
        <f t="shared" ca="1" si="216"/>
        <v/>
      </c>
      <c r="Y842" t="s">
        <v>32</v>
      </c>
      <c r="Z842">
        <f t="shared" ca="1" si="217"/>
        <v>0</v>
      </c>
      <c r="AA842" t="str">
        <f t="shared" ca="1" si="218"/>
        <v>SPPN</v>
      </c>
      <c r="AB842">
        <f t="shared" ca="1" si="219"/>
        <v>1</v>
      </c>
      <c r="AC842">
        <f t="shared" ca="1" si="220"/>
        <v>0</v>
      </c>
      <c r="AD842" t="str">
        <f t="shared" si="210"/>
        <v>4093RN153</v>
      </c>
      <c r="AE842">
        <f t="shared" ca="1" si="221"/>
        <v>0</v>
      </c>
      <c r="AF842" t="str">
        <f t="shared" ca="1" si="222"/>
        <v/>
      </c>
      <c r="AG842">
        <v>206</v>
      </c>
      <c r="AH842" t="s">
        <v>136</v>
      </c>
      <c r="AI842" t="str">
        <f t="shared" si="211"/>
        <v>Lutheran Home 25</v>
      </c>
      <c r="AJ842" t="str">
        <f t="shared" si="212"/>
        <v>Green Bay</v>
      </c>
      <c r="AK842" t="str">
        <f t="shared" si="213"/>
        <v>WI</v>
      </c>
    </row>
    <row r="843" spans="18:37" x14ac:dyDescent="0.25">
      <c r="R843">
        <v>1</v>
      </c>
      <c r="S843">
        <v>585</v>
      </c>
      <c r="T843">
        <f t="shared" si="209"/>
        <v>129</v>
      </c>
      <c r="U843">
        <f t="shared" si="214"/>
        <v>26053</v>
      </c>
      <c r="V843">
        <f t="shared" ca="1" si="215"/>
        <v>0</v>
      </c>
      <c r="W843">
        <v>207</v>
      </c>
      <c r="X843" t="str">
        <f t="shared" ca="1" si="216"/>
        <v/>
      </c>
      <c r="Y843" t="s">
        <v>9</v>
      </c>
      <c r="Z843">
        <f t="shared" ca="1" si="217"/>
        <v>0</v>
      </c>
      <c r="AA843" t="str">
        <f t="shared" ca="1" si="218"/>
        <v>SPPN</v>
      </c>
      <c r="AB843">
        <f t="shared" ca="1" si="219"/>
        <v>1</v>
      </c>
      <c r="AC843" t="str">
        <f t="shared" ca="1" si="220"/>
        <v/>
      </c>
      <c r="AD843" t="str">
        <f t="shared" si="210"/>
        <v>4093RN153</v>
      </c>
      <c r="AE843">
        <f t="shared" ca="1" si="221"/>
        <v>0</v>
      </c>
      <c r="AF843" t="str">
        <f t="shared" ca="1" si="222"/>
        <v/>
      </c>
      <c r="AG843">
        <v>207</v>
      </c>
      <c r="AH843" t="s">
        <v>136</v>
      </c>
      <c r="AI843" t="str">
        <f t="shared" si="211"/>
        <v>Lutheran Home 25</v>
      </c>
      <c r="AJ843" t="str">
        <f t="shared" si="212"/>
        <v>Green Bay</v>
      </c>
      <c r="AK843" t="str">
        <f t="shared" si="213"/>
        <v>WI</v>
      </c>
    </row>
    <row r="844" spans="18:37" x14ac:dyDescent="0.25">
      <c r="S844">
        <v>586</v>
      </c>
      <c r="T844">
        <f t="shared" si="209"/>
        <v>129</v>
      </c>
      <c r="U844">
        <f t="shared" si="214"/>
        <v>26053</v>
      </c>
      <c r="V844">
        <f t="shared" ca="1" si="215"/>
        <v>0</v>
      </c>
      <c r="W844">
        <v>207</v>
      </c>
      <c r="X844" t="str">
        <f t="shared" ca="1" si="216"/>
        <v/>
      </c>
      <c r="Y844" t="s">
        <v>33</v>
      </c>
      <c r="Z844">
        <f t="shared" ca="1" si="217"/>
        <v>0</v>
      </c>
      <c r="AA844" t="str">
        <f t="shared" ca="1" si="218"/>
        <v>SPPN</v>
      </c>
      <c r="AB844">
        <f t="shared" ca="1" si="219"/>
        <v>1</v>
      </c>
      <c r="AC844" t="str">
        <f t="shared" ca="1" si="220"/>
        <v/>
      </c>
      <c r="AD844" t="str">
        <f t="shared" si="210"/>
        <v>4093RN153</v>
      </c>
      <c r="AE844">
        <f t="shared" ca="1" si="221"/>
        <v>0</v>
      </c>
      <c r="AF844" t="str">
        <f t="shared" ca="1" si="222"/>
        <v/>
      </c>
      <c r="AG844">
        <v>207</v>
      </c>
      <c r="AH844" t="s">
        <v>136</v>
      </c>
      <c r="AI844" t="str">
        <f t="shared" si="211"/>
        <v>Lutheran Home 25</v>
      </c>
      <c r="AJ844" t="str">
        <f t="shared" si="212"/>
        <v>Green Bay</v>
      </c>
      <c r="AK844" t="str">
        <f t="shared" si="213"/>
        <v>WI</v>
      </c>
    </row>
    <row r="845" spans="18:37" x14ac:dyDescent="0.25">
      <c r="S845">
        <v>587</v>
      </c>
      <c r="T845">
        <f t="shared" si="209"/>
        <v>129</v>
      </c>
      <c r="U845">
        <f t="shared" si="214"/>
        <v>26053</v>
      </c>
      <c r="V845">
        <f t="shared" ca="1" si="215"/>
        <v>0</v>
      </c>
      <c r="W845">
        <v>207</v>
      </c>
      <c r="X845" t="str">
        <f t="shared" ca="1" si="216"/>
        <v/>
      </c>
      <c r="Y845" t="s">
        <v>28</v>
      </c>
      <c r="Z845">
        <f t="shared" ca="1" si="217"/>
        <v>0</v>
      </c>
      <c r="AA845" t="str">
        <f t="shared" ca="1" si="218"/>
        <v>SPPN</v>
      </c>
      <c r="AB845">
        <f t="shared" ca="1" si="219"/>
        <v>1</v>
      </c>
      <c r="AC845">
        <f t="shared" ca="1" si="220"/>
        <v>0</v>
      </c>
      <c r="AD845" t="str">
        <f t="shared" si="210"/>
        <v>4093RN153</v>
      </c>
      <c r="AE845">
        <f t="shared" ca="1" si="221"/>
        <v>0</v>
      </c>
      <c r="AF845" t="str">
        <f t="shared" ca="1" si="222"/>
        <v/>
      </c>
      <c r="AG845">
        <v>207</v>
      </c>
      <c r="AH845" t="s">
        <v>136</v>
      </c>
      <c r="AI845" t="str">
        <f t="shared" si="211"/>
        <v>Lutheran Home 25</v>
      </c>
      <c r="AJ845" t="str">
        <f t="shared" si="212"/>
        <v>Green Bay</v>
      </c>
      <c r="AK845" t="str">
        <f t="shared" si="213"/>
        <v>WI</v>
      </c>
    </row>
    <row r="846" spans="18:37" x14ac:dyDescent="0.25">
      <c r="S846">
        <v>588</v>
      </c>
      <c r="T846">
        <f t="shared" si="209"/>
        <v>129</v>
      </c>
      <c r="U846">
        <f t="shared" si="214"/>
        <v>26053</v>
      </c>
      <c r="V846">
        <f t="shared" ca="1" si="215"/>
        <v>0</v>
      </c>
      <c r="W846">
        <v>207</v>
      </c>
      <c r="X846" t="str">
        <f t="shared" ca="1" si="216"/>
        <v/>
      </c>
      <c r="Y846" t="s">
        <v>32</v>
      </c>
      <c r="Z846">
        <f t="shared" ca="1" si="217"/>
        <v>0</v>
      </c>
      <c r="AA846" t="str">
        <f t="shared" ca="1" si="218"/>
        <v>SPPN</v>
      </c>
      <c r="AB846">
        <f t="shared" ca="1" si="219"/>
        <v>1</v>
      </c>
      <c r="AC846">
        <f t="shared" ca="1" si="220"/>
        <v>0</v>
      </c>
      <c r="AD846" t="str">
        <f t="shared" si="210"/>
        <v>4093RN153</v>
      </c>
      <c r="AE846">
        <f t="shared" ca="1" si="221"/>
        <v>0</v>
      </c>
      <c r="AF846" t="str">
        <f t="shared" ca="1" si="222"/>
        <v/>
      </c>
      <c r="AG846">
        <v>207</v>
      </c>
      <c r="AH846" t="s">
        <v>136</v>
      </c>
      <c r="AI846" t="str">
        <f t="shared" si="211"/>
        <v>Lutheran Home 25</v>
      </c>
      <c r="AJ846" t="str">
        <f t="shared" si="212"/>
        <v>Green Bay</v>
      </c>
      <c r="AK846" t="str">
        <f t="shared" si="213"/>
        <v>WI</v>
      </c>
    </row>
    <row r="847" spans="18:37" x14ac:dyDescent="0.25">
      <c r="R847">
        <v>1</v>
      </c>
      <c r="S847">
        <v>589</v>
      </c>
      <c r="T847">
        <f t="shared" si="209"/>
        <v>129</v>
      </c>
      <c r="U847">
        <f t="shared" si="214"/>
        <v>26053</v>
      </c>
      <c r="V847">
        <f t="shared" ca="1" si="215"/>
        <v>0</v>
      </c>
      <c r="W847">
        <v>208</v>
      </c>
      <c r="X847" t="str">
        <f t="shared" ca="1" si="216"/>
        <v/>
      </c>
      <c r="Y847" t="s">
        <v>9</v>
      </c>
      <c r="Z847">
        <f t="shared" ca="1" si="217"/>
        <v>0</v>
      </c>
      <c r="AA847" t="str">
        <f t="shared" ca="1" si="218"/>
        <v>SPPN</v>
      </c>
      <c r="AB847">
        <f t="shared" ca="1" si="219"/>
        <v>1</v>
      </c>
      <c r="AC847" t="str">
        <f t="shared" ca="1" si="220"/>
        <v/>
      </c>
      <c r="AD847" t="str">
        <f t="shared" si="210"/>
        <v>4093RN153</v>
      </c>
      <c r="AE847">
        <f t="shared" ca="1" si="221"/>
        <v>0</v>
      </c>
      <c r="AF847" t="str">
        <f t="shared" ca="1" si="222"/>
        <v/>
      </c>
      <c r="AG847">
        <v>208</v>
      </c>
      <c r="AH847" t="s">
        <v>136</v>
      </c>
      <c r="AI847" t="str">
        <f t="shared" si="211"/>
        <v>Lutheran Home 25</v>
      </c>
      <c r="AJ847" t="str">
        <f t="shared" si="212"/>
        <v>Green Bay</v>
      </c>
      <c r="AK847" t="str">
        <f t="shared" si="213"/>
        <v>WI</v>
      </c>
    </row>
    <row r="848" spans="18:37" x14ac:dyDescent="0.25">
      <c r="S848">
        <v>590</v>
      </c>
      <c r="T848">
        <f t="shared" si="209"/>
        <v>129</v>
      </c>
      <c r="U848">
        <f t="shared" si="214"/>
        <v>26053</v>
      </c>
      <c r="V848">
        <f t="shared" ca="1" si="215"/>
        <v>0</v>
      </c>
      <c r="W848">
        <v>208</v>
      </c>
      <c r="X848" t="str">
        <f t="shared" ca="1" si="216"/>
        <v/>
      </c>
      <c r="Y848" t="s">
        <v>33</v>
      </c>
      <c r="Z848">
        <f t="shared" ca="1" si="217"/>
        <v>0</v>
      </c>
      <c r="AA848" t="str">
        <f t="shared" ca="1" si="218"/>
        <v>SPPN</v>
      </c>
      <c r="AB848">
        <f t="shared" ca="1" si="219"/>
        <v>1</v>
      </c>
      <c r="AC848" t="str">
        <f t="shared" ca="1" si="220"/>
        <v/>
      </c>
      <c r="AD848" t="str">
        <f t="shared" si="210"/>
        <v>4093RN153</v>
      </c>
      <c r="AE848">
        <f t="shared" ca="1" si="221"/>
        <v>0</v>
      </c>
      <c r="AF848" t="str">
        <f t="shared" ca="1" si="222"/>
        <v/>
      </c>
      <c r="AG848">
        <v>208</v>
      </c>
      <c r="AH848" t="s">
        <v>136</v>
      </c>
      <c r="AI848" t="str">
        <f t="shared" si="211"/>
        <v>Lutheran Home 25</v>
      </c>
      <c r="AJ848" t="str">
        <f t="shared" si="212"/>
        <v>Green Bay</v>
      </c>
      <c r="AK848" t="str">
        <f t="shared" si="213"/>
        <v>WI</v>
      </c>
    </row>
    <row r="849" spans="18:37" x14ac:dyDescent="0.25">
      <c r="S849">
        <v>591</v>
      </c>
      <c r="T849">
        <f t="shared" si="209"/>
        <v>129</v>
      </c>
      <c r="U849">
        <f t="shared" si="214"/>
        <v>26053</v>
      </c>
      <c r="V849">
        <f t="shared" ca="1" si="215"/>
        <v>0</v>
      </c>
      <c r="W849">
        <v>208</v>
      </c>
      <c r="X849" t="str">
        <f t="shared" ca="1" si="216"/>
        <v/>
      </c>
      <c r="Y849" t="s">
        <v>28</v>
      </c>
      <c r="Z849">
        <f t="shared" ca="1" si="217"/>
        <v>0</v>
      </c>
      <c r="AA849" t="str">
        <f t="shared" ca="1" si="218"/>
        <v>SPPN</v>
      </c>
      <c r="AB849">
        <f t="shared" ca="1" si="219"/>
        <v>1</v>
      </c>
      <c r="AC849">
        <f t="shared" ca="1" si="220"/>
        <v>0</v>
      </c>
      <c r="AD849" t="str">
        <f t="shared" si="210"/>
        <v>4093RN153</v>
      </c>
      <c r="AE849">
        <f t="shared" ca="1" si="221"/>
        <v>0</v>
      </c>
      <c r="AF849" t="str">
        <f t="shared" ca="1" si="222"/>
        <v/>
      </c>
      <c r="AG849">
        <v>208</v>
      </c>
      <c r="AH849" t="s">
        <v>136</v>
      </c>
      <c r="AI849" t="str">
        <f t="shared" si="211"/>
        <v>Lutheran Home 25</v>
      </c>
      <c r="AJ849" t="str">
        <f t="shared" si="212"/>
        <v>Green Bay</v>
      </c>
      <c r="AK849" t="str">
        <f t="shared" si="213"/>
        <v>WI</v>
      </c>
    </row>
    <row r="850" spans="18:37" x14ac:dyDescent="0.25">
      <c r="S850">
        <v>592</v>
      </c>
      <c r="T850">
        <f t="shared" si="209"/>
        <v>129</v>
      </c>
      <c r="U850">
        <f t="shared" si="214"/>
        <v>26053</v>
      </c>
      <c r="V850">
        <f t="shared" ca="1" si="215"/>
        <v>0</v>
      </c>
      <c r="W850">
        <v>208</v>
      </c>
      <c r="X850" t="str">
        <f t="shared" ca="1" si="216"/>
        <v/>
      </c>
      <c r="Y850" t="s">
        <v>32</v>
      </c>
      <c r="Z850">
        <f t="shared" ca="1" si="217"/>
        <v>0</v>
      </c>
      <c r="AA850" t="str">
        <f t="shared" ca="1" si="218"/>
        <v>SPPN</v>
      </c>
      <c r="AB850">
        <f t="shared" ca="1" si="219"/>
        <v>1</v>
      </c>
      <c r="AC850">
        <f t="shared" ca="1" si="220"/>
        <v>0</v>
      </c>
      <c r="AD850" t="str">
        <f t="shared" si="210"/>
        <v>4093RN153</v>
      </c>
      <c r="AE850">
        <f t="shared" ca="1" si="221"/>
        <v>0</v>
      </c>
      <c r="AF850" t="str">
        <f t="shared" ca="1" si="222"/>
        <v/>
      </c>
      <c r="AG850">
        <v>208</v>
      </c>
      <c r="AH850" t="s">
        <v>136</v>
      </c>
      <c r="AI850" t="str">
        <f t="shared" si="211"/>
        <v>Lutheran Home 25</v>
      </c>
      <c r="AJ850" t="str">
        <f t="shared" si="212"/>
        <v>Green Bay</v>
      </c>
      <c r="AK850" t="str">
        <f t="shared" si="213"/>
        <v>WI</v>
      </c>
    </row>
    <row r="851" spans="18:37" x14ac:dyDescent="0.25">
      <c r="R851">
        <v>1</v>
      </c>
      <c r="S851">
        <v>593</v>
      </c>
      <c r="T851">
        <f t="shared" ref="T851:T914" si="223">$H$14</f>
        <v>129</v>
      </c>
      <c r="U851">
        <f t="shared" si="214"/>
        <v>26053</v>
      </c>
      <c r="V851">
        <f t="shared" ca="1" si="215"/>
        <v>0</v>
      </c>
      <c r="W851">
        <v>209</v>
      </c>
      <c r="X851" t="str">
        <f t="shared" ca="1" si="216"/>
        <v/>
      </c>
      <c r="Y851" t="s">
        <v>9</v>
      </c>
      <c r="Z851">
        <f t="shared" ca="1" si="217"/>
        <v>0</v>
      </c>
      <c r="AA851" t="str">
        <f t="shared" ca="1" si="218"/>
        <v>SPPN</v>
      </c>
      <c r="AB851">
        <f t="shared" ca="1" si="219"/>
        <v>1</v>
      </c>
      <c r="AC851" t="str">
        <f t="shared" ca="1" si="220"/>
        <v/>
      </c>
      <c r="AD851" t="str">
        <f t="shared" ref="AD851:AD914" si="224">$H$5</f>
        <v>4093RN153</v>
      </c>
      <c r="AE851">
        <f t="shared" ca="1" si="221"/>
        <v>0</v>
      </c>
      <c r="AF851" t="str">
        <f t="shared" ca="1" si="222"/>
        <v/>
      </c>
      <c r="AG851">
        <v>209</v>
      </c>
      <c r="AH851" t="s">
        <v>136</v>
      </c>
      <c r="AI851" t="str">
        <f t="shared" ref="AI851:AI914" si="225">$H$6</f>
        <v>Lutheran Home 25</v>
      </c>
      <c r="AJ851" t="str">
        <f t="shared" ref="AJ851:AJ914" si="226">$H$7</f>
        <v>Green Bay</v>
      </c>
      <c r="AK851" t="str">
        <f t="shared" ref="AK851:AK914" si="227">$H$8</f>
        <v>WI</v>
      </c>
    </row>
    <row r="852" spans="18:37" x14ac:dyDescent="0.25">
      <c r="S852">
        <v>594</v>
      </c>
      <c r="T852">
        <f t="shared" si="223"/>
        <v>129</v>
      </c>
      <c r="U852">
        <f t="shared" ref="U852:U915" si="228">$H$2</f>
        <v>26053</v>
      </c>
      <c r="V852">
        <f t="shared" ref="V852:V915" ca="1" si="229">(OFFSET($B$19,INT((ROW(A834)-1)/4),0))</f>
        <v>0</v>
      </c>
      <c r="W852">
        <v>209</v>
      </c>
      <c r="X852" t="str">
        <f t="shared" ref="X852:X915" ca="1" si="230">IF((OFFSET($J$19,INT((ROW(A834)-1)/4),0))="JE","JE",IF((OFFSET($J$19,INT((ROW(A834)-1)/4),0))="Drilled","JC",""))</f>
        <v/>
      </c>
      <c r="Y852" t="s">
        <v>33</v>
      </c>
      <c r="Z852">
        <f t="shared" ref="Z852:Z915" ca="1" si="231">(OFFSET($F$19,INT((ROW(A834)-1)/4),0))</f>
        <v>0</v>
      </c>
      <c r="AA852" t="str">
        <f t="shared" ref="AA852:AA915" ca="1" si="232">IF((OFFSET($K$19,INT((ROW(A834)-1)/4),0))="Poplar","PAINT",IF((OFFSET($K$19,INT((ROW(A834)-1)/4),0))="Red Oak","SGO",IF((OFFSET($K$19,INT((ROW(A834)-1)/4),0))="Maple","SM","SPPN")))</f>
        <v>SPPN</v>
      </c>
      <c r="AB852">
        <f t="shared" ref="AB852:AB915" ca="1" si="233">(OFFSET($I$19,INT((ROW(A834)-1)/4),0))</f>
        <v>1</v>
      </c>
      <c r="AC852" t="str">
        <f t="shared" ref="AC852:AC915" ca="1" si="234">IF(OR(Y852="L",Y852="R"),(OFFSET($M$19,INT((ROW(A834)-1)/4),0)),IF(Y852="B",IF((OFFSET($A$19,INT((ROW(A834)-1)/4),0))="3 Sided Patio Door",0,(OFFSET($G$19,INT((ROW(A834)-1)/4),0))),(OFFSET($G$19,INT((ROW(A834)-1)/4),0))))</f>
        <v/>
      </c>
      <c r="AD852" t="str">
        <f t="shared" si="224"/>
        <v>4093RN153</v>
      </c>
      <c r="AE852">
        <f t="shared" ref="AE852:AE915" ca="1" si="235">(OFFSET($L$19,INT((ROW(A834)-1)/4),0))</f>
        <v>0</v>
      </c>
      <c r="AF852" t="str">
        <f t="shared" ref="AF852:AF915" ca="1" si="236">IF((OFFSET($A$19,INT((ROW(A834)-1)/4),0))="3 sided Patio door", "Unassemble","")</f>
        <v/>
      </c>
      <c r="AG852">
        <v>209</v>
      </c>
      <c r="AH852" t="s">
        <v>136</v>
      </c>
      <c r="AI852" t="str">
        <f t="shared" si="225"/>
        <v>Lutheran Home 25</v>
      </c>
      <c r="AJ852" t="str">
        <f t="shared" si="226"/>
        <v>Green Bay</v>
      </c>
      <c r="AK852" t="str">
        <f t="shared" si="227"/>
        <v>WI</v>
      </c>
    </row>
    <row r="853" spans="18:37" x14ac:dyDescent="0.25">
      <c r="S853">
        <v>595</v>
      </c>
      <c r="T853">
        <f t="shared" si="223"/>
        <v>129</v>
      </c>
      <c r="U853">
        <f t="shared" si="228"/>
        <v>26053</v>
      </c>
      <c r="V853">
        <f t="shared" ca="1" si="229"/>
        <v>0</v>
      </c>
      <c r="W853">
        <v>209</v>
      </c>
      <c r="X853" t="str">
        <f t="shared" ca="1" si="230"/>
        <v/>
      </c>
      <c r="Y853" t="s">
        <v>28</v>
      </c>
      <c r="Z853">
        <f t="shared" ca="1" si="231"/>
        <v>0</v>
      </c>
      <c r="AA853" t="str">
        <f t="shared" ca="1" si="232"/>
        <v>SPPN</v>
      </c>
      <c r="AB853">
        <f t="shared" ca="1" si="233"/>
        <v>1</v>
      </c>
      <c r="AC853">
        <f t="shared" ca="1" si="234"/>
        <v>0</v>
      </c>
      <c r="AD853" t="str">
        <f t="shared" si="224"/>
        <v>4093RN153</v>
      </c>
      <c r="AE853">
        <f t="shared" ca="1" si="235"/>
        <v>0</v>
      </c>
      <c r="AF853" t="str">
        <f t="shared" ca="1" si="236"/>
        <v/>
      </c>
      <c r="AG853">
        <v>209</v>
      </c>
      <c r="AH853" t="s">
        <v>136</v>
      </c>
      <c r="AI853" t="str">
        <f t="shared" si="225"/>
        <v>Lutheran Home 25</v>
      </c>
      <c r="AJ853" t="str">
        <f t="shared" si="226"/>
        <v>Green Bay</v>
      </c>
      <c r="AK853" t="str">
        <f t="shared" si="227"/>
        <v>WI</v>
      </c>
    </row>
    <row r="854" spans="18:37" x14ac:dyDescent="0.25">
      <c r="S854">
        <v>596</v>
      </c>
      <c r="T854">
        <f t="shared" si="223"/>
        <v>129</v>
      </c>
      <c r="U854">
        <f t="shared" si="228"/>
        <v>26053</v>
      </c>
      <c r="V854">
        <f t="shared" ca="1" si="229"/>
        <v>0</v>
      </c>
      <c r="W854">
        <v>209</v>
      </c>
      <c r="X854" t="str">
        <f t="shared" ca="1" si="230"/>
        <v/>
      </c>
      <c r="Y854" t="s">
        <v>32</v>
      </c>
      <c r="Z854">
        <f t="shared" ca="1" si="231"/>
        <v>0</v>
      </c>
      <c r="AA854" t="str">
        <f t="shared" ca="1" si="232"/>
        <v>SPPN</v>
      </c>
      <c r="AB854">
        <f t="shared" ca="1" si="233"/>
        <v>1</v>
      </c>
      <c r="AC854">
        <f t="shared" ca="1" si="234"/>
        <v>0</v>
      </c>
      <c r="AD854" t="str">
        <f t="shared" si="224"/>
        <v>4093RN153</v>
      </c>
      <c r="AE854">
        <f t="shared" ca="1" si="235"/>
        <v>0</v>
      </c>
      <c r="AF854" t="str">
        <f t="shared" ca="1" si="236"/>
        <v/>
      </c>
      <c r="AG854">
        <v>209</v>
      </c>
      <c r="AH854" t="s">
        <v>136</v>
      </c>
      <c r="AI854" t="str">
        <f t="shared" si="225"/>
        <v>Lutheran Home 25</v>
      </c>
      <c r="AJ854" t="str">
        <f t="shared" si="226"/>
        <v>Green Bay</v>
      </c>
      <c r="AK854" t="str">
        <f t="shared" si="227"/>
        <v>WI</v>
      </c>
    </row>
    <row r="855" spans="18:37" x14ac:dyDescent="0.25">
      <c r="R855">
        <v>1</v>
      </c>
      <c r="S855">
        <v>597</v>
      </c>
      <c r="T855">
        <f t="shared" si="223"/>
        <v>129</v>
      </c>
      <c r="U855">
        <f t="shared" si="228"/>
        <v>26053</v>
      </c>
      <c r="V855">
        <f t="shared" ca="1" si="229"/>
        <v>0</v>
      </c>
      <c r="W855">
        <v>210</v>
      </c>
      <c r="X855" t="str">
        <f t="shared" ca="1" si="230"/>
        <v/>
      </c>
      <c r="Y855" t="s">
        <v>9</v>
      </c>
      <c r="Z855">
        <f t="shared" ca="1" si="231"/>
        <v>0</v>
      </c>
      <c r="AA855" t="str">
        <f t="shared" ca="1" si="232"/>
        <v>SPPN</v>
      </c>
      <c r="AB855">
        <f t="shared" ca="1" si="233"/>
        <v>1</v>
      </c>
      <c r="AC855" t="str">
        <f t="shared" ca="1" si="234"/>
        <v/>
      </c>
      <c r="AD855" t="str">
        <f t="shared" si="224"/>
        <v>4093RN153</v>
      </c>
      <c r="AE855">
        <f t="shared" ca="1" si="235"/>
        <v>0</v>
      </c>
      <c r="AF855" t="str">
        <f t="shared" ca="1" si="236"/>
        <v/>
      </c>
      <c r="AG855">
        <v>210</v>
      </c>
      <c r="AH855" t="s">
        <v>136</v>
      </c>
      <c r="AI855" t="str">
        <f t="shared" si="225"/>
        <v>Lutheran Home 25</v>
      </c>
      <c r="AJ855" t="str">
        <f t="shared" si="226"/>
        <v>Green Bay</v>
      </c>
      <c r="AK855" t="str">
        <f t="shared" si="227"/>
        <v>WI</v>
      </c>
    </row>
    <row r="856" spans="18:37" x14ac:dyDescent="0.25">
      <c r="S856">
        <v>598</v>
      </c>
      <c r="T856">
        <f t="shared" si="223"/>
        <v>129</v>
      </c>
      <c r="U856">
        <f t="shared" si="228"/>
        <v>26053</v>
      </c>
      <c r="V856">
        <f t="shared" ca="1" si="229"/>
        <v>0</v>
      </c>
      <c r="W856">
        <v>210</v>
      </c>
      <c r="X856" t="str">
        <f t="shared" ca="1" si="230"/>
        <v/>
      </c>
      <c r="Y856" t="s">
        <v>33</v>
      </c>
      <c r="Z856">
        <f t="shared" ca="1" si="231"/>
        <v>0</v>
      </c>
      <c r="AA856" t="str">
        <f t="shared" ca="1" si="232"/>
        <v>SPPN</v>
      </c>
      <c r="AB856">
        <f t="shared" ca="1" si="233"/>
        <v>1</v>
      </c>
      <c r="AC856" t="str">
        <f t="shared" ca="1" si="234"/>
        <v/>
      </c>
      <c r="AD856" t="str">
        <f t="shared" si="224"/>
        <v>4093RN153</v>
      </c>
      <c r="AE856">
        <f t="shared" ca="1" si="235"/>
        <v>0</v>
      </c>
      <c r="AF856" t="str">
        <f t="shared" ca="1" si="236"/>
        <v/>
      </c>
      <c r="AG856">
        <v>210</v>
      </c>
      <c r="AH856" t="s">
        <v>136</v>
      </c>
      <c r="AI856" t="str">
        <f t="shared" si="225"/>
        <v>Lutheran Home 25</v>
      </c>
      <c r="AJ856" t="str">
        <f t="shared" si="226"/>
        <v>Green Bay</v>
      </c>
      <c r="AK856" t="str">
        <f t="shared" si="227"/>
        <v>WI</v>
      </c>
    </row>
    <row r="857" spans="18:37" x14ac:dyDescent="0.25">
      <c r="S857">
        <v>599</v>
      </c>
      <c r="T857">
        <f t="shared" si="223"/>
        <v>129</v>
      </c>
      <c r="U857">
        <f t="shared" si="228"/>
        <v>26053</v>
      </c>
      <c r="V857">
        <f t="shared" ca="1" si="229"/>
        <v>0</v>
      </c>
      <c r="W857">
        <v>210</v>
      </c>
      <c r="X857" t="str">
        <f t="shared" ca="1" si="230"/>
        <v/>
      </c>
      <c r="Y857" t="s">
        <v>28</v>
      </c>
      <c r="Z857">
        <f t="shared" ca="1" si="231"/>
        <v>0</v>
      </c>
      <c r="AA857" t="str">
        <f t="shared" ca="1" si="232"/>
        <v>SPPN</v>
      </c>
      <c r="AB857">
        <f t="shared" ca="1" si="233"/>
        <v>1</v>
      </c>
      <c r="AC857">
        <f t="shared" ca="1" si="234"/>
        <v>0</v>
      </c>
      <c r="AD857" t="str">
        <f t="shared" si="224"/>
        <v>4093RN153</v>
      </c>
      <c r="AE857">
        <f t="shared" ca="1" si="235"/>
        <v>0</v>
      </c>
      <c r="AF857" t="str">
        <f t="shared" ca="1" si="236"/>
        <v/>
      </c>
      <c r="AG857">
        <v>210</v>
      </c>
      <c r="AH857" t="s">
        <v>136</v>
      </c>
      <c r="AI857" t="str">
        <f t="shared" si="225"/>
        <v>Lutheran Home 25</v>
      </c>
      <c r="AJ857" t="str">
        <f t="shared" si="226"/>
        <v>Green Bay</v>
      </c>
      <c r="AK857" t="str">
        <f t="shared" si="227"/>
        <v>WI</v>
      </c>
    </row>
    <row r="858" spans="18:37" x14ac:dyDescent="0.25">
      <c r="S858">
        <v>600</v>
      </c>
      <c r="T858">
        <f t="shared" si="223"/>
        <v>129</v>
      </c>
      <c r="U858">
        <f t="shared" si="228"/>
        <v>26053</v>
      </c>
      <c r="V858">
        <f t="shared" ca="1" si="229"/>
        <v>0</v>
      </c>
      <c r="W858">
        <v>210</v>
      </c>
      <c r="X858" t="str">
        <f t="shared" ca="1" si="230"/>
        <v/>
      </c>
      <c r="Y858" t="s">
        <v>32</v>
      </c>
      <c r="Z858">
        <f t="shared" ca="1" si="231"/>
        <v>0</v>
      </c>
      <c r="AA858" t="str">
        <f t="shared" ca="1" si="232"/>
        <v>SPPN</v>
      </c>
      <c r="AB858">
        <f t="shared" ca="1" si="233"/>
        <v>1</v>
      </c>
      <c r="AC858">
        <f t="shared" ca="1" si="234"/>
        <v>0</v>
      </c>
      <c r="AD858" t="str">
        <f t="shared" si="224"/>
        <v>4093RN153</v>
      </c>
      <c r="AE858">
        <f t="shared" ca="1" si="235"/>
        <v>0</v>
      </c>
      <c r="AF858" t="str">
        <f t="shared" ca="1" si="236"/>
        <v/>
      </c>
      <c r="AG858">
        <v>210</v>
      </c>
      <c r="AH858" t="s">
        <v>136</v>
      </c>
      <c r="AI858" t="str">
        <f t="shared" si="225"/>
        <v>Lutheran Home 25</v>
      </c>
      <c r="AJ858" t="str">
        <f t="shared" si="226"/>
        <v>Green Bay</v>
      </c>
      <c r="AK858" t="str">
        <f t="shared" si="227"/>
        <v>WI</v>
      </c>
    </row>
    <row r="859" spans="18:37" x14ac:dyDescent="0.25">
      <c r="R859">
        <v>1</v>
      </c>
      <c r="S859">
        <v>601</v>
      </c>
      <c r="T859">
        <f t="shared" si="223"/>
        <v>129</v>
      </c>
      <c r="U859">
        <f t="shared" si="228"/>
        <v>26053</v>
      </c>
      <c r="V859">
        <f t="shared" ca="1" si="229"/>
        <v>0</v>
      </c>
      <c r="W859">
        <v>211</v>
      </c>
      <c r="X859" t="str">
        <f t="shared" ca="1" si="230"/>
        <v/>
      </c>
      <c r="Y859" t="s">
        <v>9</v>
      </c>
      <c r="Z859">
        <f t="shared" ca="1" si="231"/>
        <v>0</v>
      </c>
      <c r="AA859" t="str">
        <f t="shared" ca="1" si="232"/>
        <v>SPPN</v>
      </c>
      <c r="AB859">
        <f t="shared" ca="1" si="233"/>
        <v>1</v>
      </c>
      <c r="AC859" t="str">
        <f t="shared" ca="1" si="234"/>
        <v/>
      </c>
      <c r="AD859" t="str">
        <f t="shared" si="224"/>
        <v>4093RN153</v>
      </c>
      <c r="AE859">
        <f t="shared" ca="1" si="235"/>
        <v>0</v>
      </c>
      <c r="AF859" t="str">
        <f t="shared" ca="1" si="236"/>
        <v/>
      </c>
      <c r="AG859">
        <v>211</v>
      </c>
      <c r="AH859" t="s">
        <v>136</v>
      </c>
      <c r="AI859" t="str">
        <f t="shared" si="225"/>
        <v>Lutheran Home 25</v>
      </c>
      <c r="AJ859" t="str">
        <f t="shared" si="226"/>
        <v>Green Bay</v>
      </c>
      <c r="AK859" t="str">
        <f t="shared" si="227"/>
        <v>WI</v>
      </c>
    </row>
    <row r="860" spans="18:37" x14ac:dyDescent="0.25">
      <c r="S860">
        <v>602</v>
      </c>
      <c r="T860">
        <f t="shared" si="223"/>
        <v>129</v>
      </c>
      <c r="U860">
        <f t="shared" si="228"/>
        <v>26053</v>
      </c>
      <c r="V860">
        <f t="shared" ca="1" si="229"/>
        <v>0</v>
      </c>
      <c r="W860">
        <v>211</v>
      </c>
      <c r="X860" t="str">
        <f t="shared" ca="1" si="230"/>
        <v/>
      </c>
      <c r="Y860" t="s">
        <v>33</v>
      </c>
      <c r="Z860">
        <f t="shared" ca="1" si="231"/>
        <v>0</v>
      </c>
      <c r="AA860" t="str">
        <f t="shared" ca="1" si="232"/>
        <v>SPPN</v>
      </c>
      <c r="AB860">
        <f t="shared" ca="1" si="233"/>
        <v>1</v>
      </c>
      <c r="AC860" t="str">
        <f t="shared" ca="1" si="234"/>
        <v/>
      </c>
      <c r="AD860" t="str">
        <f t="shared" si="224"/>
        <v>4093RN153</v>
      </c>
      <c r="AE860">
        <f t="shared" ca="1" si="235"/>
        <v>0</v>
      </c>
      <c r="AF860" t="str">
        <f t="shared" ca="1" si="236"/>
        <v/>
      </c>
      <c r="AG860">
        <v>211</v>
      </c>
      <c r="AH860" t="s">
        <v>136</v>
      </c>
      <c r="AI860" t="str">
        <f t="shared" si="225"/>
        <v>Lutheran Home 25</v>
      </c>
      <c r="AJ860" t="str">
        <f t="shared" si="226"/>
        <v>Green Bay</v>
      </c>
      <c r="AK860" t="str">
        <f t="shared" si="227"/>
        <v>WI</v>
      </c>
    </row>
    <row r="861" spans="18:37" x14ac:dyDescent="0.25">
      <c r="S861">
        <v>603</v>
      </c>
      <c r="T861">
        <f t="shared" si="223"/>
        <v>129</v>
      </c>
      <c r="U861">
        <f t="shared" si="228"/>
        <v>26053</v>
      </c>
      <c r="V861">
        <f t="shared" ca="1" si="229"/>
        <v>0</v>
      </c>
      <c r="W861">
        <v>211</v>
      </c>
      <c r="X861" t="str">
        <f t="shared" ca="1" si="230"/>
        <v/>
      </c>
      <c r="Y861" t="s">
        <v>28</v>
      </c>
      <c r="Z861">
        <f t="shared" ca="1" si="231"/>
        <v>0</v>
      </c>
      <c r="AA861" t="str">
        <f t="shared" ca="1" si="232"/>
        <v>SPPN</v>
      </c>
      <c r="AB861">
        <f t="shared" ca="1" si="233"/>
        <v>1</v>
      </c>
      <c r="AC861">
        <f t="shared" ca="1" si="234"/>
        <v>0</v>
      </c>
      <c r="AD861" t="str">
        <f t="shared" si="224"/>
        <v>4093RN153</v>
      </c>
      <c r="AE861">
        <f t="shared" ca="1" si="235"/>
        <v>0</v>
      </c>
      <c r="AF861" t="str">
        <f t="shared" ca="1" si="236"/>
        <v/>
      </c>
      <c r="AG861">
        <v>211</v>
      </c>
      <c r="AH861" t="s">
        <v>136</v>
      </c>
      <c r="AI861" t="str">
        <f t="shared" si="225"/>
        <v>Lutheran Home 25</v>
      </c>
      <c r="AJ861" t="str">
        <f t="shared" si="226"/>
        <v>Green Bay</v>
      </c>
      <c r="AK861" t="str">
        <f t="shared" si="227"/>
        <v>WI</v>
      </c>
    </row>
    <row r="862" spans="18:37" x14ac:dyDescent="0.25">
      <c r="S862">
        <v>604</v>
      </c>
      <c r="T862">
        <f t="shared" si="223"/>
        <v>129</v>
      </c>
      <c r="U862">
        <f t="shared" si="228"/>
        <v>26053</v>
      </c>
      <c r="V862">
        <f t="shared" ca="1" si="229"/>
        <v>0</v>
      </c>
      <c r="W862">
        <v>211</v>
      </c>
      <c r="X862" t="str">
        <f t="shared" ca="1" si="230"/>
        <v/>
      </c>
      <c r="Y862" t="s">
        <v>32</v>
      </c>
      <c r="Z862">
        <f t="shared" ca="1" si="231"/>
        <v>0</v>
      </c>
      <c r="AA862" t="str">
        <f t="shared" ca="1" si="232"/>
        <v>SPPN</v>
      </c>
      <c r="AB862">
        <f t="shared" ca="1" si="233"/>
        <v>1</v>
      </c>
      <c r="AC862">
        <f t="shared" ca="1" si="234"/>
        <v>0</v>
      </c>
      <c r="AD862" t="str">
        <f t="shared" si="224"/>
        <v>4093RN153</v>
      </c>
      <c r="AE862">
        <f t="shared" ca="1" si="235"/>
        <v>0</v>
      </c>
      <c r="AF862" t="str">
        <f t="shared" ca="1" si="236"/>
        <v/>
      </c>
      <c r="AG862">
        <v>211</v>
      </c>
      <c r="AH862" t="s">
        <v>136</v>
      </c>
      <c r="AI862" t="str">
        <f t="shared" si="225"/>
        <v>Lutheran Home 25</v>
      </c>
      <c r="AJ862" t="str">
        <f t="shared" si="226"/>
        <v>Green Bay</v>
      </c>
      <c r="AK862" t="str">
        <f t="shared" si="227"/>
        <v>WI</v>
      </c>
    </row>
    <row r="863" spans="18:37" x14ac:dyDescent="0.25">
      <c r="R863">
        <v>1</v>
      </c>
      <c r="S863">
        <v>605</v>
      </c>
      <c r="T863">
        <f t="shared" si="223"/>
        <v>129</v>
      </c>
      <c r="U863">
        <f t="shared" si="228"/>
        <v>26053</v>
      </c>
      <c r="V863">
        <f t="shared" ca="1" si="229"/>
        <v>0</v>
      </c>
      <c r="W863">
        <v>212</v>
      </c>
      <c r="X863" t="str">
        <f t="shared" ca="1" si="230"/>
        <v/>
      </c>
      <c r="Y863" t="s">
        <v>9</v>
      </c>
      <c r="Z863">
        <f t="shared" ca="1" si="231"/>
        <v>0</v>
      </c>
      <c r="AA863" t="str">
        <f t="shared" ca="1" si="232"/>
        <v>SPPN</v>
      </c>
      <c r="AB863">
        <f t="shared" ca="1" si="233"/>
        <v>1</v>
      </c>
      <c r="AC863" t="str">
        <f t="shared" ca="1" si="234"/>
        <v/>
      </c>
      <c r="AD863" t="str">
        <f t="shared" si="224"/>
        <v>4093RN153</v>
      </c>
      <c r="AE863">
        <f t="shared" ca="1" si="235"/>
        <v>0</v>
      </c>
      <c r="AF863" t="str">
        <f t="shared" ca="1" si="236"/>
        <v/>
      </c>
      <c r="AG863">
        <v>212</v>
      </c>
      <c r="AH863" t="s">
        <v>136</v>
      </c>
      <c r="AI863" t="str">
        <f t="shared" si="225"/>
        <v>Lutheran Home 25</v>
      </c>
      <c r="AJ863" t="str">
        <f t="shared" si="226"/>
        <v>Green Bay</v>
      </c>
      <c r="AK863" t="str">
        <f t="shared" si="227"/>
        <v>WI</v>
      </c>
    </row>
    <row r="864" spans="18:37" x14ac:dyDescent="0.25">
      <c r="S864">
        <v>606</v>
      </c>
      <c r="T864">
        <f t="shared" si="223"/>
        <v>129</v>
      </c>
      <c r="U864">
        <f t="shared" si="228"/>
        <v>26053</v>
      </c>
      <c r="V864">
        <f t="shared" ca="1" si="229"/>
        <v>0</v>
      </c>
      <c r="W864">
        <v>212</v>
      </c>
      <c r="X864" t="str">
        <f t="shared" ca="1" si="230"/>
        <v/>
      </c>
      <c r="Y864" t="s">
        <v>33</v>
      </c>
      <c r="Z864">
        <f t="shared" ca="1" si="231"/>
        <v>0</v>
      </c>
      <c r="AA864" t="str">
        <f t="shared" ca="1" si="232"/>
        <v>SPPN</v>
      </c>
      <c r="AB864">
        <f t="shared" ca="1" si="233"/>
        <v>1</v>
      </c>
      <c r="AC864" t="str">
        <f t="shared" ca="1" si="234"/>
        <v/>
      </c>
      <c r="AD864" t="str">
        <f t="shared" si="224"/>
        <v>4093RN153</v>
      </c>
      <c r="AE864">
        <f t="shared" ca="1" si="235"/>
        <v>0</v>
      </c>
      <c r="AF864" t="str">
        <f t="shared" ca="1" si="236"/>
        <v/>
      </c>
      <c r="AG864">
        <v>212</v>
      </c>
      <c r="AH864" t="s">
        <v>136</v>
      </c>
      <c r="AI864" t="str">
        <f t="shared" si="225"/>
        <v>Lutheran Home 25</v>
      </c>
      <c r="AJ864" t="str">
        <f t="shared" si="226"/>
        <v>Green Bay</v>
      </c>
      <c r="AK864" t="str">
        <f t="shared" si="227"/>
        <v>WI</v>
      </c>
    </row>
    <row r="865" spans="18:37" x14ac:dyDescent="0.25">
      <c r="S865">
        <v>607</v>
      </c>
      <c r="T865">
        <f t="shared" si="223"/>
        <v>129</v>
      </c>
      <c r="U865">
        <f t="shared" si="228"/>
        <v>26053</v>
      </c>
      <c r="V865">
        <f t="shared" ca="1" si="229"/>
        <v>0</v>
      </c>
      <c r="W865">
        <v>212</v>
      </c>
      <c r="X865" t="str">
        <f t="shared" ca="1" si="230"/>
        <v/>
      </c>
      <c r="Y865" t="s">
        <v>28</v>
      </c>
      <c r="Z865">
        <f t="shared" ca="1" si="231"/>
        <v>0</v>
      </c>
      <c r="AA865" t="str">
        <f t="shared" ca="1" si="232"/>
        <v>SPPN</v>
      </c>
      <c r="AB865">
        <f t="shared" ca="1" si="233"/>
        <v>1</v>
      </c>
      <c r="AC865">
        <f t="shared" ca="1" si="234"/>
        <v>0</v>
      </c>
      <c r="AD865" t="str">
        <f t="shared" si="224"/>
        <v>4093RN153</v>
      </c>
      <c r="AE865">
        <f t="shared" ca="1" si="235"/>
        <v>0</v>
      </c>
      <c r="AF865" t="str">
        <f t="shared" ca="1" si="236"/>
        <v/>
      </c>
      <c r="AG865">
        <v>212</v>
      </c>
      <c r="AH865" t="s">
        <v>136</v>
      </c>
      <c r="AI865" t="str">
        <f t="shared" si="225"/>
        <v>Lutheran Home 25</v>
      </c>
      <c r="AJ865" t="str">
        <f t="shared" si="226"/>
        <v>Green Bay</v>
      </c>
      <c r="AK865" t="str">
        <f t="shared" si="227"/>
        <v>WI</v>
      </c>
    </row>
    <row r="866" spans="18:37" x14ac:dyDescent="0.25">
      <c r="S866">
        <v>608</v>
      </c>
      <c r="T866">
        <f t="shared" si="223"/>
        <v>129</v>
      </c>
      <c r="U866">
        <f t="shared" si="228"/>
        <v>26053</v>
      </c>
      <c r="V866">
        <f t="shared" ca="1" si="229"/>
        <v>0</v>
      </c>
      <c r="W866">
        <v>212</v>
      </c>
      <c r="X866" t="str">
        <f t="shared" ca="1" si="230"/>
        <v/>
      </c>
      <c r="Y866" t="s">
        <v>32</v>
      </c>
      <c r="Z866">
        <f t="shared" ca="1" si="231"/>
        <v>0</v>
      </c>
      <c r="AA866" t="str">
        <f t="shared" ca="1" si="232"/>
        <v>SPPN</v>
      </c>
      <c r="AB866">
        <f t="shared" ca="1" si="233"/>
        <v>1</v>
      </c>
      <c r="AC866">
        <f t="shared" ca="1" si="234"/>
        <v>0</v>
      </c>
      <c r="AD866" t="str">
        <f t="shared" si="224"/>
        <v>4093RN153</v>
      </c>
      <c r="AE866">
        <f t="shared" ca="1" si="235"/>
        <v>0</v>
      </c>
      <c r="AF866" t="str">
        <f t="shared" ca="1" si="236"/>
        <v/>
      </c>
      <c r="AG866">
        <v>212</v>
      </c>
      <c r="AH866" t="s">
        <v>136</v>
      </c>
      <c r="AI866" t="str">
        <f t="shared" si="225"/>
        <v>Lutheran Home 25</v>
      </c>
      <c r="AJ866" t="str">
        <f t="shared" si="226"/>
        <v>Green Bay</v>
      </c>
      <c r="AK866" t="str">
        <f t="shared" si="227"/>
        <v>WI</v>
      </c>
    </row>
    <row r="867" spans="18:37" x14ac:dyDescent="0.25">
      <c r="R867">
        <v>1</v>
      </c>
      <c r="S867">
        <v>609</v>
      </c>
      <c r="T867">
        <f t="shared" si="223"/>
        <v>129</v>
      </c>
      <c r="U867">
        <f t="shared" si="228"/>
        <v>26053</v>
      </c>
      <c r="V867">
        <f t="shared" ca="1" si="229"/>
        <v>0</v>
      </c>
      <c r="W867">
        <v>213</v>
      </c>
      <c r="X867" t="str">
        <f t="shared" ca="1" si="230"/>
        <v/>
      </c>
      <c r="Y867" t="s">
        <v>9</v>
      </c>
      <c r="Z867">
        <f t="shared" ca="1" si="231"/>
        <v>0</v>
      </c>
      <c r="AA867" t="str">
        <f t="shared" ca="1" si="232"/>
        <v>SPPN</v>
      </c>
      <c r="AB867">
        <f t="shared" ca="1" si="233"/>
        <v>1</v>
      </c>
      <c r="AC867" t="str">
        <f t="shared" ca="1" si="234"/>
        <v/>
      </c>
      <c r="AD867" t="str">
        <f t="shared" si="224"/>
        <v>4093RN153</v>
      </c>
      <c r="AE867">
        <f t="shared" ca="1" si="235"/>
        <v>0</v>
      </c>
      <c r="AF867" t="str">
        <f t="shared" ca="1" si="236"/>
        <v/>
      </c>
      <c r="AG867">
        <v>213</v>
      </c>
      <c r="AH867" t="s">
        <v>136</v>
      </c>
      <c r="AI867" t="str">
        <f t="shared" si="225"/>
        <v>Lutheran Home 25</v>
      </c>
      <c r="AJ867" t="str">
        <f t="shared" si="226"/>
        <v>Green Bay</v>
      </c>
      <c r="AK867" t="str">
        <f t="shared" si="227"/>
        <v>WI</v>
      </c>
    </row>
    <row r="868" spans="18:37" x14ac:dyDescent="0.25">
      <c r="S868">
        <v>610</v>
      </c>
      <c r="T868">
        <f t="shared" si="223"/>
        <v>129</v>
      </c>
      <c r="U868">
        <f t="shared" si="228"/>
        <v>26053</v>
      </c>
      <c r="V868">
        <f t="shared" ca="1" si="229"/>
        <v>0</v>
      </c>
      <c r="W868">
        <v>213</v>
      </c>
      <c r="X868" t="str">
        <f t="shared" ca="1" si="230"/>
        <v/>
      </c>
      <c r="Y868" t="s">
        <v>33</v>
      </c>
      <c r="Z868">
        <f t="shared" ca="1" si="231"/>
        <v>0</v>
      </c>
      <c r="AA868" t="str">
        <f t="shared" ca="1" si="232"/>
        <v>SPPN</v>
      </c>
      <c r="AB868">
        <f t="shared" ca="1" si="233"/>
        <v>1</v>
      </c>
      <c r="AC868" t="str">
        <f t="shared" ca="1" si="234"/>
        <v/>
      </c>
      <c r="AD868" t="str">
        <f t="shared" si="224"/>
        <v>4093RN153</v>
      </c>
      <c r="AE868">
        <f t="shared" ca="1" si="235"/>
        <v>0</v>
      </c>
      <c r="AF868" t="str">
        <f t="shared" ca="1" si="236"/>
        <v/>
      </c>
      <c r="AG868">
        <v>213</v>
      </c>
      <c r="AH868" t="s">
        <v>136</v>
      </c>
      <c r="AI868" t="str">
        <f t="shared" si="225"/>
        <v>Lutheran Home 25</v>
      </c>
      <c r="AJ868" t="str">
        <f t="shared" si="226"/>
        <v>Green Bay</v>
      </c>
      <c r="AK868" t="str">
        <f t="shared" si="227"/>
        <v>WI</v>
      </c>
    </row>
    <row r="869" spans="18:37" x14ac:dyDescent="0.25">
      <c r="S869">
        <v>611</v>
      </c>
      <c r="T869">
        <f t="shared" si="223"/>
        <v>129</v>
      </c>
      <c r="U869">
        <f t="shared" si="228"/>
        <v>26053</v>
      </c>
      <c r="V869">
        <f t="shared" ca="1" si="229"/>
        <v>0</v>
      </c>
      <c r="W869">
        <v>213</v>
      </c>
      <c r="X869" t="str">
        <f t="shared" ca="1" si="230"/>
        <v/>
      </c>
      <c r="Y869" t="s">
        <v>28</v>
      </c>
      <c r="Z869">
        <f t="shared" ca="1" si="231"/>
        <v>0</v>
      </c>
      <c r="AA869" t="str">
        <f t="shared" ca="1" si="232"/>
        <v>SPPN</v>
      </c>
      <c r="AB869">
        <f t="shared" ca="1" si="233"/>
        <v>1</v>
      </c>
      <c r="AC869">
        <f t="shared" ca="1" si="234"/>
        <v>0</v>
      </c>
      <c r="AD869" t="str">
        <f t="shared" si="224"/>
        <v>4093RN153</v>
      </c>
      <c r="AE869">
        <f t="shared" ca="1" si="235"/>
        <v>0</v>
      </c>
      <c r="AF869" t="str">
        <f t="shared" ca="1" si="236"/>
        <v/>
      </c>
      <c r="AG869">
        <v>213</v>
      </c>
      <c r="AH869" t="s">
        <v>136</v>
      </c>
      <c r="AI869" t="str">
        <f t="shared" si="225"/>
        <v>Lutheran Home 25</v>
      </c>
      <c r="AJ869" t="str">
        <f t="shared" si="226"/>
        <v>Green Bay</v>
      </c>
      <c r="AK869" t="str">
        <f t="shared" si="227"/>
        <v>WI</v>
      </c>
    </row>
    <row r="870" spans="18:37" x14ac:dyDescent="0.25">
      <c r="S870">
        <v>612</v>
      </c>
      <c r="T870">
        <f t="shared" si="223"/>
        <v>129</v>
      </c>
      <c r="U870">
        <f t="shared" si="228"/>
        <v>26053</v>
      </c>
      <c r="V870">
        <f t="shared" ca="1" si="229"/>
        <v>0</v>
      </c>
      <c r="W870">
        <v>213</v>
      </c>
      <c r="X870" t="str">
        <f t="shared" ca="1" si="230"/>
        <v/>
      </c>
      <c r="Y870" t="s">
        <v>32</v>
      </c>
      <c r="Z870">
        <f t="shared" ca="1" si="231"/>
        <v>0</v>
      </c>
      <c r="AA870" t="str">
        <f t="shared" ca="1" si="232"/>
        <v>SPPN</v>
      </c>
      <c r="AB870">
        <f t="shared" ca="1" si="233"/>
        <v>1</v>
      </c>
      <c r="AC870">
        <f t="shared" ca="1" si="234"/>
        <v>0</v>
      </c>
      <c r="AD870" t="str">
        <f t="shared" si="224"/>
        <v>4093RN153</v>
      </c>
      <c r="AE870">
        <f t="shared" ca="1" si="235"/>
        <v>0</v>
      </c>
      <c r="AF870" t="str">
        <f t="shared" ca="1" si="236"/>
        <v/>
      </c>
      <c r="AG870">
        <v>213</v>
      </c>
      <c r="AH870" t="s">
        <v>136</v>
      </c>
      <c r="AI870" t="str">
        <f t="shared" si="225"/>
        <v>Lutheran Home 25</v>
      </c>
      <c r="AJ870" t="str">
        <f t="shared" si="226"/>
        <v>Green Bay</v>
      </c>
      <c r="AK870" t="str">
        <f t="shared" si="227"/>
        <v>WI</v>
      </c>
    </row>
    <row r="871" spans="18:37" x14ac:dyDescent="0.25">
      <c r="R871">
        <v>1</v>
      </c>
      <c r="S871">
        <v>613</v>
      </c>
      <c r="T871">
        <f t="shared" si="223"/>
        <v>129</v>
      </c>
      <c r="U871">
        <f t="shared" si="228"/>
        <v>26053</v>
      </c>
      <c r="V871">
        <f t="shared" ca="1" si="229"/>
        <v>0</v>
      </c>
      <c r="W871">
        <v>214</v>
      </c>
      <c r="X871" t="str">
        <f t="shared" ca="1" si="230"/>
        <v/>
      </c>
      <c r="Y871" t="s">
        <v>9</v>
      </c>
      <c r="Z871">
        <f t="shared" ca="1" si="231"/>
        <v>0</v>
      </c>
      <c r="AA871" t="str">
        <f t="shared" ca="1" si="232"/>
        <v>SPPN</v>
      </c>
      <c r="AB871">
        <f t="shared" ca="1" si="233"/>
        <v>1</v>
      </c>
      <c r="AC871" t="str">
        <f t="shared" ca="1" si="234"/>
        <v/>
      </c>
      <c r="AD871" t="str">
        <f t="shared" si="224"/>
        <v>4093RN153</v>
      </c>
      <c r="AE871">
        <f t="shared" ca="1" si="235"/>
        <v>0</v>
      </c>
      <c r="AF871" t="str">
        <f t="shared" ca="1" si="236"/>
        <v/>
      </c>
      <c r="AG871">
        <v>214</v>
      </c>
      <c r="AH871" t="s">
        <v>136</v>
      </c>
      <c r="AI871" t="str">
        <f t="shared" si="225"/>
        <v>Lutheran Home 25</v>
      </c>
      <c r="AJ871" t="str">
        <f t="shared" si="226"/>
        <v>Green Bay</v>
      </c>
      <c r="AK871" t="str">
        <f t="shared" si="227"/>
        <v>WI</v>
      </c>
    </row>
    <row r="872" spans="18:37" x14ac:dyDescent="0.25">
      <c r="S872">
        <v>614</v>
      </c>
      <c r="T872">
        <f t="shared" si="223"/>
        <v>129</v>
      </c>
      <c r="U872">
        <f t="shared" si="228"/>
        <v>26053</v>
      </c>
      <c r="V872">
        <f t="shared" ca="1" si="229"/>
        <v>0</v>
      </c>
      <c r="W872">
        <v>214</v>
      </c>
      <c r="X872" t="str">
        <f t="shared" ca="1" si="230"/>
        <v/>
      </c>
      <c r="Y872" t="s">
        <v>33</v>
      </c>
      <c r="Z872">
        <f t="shared" ca="1" si="231"/>
        <v>0</v>
      </c>
      <c r="AA872" t="str">
        <f t="shared" ca="1" si="232"/>
        <v>SPPN</v>
      </c>
      <c r="AB872">
        <f t="shared" ca="1" si="233"/>
        <v>1</v>
      </c>
      <c r="AC872" t="str">
        <f t="shared" ca="1" si="234"/>
        <v/>
      </c>
      <c r="AD872" t="str">
        <f t="shared" si="224"/>
        <v>4093RN153</v>
      </c>
      <c r="AE872">
        <f t="shared" ca="1" si="235"/>
        <v>0</v>
      </c>
      <c r="AF872" t="str">
        <f t="shared" ca="1" si="236"/>
        <v/>
      </c>
      <c r="AG872">
        <v>214</v>
      </c>
      <c r="AH872" t="s">
        <v>136</v>
      </c>
      <c r="AI872" t="str">
        <f t="shared" si="225"/>
        <v>Lutheran Home 25</v>
      </c>
      <c r="AJ872" t="str">
        <f t="shared" si="226"/>
        <v>Green Bay</v>
      </c>
      <c r="AK872" t="str">
        <f t="shared" si="227"/>
        <v>WI</v>
      </c>
    </row>
    <row r="873" spans="18:37" x14ac:dyDescent="0.25">
      <c r="S873">
        <v>615</v>
      </c>
      <c r="T873">
        <f t="shared" si="223"/>
        <v>129</v>
      </c>
      <c r="U873">
        <f t="shared" si="228"/>
        <v>26053</v>
      </c>
      <c r="V873">
        <f t="shared" ca="1" si="229"/>
        <v>0</v>
      </c>
      <c r="W873">
        <v>214</v>
      </c>
      <c r="X873" t="str">
        <f t="shared" ca="1" si="230"/>
        <v/>
      </c>
      <c r="Y873" t="s">
        <v>28</v>
      </c>
      <c r="Z873">
        <f t="shared" ca="1" si="231"/>
        <v>0</v>
      </c>
      <c r="AA873" t="str">
        <f t="shared" ca="1" si="232"/>
        <v>SPPN</v>
      </c>
      <c r="AB873">
        <f t="shared" ca="1" si="233"/>
        <v>1</v>
      </c>
      <c r="AC873">
        <f t="shared" ca="1" si="234"/>
        <v>0</v>
      </c>
      <c r="AD873" t="str">
        <f t="shared" si="224"/>
        <v>4093RN153</v>
      </c>
      <c r="AE873">
        <f t="shared" ca="1" si="235"/>
        <v>0</v>
      </c>
      <c r="AF873" t="str">
        <f t="shared" ca="1" si="236"/>
        <v/>
      </c>
      <c r="AG873">
        <v>214</v>
      </c>
      <c r="AH873" t="s">
        <v>136</v>
      </c>
      <c r="AI873" t="str">
        <f t="shared" si="225"/>
        <v>Lutheran Home 25</v>
      </c>
      <c r="AJ873" t="str">
        <f t="shared" si="226"/>
        <v>Green Bay</v>
      </c>
      <c r="AK873" t="str">
        <f t="shared" si="227"/>
        <v>WI</v>
      </c>
    </row>
    <row r="874" spans="18:37" x14ac:dyDescent="0.25">
      <c r="S874">
        <v>616</v>
      </c>
      <c r="T874">
        <f t="shared" si="223"/>
        <v>129</v>
      </c>
      <c r="U874">
        <f t="shared" si="228"/>
        <v>26053</v>
      </c>
      <c r="V874">
        <f t="shared" ca="1" si="229"/>
        <v>0</v>
      </c>
      <c r="W874">
        <v>214</v>
      </c>
      <c r="X874" t="str">
        <f t="shared" ca="1" si="230"/>
        <v/>
      </c>
      <c r="Y874" t="s">
        <v>32</v>
      </c>
      <c r="Z874">
        <f t="shared" ca="1" si="231"/>
        <v>0</v>
      </c>
      <c r="AA874" t="str">
        <f t="shared" ca="1" si="232"/>
        <v>SPPN</v>
      </c>
      <c r="AB874">
        <f t="shared" ca="1" si="233"/>
        <v>1</v>
      </c>
      <c r="AC874">
        <f t="shared" ca="1" si="234"/>
        <v>0</v>
      </c>
      <c r="AD874" t="str">
        <f t="shared" si="224"/>
        <v>4093RN153</v>
      </c>
      <c r="AE874">
        <f t="shared" ca="1" si="235"/>
        <v>0</v>
      </c>
      <c r="AF874" t="str">
        <f t="shared" ca="1" si="236"/>
        <v/>
      </c>
      <c r="AG874">
        <v>214</v>
      </c>
      <c r="AH874" t="s">
        <v>136</v>
      </c>
      <c r="AI874" t="str">
        <f t="shared" si="225"/>
        <v>Lutheran Home 25</v>
      </c>
      <c r="AJ874" t="str">
        <f t="shared" si="226"/>
        <v>Green Bay</v>
      </c>
      <c r="AK874" t="str">
        <f t="shared" si="227"/>
        <v>WI</v>
      </c>
    </row>
    <row r="875" spans="18:37" x14ac:dyDescent="0.25">
      <c r="R875">
        <v>1</v>
      </c>
      <c r="S875">
        <v>617</v>
      </c>
      <c r="T875">
        <f t="shared" si="223"/>
        <v>129</v>
      </c>
      <c r="U875">
        <f t="shared" si="228"/>
        <v>26053</v>
      </c>
      <c r="V875">
        <f t="shared" ca="1" si="229"/>
        <v>0</v>
      </c>
      <c r="W875">
        <v>215</v>
      </c>
      <c r="X875" t="str">
        <f t="shared" ca="1" si="230"/>
        <v/>
      </c>
      <c r="Y875" t="s">
        <v>9</v>
      </c>
      <c r="Z875">
        <f t="shared" ca="1" si="231"/>
        <v>0</v>
      </c>
      <c r="AA875" t="str">
        <f t="shared" ca="1" si="232"/>
        <v>SPPN</v>
      </c>
      <c r="AB875">
        <f t="shared" ca="1" si="233"/>
        <v>1</v>
      </c>
      <c r="AC875" t="str">
        <f t="shared" ca="1" si="234"/>
        <v/>
      </c>
      <c r="AD875" t="str">
        <f t="shared" si="224"/>
        <v>4093RN153</v>
      </c>
      <c r="AE875">
        <f t="shared" ca="1" si="235"/>
        <v>0</v>
      </c>
      <c r="AF875" t="str">
        <f t="shared" ca="1" si="236"/>
        <v/>
      </c>
      <c r="AG875">
        <v>215</v>
      </c>
      <c r="AH875" t="s">
        <v>136</v>
      </c>
      <c r="AI875" t="str">
        <f t="shared" si="225"/>
        <v>Lutheran Home 25</v>
      </c>
      <c r="AJ875" t="str">
        <f t="shared" si="226"/>
        <v>Green Bay</v>
      </c>
      <c r="AK875" t="str">
        <f t="shared" si="227"/>
        <v>WI</v>
      </c>
    </row>
    <row r="876" spans="18:37" x14ac:dyDescent="0.25">
      <c r="S876">
        <v>618</v>
      </c>
      <c r="T876">
        <f t="shared" si="223"/>
        <v>129</v>
      </c>
      <c r="U876">
        <f t="shared" si="228"/>
        <v>26053</v>
      </c>
      <c r="V876">
        <f t="shared" ca="1" si="229"/>
        <v>0</v>
      </c>
      <c r="W876">
        <v>215</v>
      </c>
      <c r="X876" t="str">
        <f t="shared" ca="1" si="230"/>
        <v/>
      </c>
      <c r="Y876" t="s">
        <v>33</v>
      </c>
      <c r="Z876">
        <f t="shared" ca="1" si="231"/>
        <v>0</v>
      </c>
      <c r="AA876" t="str">
        <f t="shared" ca="1" si="232"/>
        <v>SPPN</v>
      </c>
      <c r="AB876">
        <f t="shared" ca="1" si="233"/>
        <v>1</v>
      </c>
      <c r="AC876" t="str">
        <f t="shared" ca="1" si="234"/>
        <v/>
      </c>
      <c r="AD876" t="str">
        <f t="shared" si="224"/>
        <v>4093RN153</v>
      </c>
      <c r="AE876">
        <f t="shared" ca="1" si="235"/>
        <v>0</v>
      </c>
      <c r="AF876" t="str">
        <f t="shared" ca="1" si="236"/>
        <v/>
      </c>
      <c r="AG876">
        <v>215</v>
      </c>
      <c r="AH876" t="s">
        <v>136</v>
      </c>
      <c r="AI876" t="str">
        <f t="shared" si="225"/>
        <v>Lutheran Home 25</v>
      </c>
      <c r="AJ876" t="str">
        <f t="shared" si="226"/>
        <v>Green Bay</v>
      </c>
      <c r="AK876" t="str">
        <f t="shared" si="227"/>
        <v>WI</v>
      </c>
    </row>
    <row r="877" spans="18:37" x14ac:dyDescent="0.25">
      <c r="S877">
        <v>619</v>
      </c>
      <c r="T877">
        <f t="shared" si="223"/>
        <v>129</v>
      </c>
      <c r="U877">
        <f t="shared" si="228"/>
        <v>26053</v>
      </c>
      <c r="V877">
        <f t="shared" ca="1" si="229"/>
        <v>0</v>
      </c>
      <c r="W877">
        <v>215</v>
      </c>
      <c r="X877" t="str">
        <f t="shared" ca="1" si="230"/>
        <v/>
      </c>
      <c r="Y877" t="s">
        <v>28</v>
      </c>
      <c r="Z877">
        <f t="shared" ca="1" si="231"/>
        <v>0</v>
      </c>
      <c r="AA877" t="str">
        <f t="shared" ca="1" si="232"/>
        <v>SPPN</v>
      </c>
      <c r="AB877">
        <f t="shared" ca="1" si="233"/>
        <v>1</v>
      </c>
      <c r="AC877">
        <f t="shared" ca="1" si="234"/>
        <v>0</v>
      </c>
      <c r="AD877" t="str">
        <f t="shared" si="224"/>
        <v>4093RN153</v>
      </c>
      <c r="AE877">
        <f t="shared" ca="1" si="235"/>
        <v>0</v>
      </c>
      <c r="AF877" t="str">
        <f t="shared" ca="1" si="236"/>
        <v/>
      </c>
      <c r="AG877">
        <v>215</v>
      </c>
      <c r="AH877" t="s">
        <v>136</v>
      </c>
      <c r="AI877" t="str">
        <f t="shared" si="225"/>
        <v>Lutheran Home 25</v>
      </c>
      <c r="AJ877" t="str">
        <f t="shared" si="226"/>
        <v>Green Bay</v>
      </c>
      <c r="AK877" t="str">
        <f t="shared" si="227"/>
        <v>WI</v>
      </c>
    </row>
    <row r="878" spans="18:37" x14ac:dyDescent="0.25">
      <c r="S878">
        <v>620</v>
      </c>
      <c r="T878">
        <f t="shared" si="223"/>
        <v>129</v>
      </c>
      <c r="U878">
        <f t="shared" si="228"/>
        <v>26053</v>
      </c>
      <c r="V878">
        <f t="shared" ca="1" si="229"/>
        <v>0</v>
      </c>
      <c r="W878">
        <v>215</v>
      </c>
      <c r="X878" t="str">
        <f t="shared" ca="1" si="230"/>
        <v/>
      </c>
      <c r="Y878" t="s">
        <v>32</v>
      </c>
      <c r="Z878">
        <f t="shared" ca="1" si="231"/>
        <v>0</v>
      </c>
      <c r="AA878" t="str">
        <f t="shared" ca="1" si="232"/>
        <v>SPPN</v>
      </c>
      <c r="AB878">
        <f t="shared" ca="1" si="233"/>
        <v>1</v>
      </c>
      <c r="AC878">
        <f t="shared" ca="1" si="234"/>
        <v>0</v>
      </c>
      <c r="AD878" t="str">
        <f t="shared" si="224"/>
        <v>4093RN153</v>
      </c>
      <c r="AE878">
        <f t="shared" ca="1" si="235"/>
        <v>0</v>
      </c>
      <c r="AF878" t="str">
        <f t="shared" ca="1" si="236"/>
        <v/>
      </c>
      <c r="AG878">
        <v>215</v>
      </c>
      <c r="AH878" t="s">
        <v>136</v>
      </c>
      <c r="AI878" t="str">
        <f t="shared" si="225"/>
        <v>Lutheran Home 25</v>
      </c>
      <c r="AJ878" t="str">
        <f t="shared" si="226"/>
        <v>Green Bay</v>
      </c>
      <c r="AK878" t="str">
        <f t="shared" si="227"/>
        <v>WI</v>
      </c>
    </row>
    <row r="879" spans="18:37" x14ac:dyDescent="0.25">
      <c r="R879">
        <v>1</v>
      </c>
      <c r="S879">
        <v>621</v>
      </c>
      <c r="T879">
        <f t="shared" si="223"/>
        <v>129</v>
      </c>
      <c r="U879">
        <f t="shared" si="228"/>
        <v>26053</v>
      </c>
      <c r="V879">
        <f t="shared" ca="1" si="229"/>
        <v>0</v>
      </c>
      <c r="W879">
        <v>216</v>
      </c>
      <c r="X879" t="str">
        <f t="shared" ca="1" si="230"/>
        <v/>
      </c>
      <c r="Y879" t="s">
        <v>9</v>
      </c>
      <c r="Z879">
        <f t="shared" ca="1" si="231"/>
        <v>0</v>
      </c>
      <c r="AA879" t="str">
        <f t="shared" ca="1" si="232"/>
        <v>SPPN</v>
      </c>
      <c r="AB879">
        <f t="shared" ca="1" si="233"/>
        <v>1</v>
      </c>
      <c r="AC879" t="str">
        <f t="shared" ca="1" si="234"/>
        <v/>
      </c>
      <c r="AD879" t="str">
        <f t="shared" si="224"/>
        <v>4093RN153</v>
      </c>
      <c r="AE879">
        <f t="shared" ca="1" si="235"/>
        <v>0</v>
      </c>
      <c r="AF879" t="str">
        <f t="shared" ca="1" si="236"/>
        <v/>
      </c>
      <c r="AG879">
        <v>216</v>
      </c>
      <c r="AH879" t="s">
        <v>136</v>
      </c>
      <c r="AI879" t="str">
        <f t="shared" si="225"/>
        <v>Lutheran Home 25</v>
      </c>
      <c r="AJ879" t="str">
        <f t="shared" si="226"/>
        <v>Green Bay</v>
      </c>
      <c r="AK879" t="str">
        <f t="shared" si="227"/>
        <v>WI</v>
      </c>
    </row>
    <row r="880" spans="18:37" x14ac:dyDescent="0.25">
      <c r="S880">
        <v>622</v>
      </c>
      <c r="T880">
        <f t="shared" si="223"/>
        <v>129</v>
      </c>
      <c r="U880">
        <f t="shared" si="228"/>
        <v>26053</v>
      </c>
      <c r="V880">
        <f t="shared" ca="1" si="229"/>
        <v>0</v>
      </c>
      <c r="W880">
        <v>216</v>
      </c>
      <c r="X880" t="str">
        <f t="shared" ca="1" si="230"/>
        <v/>
      </c>
      <c r="Y880" t="s">
        <v>33</v>
      </c>
      <c r="Z880">
        <f t="shared" ca="1" si="231"/>
        <v>0</v>
      </c>
      <c r="AA880" t="str">
        <f t="shared" ca="1" si="232"/>
        <v>SPPN</v>
      </c>
      <c r="AB880">
        <f t="shared" ca="1" si="233"/>
        <v>1</v>
      </c>
      <c r="AC880" t="str">
        <f t="shared" ca="1" si="234"/>
        <v/>
      </c>
      <c r="AD880" t="str">
        <f t="shared" si="224"/>
        <v>4093RN153</v>
      </c>
      <c r="AE880">
        <f t="shared" ca="1" si="235"/>
        <v>0</v>
      </c>
      <c r="AF880" t="str">
        <f t="shared" ca="1" si="236"/>
        <v/>
      </c>
      <c r="AG880">
        <v>216</v>
      </c>
      <c r="AH880" t="s">
        <v>136</v>
      </c>
      <c r="AI880" t="str">
        <f t="shared" si="225"/>
        <v>Lutheran Home 25</v>
      </c>
      <c r="AJ880" t="str">
        <f t="shared" si="226"/>
        <v>Green Bay</v>
      </c>
      <c r="AK880" t="str">
        <f t="shared" si="227"/>
        <v>WI</v>
      </c>
    </row>
    <row r="881" spans="18:37" x14ac:dyDescent="0.25">
      <c r="S881">
        <v>623</v>
      </c>
      <c r="T881">
        <f t="shared" si="223"/>
        <v>129</v>
      </c>
      <c r="U881">
        <f t="shared" si="228"/>
        <v>26053</v>
      </c>
      <c r="V881">
        <f t="shared" ca="1" si="229"/>
        <v>0</v>
      </c>
      <c r="W881">
        <v>216</v>
      </c>
      <c r="X881" t="str">
        <f t="shared" ca="1" si="230"/>
        <v/>
      </c>
      <c r="Y881" t="s">
        <v>28</v>
      </c>
      <c r="Z881">
        <f t="shared" ca="1" si="231"/>
        <v>0</v>
      </c>
      <c r="AA881" t="str">
        <f t="shared" ca="1" si="232"/>
        <v>SPPN</v>
      </c>
      <c r="AB881">
        <f t="shared" ca="1" si="233"/>
        <v>1</v>
      </c>
      <c r="AC881">
        <f t="shared" ca="1" si="234"/>
        <v>0</v>
      </c>
      <c r="AD881" t="str">
        <f t="shared" si="224"/>
        <v>4093RN153</v>
      </c>
      <c r="AE881">
        <f t="shared" ca="1" si="235"/>
        <v>0</v>
      </c>
      <c r="AF881" t="str">
        <f t="shared" ca="1" si="236"/>
        <v/>
      </c>
      <c r="AG881">
        <v>216</v>
      </c>
      <c r="AH881" t="s">
        <v>136</v>
      </c>
      <c r="AI881" t="str">
        <f t="shared" si="225"/>
        <v>Lutheran Home 25</v>
      </c>
      <c r="AJ881" t="str">
        <f t="shared" si="226"/>
        <v>Green Bay</v>
      </c>
      <c r="AK881" t="str">
        <f t="shared" si="227"/>
        <v>WI</v>
      </c>
    </row>
    <row r="882" spans="18:37" x14ac:dyDescent="0.25">
      <c r="S882">
        <v>624</v>
      </c>
      <c r="T882">
        <f t="shared" si="223"/>
        <v>129</v>
      </c>
      <c r="U882">
        <f t="shared" si="228"/>
        <v>26053</v>
      </c>
      <c r="V882">
        <f t="shared" ca="1" si="229"/>
        <v>0</v>
      </c>
      <c r="W882">
        <v>216</v>
      </c>
      <c r="X882" t="str">
        <f t="shared" ca="1" si="230"/>
        <v/>
      </c>
      <c r="Y882" t="s">
        <v>32</v>
      </c>
      <c r="Z882">
        <f t="shared" ca="1" si="231"/>
        <v>0</v>
      </c>
      <c r="AA882" t="str">
        <f t="shared" ca="1" si="232"/>
        <v>SPPN</v>
      </c>
      <c r="AB882">
        <f t="shared" ca="1" si="233"/>
        <v>1</v>
      </c>
      <c r="AC882">
        <f t="shared" ca="1" si="234"/>
        <v>0</v>
      </c>
      <c r="AD882" t="str">
        <f t="shared" si="224"/>
        <v>4093RN153</v>
      </c>
      <c r="AE882">
        <f t="shared" ca="1" si="235"/>
        <v>0</v>
      </c>
      <c r="AF882" t="str">
        <f t="shared" ca="1" si="236"/>
        <v/>
      </c>
      <c r="AG882">
        <v>216</v>
      </c>
      <c r="AH882" t="s">
        <v>136</v>
      </c>
      <c r="AI882" t="str">
        <f t="shared" si="225"/>
        <v>Lutheran Home 25</v>
      </c>
      <c r="AJ882" t="str">
        <f t="shared" si="226"/>
        <v>Green Bay</v>
      </c>
      <c r="AK882" t="str">
        <f t="shared" si="227"/>
        <v>WI</v>
      </c>
    </row>
    <row r="883" spans="18:37" x14ac:dyDescent="0.25">
      <c r="R883">
        <v>1</v>
      </c>
      <c r="S883">
        <v>625</v>
      </c>
      <c r="T883">
        <f t="shared" si="223"/>
        <v>129</v>
      </c>
      <c r="U883">
        <f t="shared" si="228"/>
        <v>26053</v>
      </c>
      <c r="V883">
        <f t="shared" ca="1" si="229"/>
        <v>0</v>
      </c>
      <c r="W883">
        <v>217</v>
      </c>
      <c r="X883" t="str">
        <f t="shared" ca="1" si="230"/>
        <v/>
      </c>
      <c r="Y883" t="s">
        <v>9</v>
      </c>
      <c r="Z883">
        <f t="shared" ca="1" si="231"/>
        <v>0</v>
      </c>
      <c r="AA883" t="str">
        <f t="shared" ca="1" si="232"/>
        <v>SPPN</v>
      </c>
      <c r="AB883">
        <f t="shared" ca="1" si="233"/>
        <v>1</v>
      </c>
      <c r="AC883" t="str">
        <f t="shared" ca="1" si="234"/>
        <v/>
      </c>
      <c r="AD883" t="str">
        <f t="shared" si="224"/>
        <v>4093RN153</v>
      </c>
      <c r="AE883">
        <f t="shared" ca="1" si="235"/>
        <v>0</v>
      </c>
      <c r="AF883" t="str">
        <f t="shared" ca="1" si="236"/>
        <v/>
      </c>
      <c r="AG883">
        <v>217</v>
      </c>
      <c r="AH883" t="s">
        <v>136</v>
      </c>
      <c r="AI883" t="str">
        <f t="shared" si="225"/>
        <v>Lutheran Home 25</v>
      </c>
      <c r="AJ883" t="str">
        <f t="shared" si="226"/>
        <v>Green Bay</v>
      </c>
      <c r="AK883" t="str">
        <f t="shared" si="227"/>
        <v>WI</v>
      </c>
    </row>
    <row r="884" spans="18:37" x14ac:dyDescent="0.25">
      <c r="S884">
        <v>626</v>
      </c>
      <c r="T884">
        <f t="shared" si="223"/>
        <v>129</v>
      </c>
      <c r="U884">
        <f t="shared" si="228"/>
        <v>26053</v>
      </c>
      <c r="V884">
        <f t="shared" ca="1" si="229"/>
        <v>0</v>
      </c>
      <c r="W884">
        <v>217</v>
      </c>
      <c r="X884" t="str">
        <f t="shared" ca="1" si="230"/>
        <v/>
      </c>
      <c r="Y884" t="s">
        <v>33</v>
      </c>
      <c r="Z884">
        <f t="shared" ca="1" si="231"/>
        <v>0</v>
      </c>
      <c r="AA884" t="str">
        <f t="shared" ca="1" si="232"/>
        <v>SPPN</v>
      </c>
      <c r="AB884">
        <f t="shared" ca="1" si="233"/>
        <v>1</v>
      </c>
      <c r="AC884" t="str">
        <f t="shared" ca="1" si="234"/>
        <v/>
      </c>
      <c r="AD884" t="str">
        <f t="shared" si="224"/>
        <v>4093RN153</v>
      </c>
      <c r="AE884">
        <f t="shared" ca="1" si="235"/>
        <v>0</v>
      </c>
      <c r="AF884" t="str">
        <f t="shared" ca="1" si="236"/>
        <v/>
      </c>
      <c r="AG884">
        <v>217</v>
      </c>
      <c r="AH884" t="s">
        <v>136</v>
      </c>
      <c r="AI884" t="str">
        <f t="shared" si="225"/>
        <v>Lutheran Home 25</v>
      </c>
      <c r="AJ884" t="str">
        <f t="shared" si="226"/>
        <v>Green Bay</v>
      </c>
      <c r="AK884" t="str">
        <f t="shared" si="227"/>
        <v>WI</v>
      </c>
    </row>
    <row r="885" spans="18:37" x14ac:dyDescent="0.25">
      <c r="S885">
        <v>627</v>
      </c>
      <c r="T885">
        <f t="shared" si="223"/>
        <v>129</v>
      </c>
      <c r="U885">
        <f t="shared" si="228"/>
        <v>26053</v>
      </c>
      <c r="V885">
        <f t="shared" ca="1" si="229"/>
        <v>0</v>
      </c>
      <c r="W885">
        <v>217</v>
      </c>
      <c r="X885" t="str">
        <f t="shared" ca="1" si="230"/>
        <v/>
      </c>
      <c r="Y885" t="s">
        <v>28</v>
      </c>
      <c r="Z885">
        <f t="shared" ca="1" si="231"/>
        <v>0</v>
      </c>
      <c r="AA885" t="str">
        <f t="shared" ca="1" si="232"/>
        <v>SPPN</v>
      </c>
      <c r="AB885">
        <f t="shared" ca="1" si="233"/>
        <v>1</v>
      </c>
      <c r="AC885">
        <f t="shared" ca="1" si="234"/>
        <v>0</v>
      </c>
      <c r="AD885" t="str">
        <f t="shared" si="224"/>
        <v>4093RN153</v>
      </c>
      <c r="AE885">
        <f t="shared" ca="1" si="235"/>
        <v>0</v>
      </c>
      <c r="AF885" t="str">
        <f t="shared" ca="1" si="236"/>
        <v/>
      </c>
      <c r="AG885">
        <v>217</v>
      </c>
      <c r="AH885" t="s">
        <v>136</v>
      </c>
      <c r="AI885" t="str">
        <f t="shared" si="225"/>
        <v>Lutheran Home 25</v>
      </c>
      <c r="AJ885" t="str">
        <f t="shared" si="226"/>
        <v>Green Bay</v>
      </c>
      <c r="AK885" t="str">
        <f t="shared" si="227"/>
        <v>WI</v>
      </c>
    </row>
    <row r="886" spans="18:37" x14ac:dyDescent="0.25">
      <c r="S886">
        <v>628</v>
      </c>
      <c r="T886">
        <f t="shared" si="223"/>
        <v>129</v>
      </c>
      <c r="U886">
        <f t="shared" si="228"/>
        <v>26053</v>
      </c>
      <c r="V886">
        <f t="shared" ca="1" si="229"/>
        <v>0</v>
      </c>
      <c r="W886">
        <v>217</v>
      </c>
      <c r="X886" t="str">
        <f t="shared" ca="1" si="230"/>
        <v/>
      </c>
      <c r="Y886" t="s">
        <v>32</v>
      </c>
      <c r="Z886">
        <f t="shared" ca="1" si="231"/>
        <v>0</v>
      </c>
      <c r="AA886" t="str">
        <f t="shared" ca="1" si="232"/>
        <v>SPPN</v>
      </c>
      <c r="AB886">
        <f t="shared" ca="1" si="233"/>
        <v>1</v>
      </c>
      <c r="AC886">
        <f t="shared" ca="1" si="234"/>
        <v>0</v>
      </c>
      <c r="AD886" t="str">
        <f t="shared" si="224"/>
        <v>4093RN153</v>
      </c>
      <c r="AE886">
        <f t="shared" ca="1" si="235"/>
        <v>0</v>
      </c>
      <c r="AF886" t="str">
        <f t="shared" ca="1" si="236"/>
        <v/>
      </c>
      <c r="AG886">
        <v>217</v>
      </c>
      <c r="AH886" t="s">
        <v>136</v>
      </c>
      <c r="AI886" t="str">
        <f t="shared" si="225"/>
        <v>Lutheran Home 25</v>
      </c>
      <c r="AJ886" t="str">
        <f t="shared" si="226"/>
        <v>Green Bay</v>
      </c>
      <c r="AK886" t="str">
        <f t="shared" si="227"/>
        <v>WI</v>
      </c>
    </row>
    <row r="887" spans="18:37" x14ac:dyDescent="0.25">
      <c r="R887">
        <v>1</v>
      </c>
      <c r="S887">
        <v>629</v>
      </c>
      <c r="T887">
        <f t="shared" si="223"/>
        <v>129</v>
      </c>
      <c r="U887">
        <f t="shared" si="228"/>
        <v>26053</v>
      </c>
      <c r="V887">
        <f t="shared" ca="1" si="229"/>
        <v>0</v>
      </c>
      <c r="W887">
        <v>218</v>
      </c>
      <c r="X887" t="str">
        <f t="shared" ca="1" si="230"/>
        <v/>
      </c>
      <c r="Y887" t="s">
        <v>9</v>
      </c>
      <c r="Z887">
        <f t="shared" ca="1" si="231"/>
        <v>0</v>
      </c>
      <c r="AA887" t="str">
        <f t="shared" ca="1" si="232"/>
        <v>SPPN</v>
      </c>
      <c r="AB887">
        <f t="shared" ca="1" si="233"/>
        <v>1</v>
      </c>
      <c r="AC887" t="str">
        <f t="shared" ca="1" si="234"/>
        <v/>
      </c>
      <c r="AD887" t="str">
        <f t="shared" si="224"/>
        <v>4093RN153</v>
      </c>
      <c r="AE887">
        <f t="shared" ca="1" si="235"/>
        <v>0</v>
      </c>
      <c r="AF887" t="str">
        <f t="shared" ca="1" si="236"/>
        <v/>
      </c>
      <c r="AG887">
        <v>218</v>
      </c>
      <c r="AH887" t="s">
        <v>136</v>
      </c>
      <c r="AI887" t="str">
        <f t="shared" si="225"/>
        <v>Lutheran Home 25</v>
      </c>
      <c r="AJ887" t="str">
        <f t="shared" si="226"/>
        <v>Green Bay</v>
      </c>
      <c r="AK887" t="str">
        <f t="shared" si="227"/>
        <v>WI</v>
      </c>
    </row>
    <row r="888" spans="18:37" x14ac:dyDescent="0.25">
      <c r="S888">
        <v>630</v>
      </c>
      <c r="T888">
        <f t="shared" si="223"/>
        <v>129</v>
      </c>
      <c r="U888">
        <f t="shared" si="228"/>
        <v>26053</v>
      </c>
      <c r="V888">
        <f t="shared" ca="1" si="229"/>
        <v>0</v>
      </c>
      <c r="W888">
        <v>218</v>
      </c>
      <c r="X888" t="str">
        <f t="shared" ca="1" si="230"/>
        <v/>
      </c>
      <c r="Y888" t="s">
        <v>33</v>
      </c>
      <c r="Z888">
        <f t="shared" ca="1" si="231"/>
        <v>0</v>
      </c>
      <c r="AA888" t="str">
        <f t="shared" ca="1" si="232"/>
        <v>SPPN</v>
      </c>
      <c r="AB888">
        <f t="shared" ca="1" si="233"/>
        <v>1</v>
      </c>
      <c r="AC888" t="str">
        <f t="shared" ca="1" si="234"/>
        <v/>
      </c>
      <c r="AD888" t="str">
        <f t="shared" si="224"/>
        <v>4093RN153</v>
      </c>
      <c r="AE888">
        <f t="shared" ca="1" si="235"/>
        <v>0</v>
      </c>
      <c r="AF888" t="str">
        <f t="shared" ca="1" si="236"/>
        <v/>
      </c>
      <c r="AG888">
        <v>218</v>
      </c>
      <c r="AH888" t="s">
        <v>136</v>
      </c>
      <c r="AI888" t="str">
        <f t="shared" si="225"/>
        <v>Lutheran Home 25</v>
      </c>
      <c r="AJ888" t="str">
        <f t="shared" si="226"/>
        <v>Green Bay</v>
      </c>
      <c r="AK888" t="str">
        <f t="shared" si="227"/>
        <v>WI</v>
      </c>
    </row>
    <row r="889" spans="18:37" x14ac:dyDescent="0.25">
      <c r="S889">
        <v>631</v>
      </c>
      <c r="T889">
        <f t="shared" si="223"/>
        <v>129</v>
      </c>
      <c r="U889">
        <f t="shared" si="228"/>
        <v>26053</v>
      </c>
      <c r="V889">
        <f t="shared" ca="1" si="229"/>
        <v>0</v>
      </c>
      <c r="W889">
        <v>218</v>
      </c>
      <c r="X889" t="str">
        <f t="shared" ca="1" si="230"/>
        <v/>
      </c>
      <c r="Y889" t="s">
        <v>28</v>
      </c>
      <c r="Z889">
        <f t="shared" ca="1" si="231"/>
        <v>0</v>
      </c>
      <c r="AA889" t="str">
        <f t="shared" ca="1" si="232"/>
        <v>SPPN</v>
      </c>
      <c r="AB889">
        <f t="shared" ca="1" si="233"/>
        <v>1</v>
      </c>
      <c r="AC889">
        <f t="shared" ca="1" si="234"/>
        <v>0</v>
      </c>
      <c r="AD889" t="str">
        <f t="shared" si="224"/>
        <v>4093RN153</v>
      </c>
      <c r="AE889">
        <f t="shared" ca="1" si="235"/>
        <v>0</v>
      </c>
      <c r="AF889" t="str">
        <f t="shared" ca="1" si="236"/>
        <v/>
      </c>
      <c r="AG889">
        <v>218</v>
      </c>
      <c r="AH889" t="s">
        <v>136</v>
      </c>
      <c r="AI889" t="str">
        <f t="shared" si="225"/>
        <v>Lutheran Home 25</v>
      </c>
      <c r="AJ889" t="str">
        <f t="shared" si="226"/>
        <v>Green Bay</v>
      </c>
      <c r="AK889" t="str">
        <f t="shared" si="227"/>
        <v>WI</v>
      </c>
    </row>
    <row r="890" spans="18:37" x14ac:dyDescent="0.25">
      <c r="S890">
        <v>632</v>
      </c>
      <c r="T890">
        <f t="shared" si="223"/>
        <v>129</v>
      </c>
      <c r="U890">
        <f t="shared" si="228"/>
        <v>26053</v>
      </c>
      <c r="V890">
        <f t="shared" ca="1" si="229"/>
        <v>0</v>
      </c>
      <c r="W890">
        <v>218</v>
      </c>
      <c r="X890" t="str">
        <f t="shared" ca="1" si="230"/>
        <v/>
      </c>
      <c r="Y890" t="s">
        <v>32</v>
      </c>
      <c r="Z890">
        <f t="shared" ca="1" si="231"/>
        <v>0</v>
      </c>
      <c r="AA890" t="str">
        <f t="shared" ca="1" si="232"/>
        <v>SPPN</v>
      </c>
      <c r="AB890">
        <f t="shared" ca="1" si="233"/>
        <v>1</v>
      </c>
      <c r="AC890">
        <f t="shared" ca="1" si="234"/>
        <v>0</v>
      </c>
      <c r="AD890" t="str">
        <f t="shared" si="224"/>
        <v>4093RN153</v>
      </c>
      <c r="AE890">
        <f t="shared" ca="1" si="235"/>
        <v>0</v>
      </c>
      <c r="AF890" t="str">
        <f t="shared" ca="1" si="236"/>
        <v/>
      </c>
      <c r="AG890">
        <v>218</v>
      </c>
      <c r="AH890" t="s">
        <v>136</v>
      </c>
      <c r="AI890" t="str">
        <f t="shared" si="225"/>
        <v>Lutheran Home 25</v>
      </c>
      <c r="AJ890" t="str">
        <f t="shared" si="226"/>
        <v>Green Bay</v>
      </c>
      <c r="AK890" t="str">
        <f t="shared" si="227"/>
        <v>WI</v>
      </c>
    </row>
    <row r="891" spans="18:37" x14ac:dyDescent="0.25">
      <c r="R891">
        <v>1</v>
      </c>
      <c r="S891">
        <v>633</v>
      </c>
      <c r="T891">
        <f t="shared" si="223"/>
        <v>129</v>
      </c>
      <c r="U891">
        <f t="shared" si="228"/>
        <v>26053</v>
      </c>
      <c r="V891">
        <f t="shared" ca="1" si="229"/>
        <v>0</v>
      </c>
      <c r="W891">
        <v>219</v>
      </c>
      <c r="X891" t="str">
        <f t="shared" ca="1" si="230"/>
        <v/>
      </c>
      <c r="Y891" t="s">
        <v>9</v>
      </c>
      <c r="Z891">
        <f t="shared" ca="1" si="231"/>
        <v>0</v>
      </c>
      <c r="AA891" t="str">
        <f t="shared" ca="1" si="232"/>
        <v>SPPN</v>
      </c>
      <c r="AB891">
        <f t="shared" ca="1" si="233"/>
        <v>1</v>
      </c>
      <c r="AC891" t="str">
        <f t="shared" ca="1" si="234"/>
        <v/>
      </c>
      <c r="AD891" t="str">
        <f t="shared" si="224"/>
        <v>4093RN153</v>
      </c>
      <c r="AE891">
        <f t="shared" ca="1" si="235"/>
        <v>0</v>
      </c>
      <c r="AF891" t="str">
        <f t="shared" ca="1" si="236"/>
        <v/>
      </c>
      <c r="AG891">
        <v>219</v>
      </c>
      <c r="AH891" t="s">
        <v>136</v>
      </c>
      <c r="AI891" t="str">
        <f t="shared" si="225"/>
        <v>Lutheran Home 25</v>
      </c>
      <c r="AJ891" t="str">
        <f t="shared" si="226"/>
        <v>Green Bay</v>
      </c>
      <c r="AK891" t="str">
        <f t="shared" si="227"/>
        <v>WI</v>
      </c>
    </row>
    <row r="892" spans="18:37" x14ac:dyDescent="0.25">
      <c r="S892">
        <v>634</v>
      </c>
      <c r="T892">
        <f t="shared" si="223"/>
        <v>129</v>
      </c>
      <c r="U892">
        <f t="shared" si="228"/>
        <v>26053</v>
      </c>
      <c r="V892">
        <f t="shared" ca="1" si="229"/>
        <v>0</v>
      </c>
      <c r="W892">
        <v>219</v>
      </c>
      <c r="X892" t="str">
        <f t="shared" ca="1" si="230"/>
        <v/>
      </c>
      <c r="Y892" t="s">
        <v>33</v>
      </c>
      <c r="Z892">
        <f t="shared" ca="1" si="231"/>
        <v>0</v>
      </c>
      <c r="AA892" t="str">
        <f t="shared" ca="1" si="232"/>
        <v>SPPN</v>
      </c>
      <c r="AB892">
        <f t="shared" ca="1" si="233"/>
        <v>1</v>
      </c>
      <c r="AC892" t="str">
        <f t="shared" ca="1" si="234"/>
        <v/>
      </c>
      <c r="AD892" t="str">
        <f t="shared" si="224"/>
        <v>4093RN153</v>
      </c>
      <c r="AE892">
        <f t="shared" ca="1" si="235"/>
        <v>0</v>
      </c>
      <c r="AF892" t="str">
        <f t="shared" ca="1" si="236"/>
        <v/>
      </c>
      <c r="AG892">
        <v>219</v>
      </c>
      <c r="AH892" t="s">
        <v>136</v>
      </c>
      <c r="AI892" t="str">
        <f t="shared" si="225"/>
        <v>Lutheran Home 25</v>
      </c>
      <c r="AJ892" t="str">
        <f t="shared" si="226"/>
        <v>Green Bay</v>
      </c>
      <c r="AK892" t="str">
        <f t="shared" si="227"/>
        <v>WI</v>
      </c>
    </row>
    <row r="893" spans="18:37" x14ac:dyDescent="0.25">
      <c r="S893">
        <v>635</v>
      </c>
      <c r="T893">
        <f t="shared" si="223"/>
        <v>129</v>
      </c>
      <c r="U893">
        <f t="shared" si="228"/>
        <v>26053</v>
      </c>
      <c r="V893">
        <f t="shared" ca="1" si="229"/>
        <v>0</v>
      </c>
      <c r="W893">
        <v>219</v>
      </c>
      <c r="X893" t="str">
        <f t="shared" ca="1" si="230"/>
        <v/>
      </c>
      <c r="Y893" t="s">
        <v>28</v>
      </c>
      <c r="Z893">
        <f t="shared" ca="1" si="231"/>
        <v>0</v>
      </c>
      <c r="AA893" t="str">
        <f t="shared" ca="1" si="232"/>
        <v>SPPN</v>
      </c>
      <c r="AB893">
        <f t="shared" ca="1" si="233"/>
        <v>1</v>
      </c>
      <c r="AC893">
        <f t="shared" ca="1" si="234"/>
        <v>0</v>
      </c>
      <c r="AD893" t="str">
        <f t="shared" si="224"/>
        <v>4093RN153</v>
      </c>
      <c r="AE893">
        <f t="shared" ca="1" si="235"/>
        <v>0</v>
      </c>
      <c r="AF893" t="str">
        <f t="shared" ca="1" si="236"/>
        <v/>
      </c>
      <c r="AG893">
        <v>219</v>
      </c>
      <c r="AH893" t="s">
        <v>136</v>
      </c>
      <c r="AI893" t="str">
        <f t="shared" si="225"/>
        <v>Lutheran Home 25</v>
      </c>
      <c r="AJ893" t="str">
        <f t="shared" si="226"/>
        <v>Green Bay</v>
      </c>
      <c r="AK893" t="str">
        <f t="shared" si="227"/>
        <v>WI</v>
      </c>
    </row>
    <row r="894" spans="18:37" x14ac:dyDescent="0.25">
      <c r="S894">
        <v>636</v>
      </c>
      <c r="T894">
        <f t="shared" si="223"/>
        <v>129</v>
      </c>
      <c r="U894">
        <f t="shared" si="228"/>
        <v>26053</v>
      </c>
      <c r="V894">
        <f t="shared" ca="1" si="229"/>
        <v>0</v>
      </c>
      <c r="W894">
        <v>219</v>
      </c>
      <c r="X894" t="str">
        <f t="shared" ca="1" si="230"/>
        <v/>
      </c>
      <c r="Y894" t="s">
        <v>32</v>
      </c>
      <c r="Z894">
        <f t="shared" ca="1" si="231"/>
        <v>0</v>
      </c>
      <c r="AA894" t="str">
        <f t="shared" ca="1" si="232"/>
        <v>SPPN</v>
      </c>
      <c r="AB894">
        <f t="shared" ca="1" si="233"/>
        <v>1</v>
      </c>
      <c r="AC894">
        <f t="shared" ca="1" si="234"/>
        <v>0</v>
      </c>
      <c r="AD894" t="str">
        <f t="shared" si="224"/>
        <v>4093RN153</v>
      </c>
      <c r="AE894">
        <f t="shared" ca="1" si="235"/>
        <v>0</v>
      </c>
      <c r="AF894" t="str">
        <f t="shared" ca="1" si="236"/>
        <v/>
      </c>
      <c r="AG894">
        <v>219</v>
      </c>
      <c r="AH894" t="s">
        <v>136</v>
      </c>
      <c r="AI894" t="str">
        <f t="shared" si="225"/>
        <v>Lutheran Home 25</v>
      </c>
      <c r="AJ894" t="str">
        <f t="shared" si="226"/>
        <v>Green Bay</v>
      </c>
      <c r="AK894" t="str">
        <f t="shared" si="227"/>
        <v>WI</v>
      </c>
    </row>
    <row r="895" spans="18:37" x14ac:dyDescent="0.25">
      <c r="R895">
        <v>1</v>
      </c>
      <c r="S895">
        <v>637</v>
      </c>
      <c r="T895">
        <f t="shared" si="223"/>
        <v>129</v>
      </c>
      <c r="U895">
        <f t="shared" si="228"/>
        <v>26053</v>
      </c>
      <c r="V895">
        <f t="shared" ca="1" si="229"/>
        <v>0</v>
      </c>
      <c r="W895">
        <v>220</v>
      </c>
      <c r="X895" t="str">
        <f t="shared" ca="1" si="230"/>
        <v/>
      </c>
      <c r="Y895" t="s">
        <v>9</v>
      </c>
      <c r="Z895">
        <f t="shared" ca="1" si="231"/>
        <v>0</v>
      </c>
      <c r="AA895" t="str">
        <f t="shared" ca="1" si="232"/>
        <v>SPPN</v>
      </c>
      <c r="AB895">
        <f t="shared" ca="1" si="233"/>
        <v>1</v>
      </c>
      <c r="AC895" t="str">
        <f t="shared" ca="1" si="234"/>
        <v/>
      </c>
      <c r="AD895" t="str">
        <f t="shared" si="224"/>
        <v>4093RN153</v>
      </c>
      <c r="AE895">
        <f t="shared" ca="1" si="235"/>
        <v>0</v>
      </c>
      <c r="AF895" t="str">
        <f t="shared" ca="1" si="236"/>
        <v/>
      </c>
      <c r="AG895">
        <v>220</v>
      </c>
      <c r="AH895" t="s">
        <v>136</v>
      </c>
      <c r="AI895" t="str">
        <f t="shared" si="225"/>
        <v>Lutheran Home 25</v>
      </c>
      <c r="AJ895" t="str">
        <f t="shared" si="226"/>
        <v>Green Bay</v>
      </c>
      <c r="AK895" t="str">
        <f t="shared" si="227"/>
        <v>WI</v>
      </c>
    </row>
    <row r="896" spans="18:37" x14ac:dyDescent="0.25">
      <c r="S896">
        <v>638</v>
      </c>
      <c r="T896">
        <f t="shared" si="223"/>
        <v>129</v>
      </c>
      <c r="U896">
        <f t="shared" si="228"/>
        <v>26053</v>
      </c>
      <c r="V896">
        <f t="shared" ca="1" si="229"/>
        <v>0</v>
      </c>
      <c r="W896">
        <v>220</v>
      </c>
      <c r="X896" t="str">
        <f t="shared" ca="1" si="230"/>
        <v/>
      </c>
      <c r="Y896" t="s">
        <v>33</v>
      </c>
      <c r="Z896">
        <f t="shared" ca="1" si="231"/>
        <v>0</v>
      </c>
      <c r="AA896" t="str">
        <f t="shared" ca="1" si="232"/>
        <v>SPPN</v>
      </c>
      <c r="AB896">
        <f t="shared" ca="1" si="233"/>
        <v>1</v>
      </c>
      <c r="AC896" t="str">
        <f t="shared" ca="1" si="234"/>
        <v/>
      </c>
      <c r="AD896" t="str">
        <f t="shared" si="224"/>
        <v>4093RN153</v>
      </c>
      <c r="AE896">
        <f t="shared" ca="1" si="235"/>
        <v>0</v>
      </c>
      <c r="AF896" t="str">
        <f t="shared" ca="1" si="236"/>
        <v/>
      </c>
      <c r="AG896">
        <v>220</v>
      </c>
      <c r="AH896" t="s">
        <v>136</v>
      </c>
      <c r="AI896" t="str">
        <f t="shared" si="225"/>
        <v>Lutheran Home 25</v>
      </c>
      <c r="AJ896" t="str">
        <f t="shared" si="226"/>
        <v>Green Bay</v>
      </c>
      <c r="AK896" t="str">
        <f t="shared" si="227"/>
        <v>WI</v>
      </c>
    </row>
    <row r="897" spans="18:37" x14ac:dyDescent="0.25">
      <c r="S897">
        <v>639</v>
      </c>
      <c r="T897">
        <f t="shared" si="223"/>
        <v>129</v>
      </c>
      <c r="U897">
        <f t="shared" si="228"/>
        <v>26053</v>
      </c>
      <c r="V897">
        <f t="shared" ca="1" si="229"/>
        <v>0</v>
      </c>
      <c r="W897">
        <v>220</v>
      </c>
      <c r="X897" t="str">
        <f t="shared" ca="1" si="230"/>
        <v/>
      </c>
      <c r="Y897" t="s">
        <v>28</v>
      </c>
      <c r="Z897">
        <f t="shared" ca="1" si="231"/>
        <v>0</v>
      </c>
      <c r="AA897" t="str">
        <f t="shared" ca="1" si="232"/>
        <v>SPPN</v>
      </c>
      <c r="AB897">
        <f t="shared" ca="1" si="233"/>
        <v>1</v>
      </c>
      <c r="AC897">
        <f t="shared" ca="1" si="234"/>
        <v>0</v>
      </c>
      <c r="AD897" t="str">
        <f t="shared" si="224"/>
        <v>4093RN153</v>
      </c>
      <c r="AE897">
        <f t="shared" ca="1" si="235"/>
        <v>0</v>
      </c>
      <c r="AF897" t="str">
        <f t="shared" ca="1" si="236"/>
        <v/>
      </c>
      <c r="AG897">
        <v>220</v>
      </c>
      <c r="AH897" t="s">
        <v>136</v>
      </c>
      <c r="AI897" t="str">
        <f t="shared" si="225"/>
        <v>Lutheran Home 25</v>
      </c>
      <c r="AJ897" t="str">
        <f t="shared" si="226"/>
        <v>Green Bay</v>
      </c>
      <c r="AK897" t="str">
        <f t="shared" si="227"/>
        <v>WI</v>
      </c>
    </row>
    <row r="898" spans="18:37" x14ac:dyDescent="0.25">
      <c r="S898">
        <v>640</v>
      </c>
      <c r="T898">
        <f t="shared" si="223"/>
        <v>129</v>
      </c>
      <c r="U898">
        <f t="shared" si="228"/>
        <v>26053</v>
      </c>
      <c r="V898">
        <f t="shared" ca="1" si="229"/>
        <v>0</v>
      </c>
      <c r="W898">
        <v>220</v>
      </c>
      <c r="X898" t="str">
        <f t="shared" ca="1" si="230"/>
        <v/>
      </c>
      <c r="Y898" t="s">
        <v>32</v>
      </c>
      <c r="Z898">
        <f t="shared" ca="1" si="231"/>
        <v>0</v>
      </c>
      <c r="AA898" t="str">
        <f t="shared" ca="1" si="232"/>
        <v>SPPN</v>
      </c>
      <c r="AB898">
        <f t="shared" ca="1" si="233"/>
        <v>1</v>
      </c>
      <c r="AC898">
        <f t="shared" ca="1" si="234"/>
        <v>0</v>
      </c>
      <c r="AD898" t="str">
        <f t="shared" si="224"/>
        <v>4093RN153</v>
      </c>
      <c r="AE898">
        <f t="shared" ca="1" si="235"/>
        <v>0</v>
      </c>
      <c r="AF898" t="str">
        <f t="shared" ca="1" si="236"/>
        <v/>
      </c>
      <c r="AG898">
        <v>220</v>
      </c>
      <c r="AH898" t="s">
        <v>136</v>
      </c>
      <c r="AI898" t="str">
        <f t="shared" si="225"/>
        <v>Lutheran Home 25</v>
      </c>
      <c r="AJ898" t="str">
        <f t="shared" si="226"/>
        <v>Green Bay</v>
      </c>
      <c r="AK898" t="str">
        <f t="shared" si="227"/>
        <v>WI</v>
      </c>
    </row>
    <row r="899" spans="18:37" x14ac:dyDescent="0.25">
      <c r="R899">
        <v>1</v>
      </c>
      <c r="S899">
        <v>641</v>
      </c>
      <c r="T899">
        <f t="shared" si="223"/>
        <v>129</v>
      </c>
      <c r="U899">
        <f t="shared" si="228"/>
        <v>26053</v>
      </c>
      <c r="V899">
        <f t="shared" ca="1" si="229"/>
        <v>0</v>
      </c>
      <c r="W899">
        <v>221</v>
      </c>
      <c r="X899" t="str">
        <f t="shared" ca="1" si="230"/>
        <v/>
      </c>
      <c r="Y899" t="s">
        <v>9</v>
      </c>
      <c r="Z899">
        <f t="shared" ca="1" si="231"/>
        <v>0</v>
      </c>
      <c r="AA899" t="str">
        <f t="shared" ca="1" si="232"/>
        <v>SPPN</v>
      </c>
      <c r="AB899">
        <f t="shared" ca="1" si="233"/>
        <v>1</v>
      </c>
      <c r="AC899" t="str">
        <f t="shared" ca="1" si="234"/>
        <v/>
      </c>
      <c r="AD899" t="str">
        <f t="shared" si="224"/>
        <v>4093RN153</v>
      </c>
      <c r="AE899">
        <f t="shared" ca="1" si="235"/>
        <v>0</v>
      </c>
      <c r="AF899" t="str">
        <f t="shared" ca="1" si="236"/>
        <v/>
      </c>
      <c r="AG899">
        <v>221</v>
      </c>
      <c r="AH899" t="s">
        <v>136</v>
      </c>
      <c r="AI899" t="str">
        <f t="shared" si="225"/>
        <v>Lutheran Home 25</v>
      </c>
      <c r="AJ899" t="str">
        <f t="shared" si="226"/>
        <v>Green Bay</v>
      </c>
      <c r="AK899" t="str">
        <f t="shared" si="227"/>
        <v>WI</v>
      </c>
    </row>
    <row r="900" spans="18:37" x14ac:dyDescent="0.25">
      <c r="S900">
        <v>642</v>
      </c>
      <c r="T900">
        <f t="shared" si="223"/>
        <v>129</v>
      </c>
      <c r="U900">
        <f t="shared" si="228"/>
        <v>26053</v>
      </c>
      <c r="V900">
        <f t="shared" ca="1" si="229"/>
        <v>0</v>
      </c>
      <c r="W900">
        <v>221</v>
      </c>
      <c r="X900" t="str">
        <f t="shared" ca="1" si="230"/>
        <v/>
      </c>
      <c r="Y900" t="s">
        <v>33</v>
      </c>
      <c r="Z900">
        <f t="shared" ca="1" si="231"/>
        <v>0</v>
      </c>
      <c r="AA900" t="str">
        <f t="shared" ca="1" si="232"/>
        <v>SPPN</v>
      </c>
      <c r="AB900">
        <f t="shared" ca="1" si="233"/>
        <v>1</v>
      </c>
      <c r="AC900" t="str">
        <f t="shared" ca="1" si="234"/>
        <v/>
      </c>
      <c r="AD900" t="str">
        <f t="shared" si="224"/>
        <v>4093RN153</v>
      </c>
      <c r="AE900">
        <f t="shared" ca="1" si="235"/>
        <v>0</v>
      </c>
      <c r="AF900" t="str">
        <f t="shared" ca="1" si="236"/>
        <v/>
      </c>
      <c r="AG900">
        <v>221</v>
      </c>
      <c r="AH900" t="s">
        <v>136</v>
      </c>
      <c r="AI900" t="str">
        <f t="shared" si="225"/>
        <v>Lutheran Home 25</v>
      </c>
      <c r="AJ900" t="str">
        <f t="shared" si="226"/>
        <v>Green Bay</v>
      </c>
      <c r="AK900" t="str">
        <f t="shared" si="227"/>
        <v>WI</v>
      </c>
    </row>
    <row r="901" spans="18:37" x14ac:dyDescent="0.25">
      <c r="S901">
        <v>643</v>
      </c>
      <c r="T901">
        <f t="shared" si="223"/>
        <v>129</v>
      </c>
      <c r="U901">
        <f t="shared" si="228"/>
        <v>26053</v>
      </c>
      <c r="V901">
        <f t="shared" ca="1" si="229"/>
        <v>0</v>
      </c>
      <c r="W901">
        <v>221</v>
      </c>
      <c r="X901" t="str">
        <f t="shared" ca="1" si="230"/>
        <v/>
      </c>
      <c r="Y901" t="s">
        <v>28</v>
      </c>
      <c r="Z901">
        <f t="shared" ca="1" si="231"/>
        <v>0</v>
      </c>
      <c r="AA901" t="str">
        <f t="shared" ca="1" si="232"/>
        <v>SPPN</v>
      </c>
      <c r="AB901">
        <f t="shared" ca="1" si="233"/>
        <v>1</v>
      </c>
      <c r="AC901">
        <f t="shared" ca="1" si="234"/>
        <v>0</v>
      </c>
      <c r="AD901" t="str">
        <f t="shared" si="224"/>
        <v>4093RN153</v>
      </c>
      <c r="AE901">
        <f t="shared" ca="1" si="235"/>
        <v>0</v>
      </c>
      <c r="AF901" t="str">
        <f t="shared" ca="1" si="236"/>
        <v/>
      </c>
      <c r="AG901">
        <v>221</v>
      </c>
      <c r="AH901" t="s">
        <v>136</v>
      </c>
      <c r="AI901" t="str">
        <f t="shared" si="225"/>
        <v>Lutheran Home 25</v>
      </c>
      <c r="AJ901" t="str">
        <f t="shared" si="226"/>
        <v>Green Bay</v>
      </c>
      <c r="AK901" t="str">
        <f t="shared" si="227"/>
        <v>WI</v>
      </c>
    </row>
    <row r="902" spans="18:37" x14ac:dyDescent="0.25">
      <c r="S902">
        <v>644</v>
      </c>
      <c r="T902">
        <f t="shared" si="223"/>
        <v>129</v>
      </c>
      <c r="U902">
        <f t="shared" si="228"/>
        <v>26053</v>
      </c>
      <c r="V902">
        <f t="shared" ca="1" si="229"/>
        <v>0</v>
      </c>
      <c r="W902">
        <v>221</v>
      </c>
      <c r="X902" t="str">
        <f t="shared" ca="1" si="230"/>
        <v/>
      </c>
      <c r="Y902" t="s">
        <v>32</v>
      </c>
      <c r="Z902">
        <f t="shared" ca="1" si="231"/>
        <v>0</v>
      </c>
      <c r="AA902" t="str">
        <f t="shared" ca="1" si="232"/>
        <v>SPPN</v>
      </c>
      <c r="AB902">
        <f t="shared" ca="1" si="233"/>
        <v>1</v>
      </c>
      <c r="AC902">
        <f t="shared" ca="1" si="234"/>
        <v>0</v>
      </c>
      <c r="AD902" t="str">
        <f t="shared" si="224"/>
        <v>4093RN153</v>
      </c>
      <c r="AE902">
        <f t="shared" ca="1" si="235"/>
        <v>0</v>
      </c>
      <c r="AF902" t="str">
        <f t="shared" ca="1" si="236"/>
        <v/>
      </c>
      <c r="AG902">
        <v>221</v>
      </c>
      <c r="AH902" t="s">
        <v>136</v>
      </c>
      <c r="AI902" t="str">
        <f t="shared" si="225"/>
        <v>Lutheran Home 25</v>
      </c>
      <c r="AJ902" t="str">
        <f t="shared" si="226"/>
        <v>Green Bay</v>
      </c>
      <c r="AK902" t="str">
        <f t="shared" si="227"/>
        <v>WI</v>
      </c>
    </row>
    <row r="903" spans="18:37" x14ac:dyDescent="0.25">
      <c r="R903">
        <v>1</v>
      </c>
      <c r="S903">
        <v>645</v>
      </c>
      <c r="T903">
        <f t="shared" si="223"/>
        <v>129</v>
      </c>
      <c r="U903">
        <f t="shared" si="228"/>
        <v>26053</v>
      </c>
      <c r="V903">
        <f t="shared" ca="1" si="229"/>
        <v>0</v>
      </c>
      <c r="W903">
        <v>222</v>
      </c>
      <c r="X903" t="str">
        <f t="shared" ca="1" si="230"/>
        <v/>
      </c>
      <c r="Y903" t="s">
        <v>9</v>
      </c>
      <c r="Z903">
        <f t="shared" ca="1" si="231"/>
        <v>0</v>
      </c>
      <c r="AA903" t="str">
        <f t="shared" ca="1" si="232"/>
        <v>SPPN</v>
      </c>
      <c r="AB903">
        <f t="shared" ca="1" si="233"/>
        <v>1</v>
      </c>
      <c r="AC903" t="str">
        <f t="shared" ca="1" si="234"/>
        <v/>
      </c>
      <c r="AD903" t="str">
        <f t="shared" si="224"/>
        <v>4093RN153</v>
      </c>
      <c r="AE903">
        <f t="shared" ca="1" si="235"/>
        <v>0</v>
      </c>
      <c r="AF903" t="str">
        <f t="shared" ca="1" si="236"/>
        <v/>
      </c>
      <c r="AG903">
        <v>222</v>
      </c>
      <c r="AH903" t="s">
        <v>136</v>
      </c>
      <c r="AI903" t="str">
        <f t="shared" si="225"/>
        <v>Lutheran Home 25</v>
      </c>
      <c r="AJ903" t="str">
        <f t="shared" si="226"/>
        <v>Green Bay</v>
      </c>
      <c r="AK903" t="str">
        <f t="shared" si="227"/>
        <v>WI</v>
      </c>
    </row>
    <row r="904" spans="18:37" x14ac:dyDescent="0.25">
      <c r="S904">
        <v>646</v>
      </c>
      <c r="T904">
        <f t="shared" si="223"/>
        <v>129</v>
      </c>
      <c r="U904">
        <f t="shared" si="228"/>
        <v>26053</v>
      </c>
      <c r="V904">
        <f t="shared" ca="1" si="229"/>
        <v>0</v>
      </c>
      <c r="W904">
        <v>222</v>
      </c>
      <c r="X904" t="str">
        <f t="shared" ca="1" si="230"/>
        <v/>
      </c>
      <c r="Y904" t="s">
        <v>33</v>
      </c>
      <c r="Z904">
        <f t="shared" ca="1" si="231"/>
        <v>0</v>
      </c>
      <c r="AA904" t="str">
        <f t="shared" ca="1" si="232"/>
        <v>SPPN</v>
      </c>
      <c r="AB904">
        <f t="shared" ca="1" si="233"/>
        <v>1</v>
      </c>
      <c r="AC904" t="str">
        <f t="shared" ca="1" si="234"/>
        <v/>
      </c>
      <c r="AD904" t="str">
        <f t="shared" si="224"/>
        <v>4093RN153</v>
      </c>
      <c r="AE904">
        <f t="shared" ca="1" si="235"/>
        <v>0</v>
      </c>
      <c r="AF904" t="str">
        <f t="shared" ca="1" si="236"/>
        <v/>
      </c>
      <c r="AG904">
        <v>222</v>
      </c>
      <c r="AH904" t="s">
        <v>136</v>
      </c>
      <c r="AI904" t="str">
        <f t="shared" si="225"/>
        <v>Lutheran Home 25</v>
      </c>
      <c r="AJ904" t="str">
        <f t="shared" si="226"/>
        <v>Green Bay</v>
      </c>
      <c r="AK904" t="str">
        <f t="shared" si="227"/>
        <v>WI</v>
      </c>
    </row>
    <row r="905" spans="18:37" x14ac:dyDescent="0.25">
      <c r="S905">
        <v>647</v>
      </c>
      <c r="T905">
        <f t="shared" si="223"/>
        <v>129</v>
      </c>
      <c r="U905">
        <f t="shared" si="228"/>
        <v>26053</v>
      </c>
      <c r="V905">
        <f t="shared" ca="1" si="229"/>
        <v>0</v>
      </c>
      <c r="W905">
        <v>222</v>
      </c>
      <c r="X905" t="str">
        <f t="shared" ca="1" si="230"/>
        <v/>
      </c>
      <c r="Y905" t="s">
        <v>28</v>
      </c>
      <c r="Z905">
        <f t="shared" ca="1" si="231"/>
        <v>0</v>
      </c>
      <c r="AA905" t="str">
        <f t="shared" ca="1" si="232"/>
        <v>SPPN</v>
      </c>
      <c r="AB905">
        <f t="shared" ca="1" si="233"/>
        <v>1</v>
      </c>
      <c r="AC905">
        <f t="shared" ca="1" si="234"/>
        <v>0</v>
      </c>
      <c r="AD905" t="str">
        <f t="shared" si="224"/>
        <v>4093RN153</v>
      </c>
      <c r="AE905">
        <f t="shared" ca="1" si="235"/>
        <v>0</v>
      </c>
      <c r="AF905" t="str">
        <f t="shared" ca="1" si="236"/>
        <v/>
      </c>
      <c r="AG905">
        <v>222</v>
      </c>
      <c r="AH905" t="s">
        <v>136</v>
      </c>
      <c r="AI905" t="str">
        <f t="shared" si="225"/>
        <v>Lutheran Home 25</v>
      </c>
      <c r="AJ905" t="str">
        <f t="shared" si="226"/>
        <v>Green Bay</v>
      </c>
      <c r="AK905" t="str">
        <f t="shared" si="227"/>
        <v>WI</v>
      </c>
    </row>
    <row r="906" spans="18:37" x14ac:dyDescent="0.25">
      <c r="S906">
        <v>648</v>
      </c>
      <c r="T906">
        <f t="shared" si="223"/>
        <v>129</v>
      </c>
      <c r="U906">
        <f t="shared" si="228"/>
        <v>26053</v>
      </c>
      <c r="V906">
        <f t="shared" ca="1" si="229"/>
        <v>0</v>
      </c>
      <c r="W906">
        <v>222</v>
      </c>
      <c r="X906" t="str">
        <f t="shared" ca="1" si="230"/>
        <v/>
      </c>
      <c r="Y906" t="s">
        <v>32</v>
      </c>
      <c r="Z906">
        <f t="shared" ca="1" si="231"/>
        <v>0</v>
      </c>
      <c r="AA906" t="str">
        <f t="shared" ca="1" si="232"/>
        <v>SPPN</v>
      </c>
      <c r="AB906">
        <f t="shared" ca="1" si="233"/>
        <v>1</v>
      </c>
      <c r="AC906">
        <f t="shared" ca="1" si="234"/>
        <v>0</v>
      </c>
      <c r="AD906" t="str">
        <f t="shared" si="224"/>
        <v>4093RN153</v>
      </c>
      <c r="AE906">
        <f t="shared" ca="1" si="235"/>
        <v>0</v>
      </c>
      <c r="AF906" t="str">
        <f t="shared" ca="1" si="236"/>
        <v/>
      </c>
      <c r="AG906">
        <v>222</v>
      </c>
      <c r="AH906" t="s">
        <v>136</v>
      </c>
      <c r="AI906" t="str">
        <f t="shared" si="225"/>
        <v>Lutheran Home 25</v>
      </c>
      <c r="AJ906" t="str">
        <f t="shared" si="226"/>
        <v>Green Bay</v>
      </c>
      <c r="AK906" t="str">
        <f t="shared" si="227"/>
        <v>WI</v>
      </c>
    </row>
    <row r="907" spans="18:37" x14ac:dyDescent="0.25">
      <c r="R907">
        <v>1</v>
      </c>
      <c r="S907">
        <v>649</v>
      </c>
      <c r="T907">
        <f t="shared" si="223"/>
        <v>129</v>
      </c>
      <c r="U907">
        <f t="shared" si="228"/>
        <v>26053</v>
      </c>
      <c r="V907">
        <f t="shared" ca="1" si="229"/>
        <v>0</v>
      </c>
      <c r="W907">
        <v>223</v>
      </c>
      <c r="X907" t="str">
        <f t="shared" ca="1" si="230"/>
        <v/>
      </c>
      <c r="Y907" t="s">
        <v>9</v>
      </c>
      <c r="Z907">
        <f t="shared" ca="1" si="231"/>
        <v>0</v>
      </c>
      <c r="AA907" t="str">
        <f t="shared" ca="1" si="232"/>
        <v>SPPN</v>
      </c>
      <c r="AB907">
        <f t="shared" ca="1" si="233"/>
        <v>1</v>
      </c>
      <c r="AC907" t="str">
        <f t="shared" ca="1" si="234"/>
        <v/>
      </c>
      <c r="AD907" t="str">
        <f t="shared" si="224"/>
        <v>4093RN153</v>
      </c>
      <c r="AE907">
        <f t="shared" ca="1" si="235"/>
        <v>0</v>
      </c>
      <c r="AF907" t="str">
        <f t="shared" ca="1" si="236"/>
        <v/>
      </c>
      <c r="AG907">
        <v>223</v>
      </c>
      <c r="AH907" t="s">
        <v>136</v>
      </c>
      <c r="AI907" t="str">
        <f t="shared" si="225"/>
        <v>Lutheran Home 25</v>
      </c>
      <c r="AJ907" t="str">
        <f t="shared" si="226"/>
        <v>Green Bay</v>
      </c>
      <c r="AK907" t="str">
        <f t="shared" si="227"/>
        <v>WI</v>
      </c>
    </row>
    <row r="908" spans="18:37" x14ac:dyDescent="0.25">
      <c r="S908">
        <v>650</v>
      </c>
      <c r="T908">
        <f t="shared" si="223"/>
        <v>129</v>
      </c>
      <c r="U908">
        <f t="shared" si="228"/>
        <v>26053</v>
      </c>
      <c r="V908">
        <f t="shared" ca="1" si="229"/>
        <v>0</v>
      </c>
      <c r="W908">
        <v>223</v>
      </c>
      <c r="X908" t="str">
        <f t="shared" ca="1" si="230"/>
        <v/>
      </c>
      <c r="Y908" t="s">
        <v>33</v>
      </c>
      <c r="Z908">
        <f t="shared" ca="1" si="231"/>
        <v>0</v>
      </c>
      <c r="AA908" t="str">
        <f t="shared" ca="1" si="232"/>
        <v>SPPN</v>
      </c>
      <c r="AB908">
        <f t="shared" ca="1" si="233"/>
        <v>1</v>
      </c>
      <c r="AC908" t="str">
        <f t="shared" ca="1" si="234"/>
        <v/>
      </c>
      <c r="AD908" t="str">
        <f t="shared" si="224"/>
        <v>4093RN153</v>
      </c>
      <c r="AE908">
        <f t="shared" ca="1" si="235"/>
        <v>0</v>
      </c>
      <c r="AF908" t="str">
        <f t="shared" ca="1" si="236"/>
        <v/>
      </c>
      <c r="AG908">
        <v>223</v>
      </c>
      <c r="AH908" t="s">
        <v>136</v>
      </c>
      <c r="AI908" t="str">
        <f t="shared" si="225"/>
        <v>Lutheran Home 25</v>
      </c>
      <c r="AJ908" t="str">
        <f t="shared" si="226"/>
        <v>Green Bay</v>
      </c>
      <c r="AK908" t="str">
        <f t="shared" si="227"/>
        <v>WI</v>
      </c>
    </row>
    <row r="909" spans="18:37" x14ac:dyDescent="0.25">
      <c r="S909">
        <v>651</v>
      </c>
      <c r="T909">
        <f t="shared" si="223"/>
        <v>129</v>
      </c>
      <c r="U909">
        <f t="shared" si="228"/>
        <v>26053</v>
      </c>
      <c r="V909">
        <f t="shared" ca="1" si="229"/>
        <v>0</v>
      </c>
      <c r="W909">
        <v>223</v>
      </c>
      <c r="X909" t="str">
        <f t="shared" ca="1" si="230"/>
        <v/>
      </c>
      <c r="Y909" t="s">
        <v>28</v>
      </c>
      <c r="Z909">
        <f t="shared" ca="1" si="231"/>
        <v>0</v>
      </c>
      <c r="AA909" t="str">
        <f t="shared" ca="1" si="232"/>
        <v>SPPN</v>
      </c>
      <c r="AB909">
        <f t="shared" ca="1" si="233"/>
        <v>1</v>
      </c>
      <c r="AC909">
        <f t="shared" ca="1" si="234"/>
        <v>0</v>
      </c>
      <c r="AD909" t="str">
        <f t="shared" si="224"/>
        <v>4093RN153</v>
      </c>
      <c r="AE909">
        <f t="shared" ca="1" si="235"/>
        <v>0</v>
      </c>
      <c r="AF909" t="str">
        <f t="shared" ca="1" si="236"/>
        <v/>
      </c>
      <c r="AG909">
        <v>223</v>
      </c>
      <c r="AH909" t="s">
        <v>136</v>
      </c>
      <c r="AI909" t="str">
        <f t="shared" si="225"/>
        <v>Lutheran Home 25</v>
      </c>
      <c r="AJ909" t="str">
        <f t="shared" si="226"/>
        <v>Green Bay</v>
      </c>
      <c r="AK909" t="str">
        <f t="shared" si="227"/>
        <v>WI</v>
      </c>
    </row>
    <row r="910" spans="18:37" x14ac:dyDescent="0.25">
      <c r="S910">
        <v>652</v>
      </c>
      <c r="T910">
        <f t="shared" si="223"/>
        <v>129</v>
      </c>
      <c r="U910">
        <f t="shared" si="228"/>
        <v>26053</v>
      </c>
      <c r="V910">
        <f t="shared" ca="1" si="229"/>
        <v>0</v>
      </c>
      <c r="W910">
        <v>223</v>
      </c>
      <c r="X910" t="str">
        <f t="shared" ca="1" si="230"/>
        <v/>
      </c>
      <c r="Y910" t="s">
        <v>32</v>
      </c>
      <c r="Z910">
        <f t="shared" ca="1" si="231"/>
        <v>0</v>
      </c>
      <c r="AA910" t="str">
        <f t="shared" ca="1" si="232"/>
        <v>SPPN</v>
      </c>
      <c r="AB910">
        <f t="shared" ca="1" si="233"/>
        <v>1</v>
      </c>
      <c r="AC910">
        <f t="shared" ca="1" si="234"/>
        <v>0</v>
      </c>
      <c r="AD910" t="str">
        <f t="shared" si="224"/>
        <v>4093RN153</v>
      </c>
      <c r="AE910">
        <f t="shared" ca="1" si="235"/>
        <v>0</v>
      </c>
      <c r="AF910" t="str">
        <f t="shared" ca="1" si="236"/>
        <v/>
      </c>
      <c r="AG910">
        <v>223</v>
      </c>
      <c r="AH910" t="s">
        <v>136</v>
      </c>
      <c r="AI910" t="str">
        <f t="shared" si="225"/>
        <v>Lutheran Home 25</v>
      </c>
      <c r="AJ910" t="str">
        <f t="shared" si="226"/>
        <v>Green Bay</v>
      </c>
      <c r="AK910" t="str">
        <f t="shared" si="227"/>
        <v>WI</v>
      </c>
    </row>
    <row r="911" spans="18:37" x14ac:dyDescent="0.25">
      <c r="R911">
        <v>1</v>
      </c>
      <c r="S911">
        <v>653</v>
      </c>
      <c r="T911">
        <f t="shared" si="223"/>
        <v>129</v>
      </c>
      <c r="U911">
        <f t="shared" si="228"/>
        <v>26053</v>
      </c>
      <c r="V911">
        <f t="shared" ca="1" si="229"/>
        <v>0</v>
      </c>
      <c r="W911">
        <v>224</v>
      </c>
      <c r="X911" t="str">
        <f t="shared" ca="1" si="230"/>
        <v/>
      </c>
      <c r="Y911" t="s">
        <v>9</v>
      </c>
      <c r="Z911">
        <f t="shared" ca="1" si="231"/>
        <v>0</v>
      </c>
      <c r="AA911" t="str">
        <f t="shared" ca="1" si="232"/>
        <v>SPPN</v>
      </c>
      <c r="AB911">
        <f t="shared" ca="1" si="233"/>
        <v>1</v>
      </c>
      <c r="AC911" t="str">
        <f t="shared" ca="1" si="234"/>
        <v/>
      </c>
      <c r="AD911" t="str">
        <f t="shared" si="224"/>
        <v>4093RN153</v>
      </c>
      <c r="AE911">
        <f t="shared" ca="1" si="235"/>
        <v>0</v>
      </c>
      <c r="AF911" t="str">
        <f t="shared" ca="1" si="236"/>
        <v/>
      </c>
      <c r="AG911">
        <v>224</v>
      </c>
      <c r="AH911" t="s">
        <v>136</v>
      </c>
      <c r="AI911" t="str">
        <f t="shared" si="225"/>
        <v>Lutheran Home 25</v>
      </c>
      <c r="AJ911" t="str">
        <f t="shared" si="226"/>
        <v>Green Bay</v>
      </c>
      <c r="AK911" t="str">
        <f t="shared" si="227"/>
        <v>WI</v>
      </c>
    </row>
    <row r="912" spans="18:37" x14ac:dyDescent="0.25">
      <c r="S912">
        <v>654</v>
      </c>
      <c r="T912">
        <f t="shared" si="223"/>
        <v>129</v>
      </c>
      <c r="U912">
        <f t="shared" si="228"/>
        <v>26053</v>
      </c>
      <c r="V912">
        <f t="shared" ca="1" si="229"/>
        <v>0</v>
      </c>
      <c r="W912">
        <v>224</v>
      </c>
      <c r="X912" t="str">
        <f t="shared" ca="1" si="230"/>
        <v/>
      </c>
      <c r="Y912" t="s">
        <v>33</v>
      </c>
      <c r="Z912">
        <f t="shared" ca="1" si="231"/>
        <v>0</v>
      </c>
      <c r="AA912" t="str">
        <f t="shared" ca="1" si="232"/>
        <v>SPPN</v>
      </c>
      <c r="AB912">
        <f t="shared" ca="1" si="233"/>
        <v>1</v>
      </c>
      <c r="AC912" t="str">
        <f t="shared" ca="1" si="234"/>
        <v/>
      </c>
      <c r="AD912" t="str">
        <f t="shared" si="224"/>
        <v>4093RN153</v>
      </c>
      <c r="AE912">
        <f t="shared" ca="1" si="235"/>
        <v>0</v>
      </c>
      <c r="AF912" t="str">
        <f t="shared" ca="1" si="236"/>
        <v/>
      </c>
      <c r="AG912">
        <v>224</v>
      </c>
      <c r="AH912" t="s">
        <v>136</v>
      </c>
      <c r="AI912" t="str">
        <f t="shared" si="225"/>
        <v>Lutheran Home 25</v>
      </c>
      <c r="AJ912" t="str">
        <f t="shared" si="226"/>
        <v>Green Bay</v>
      </c>
      <c r="AK912" t="str">
        <f t="shared" si="227"/>
        <v>WI</v>
      </c>
    </row>
    <row r="913" spans="18:37" x14ac:dyDescent="0.25">
      <c r="S913">
        <v>655</v>
      </c>
      <c r="T913">
        <f t="shared" si="223"/>
        <v>129</v>
      </c>
      <c r="U913">
        <f t="shared" si="228"/>
        <v>26053</v>
      </c>
      <c r="V913">
        <f t="shared" ca="1" si="229"/>
        <v>0</v>
      </c>
      <c r="W913">
        <v>224</v>
      </c>
      <c r="X913" t="str">
        <f t="shared" ca="1" si="230"/>
        <v/>
      </c>
      <c r="Y913" t="s">
        <v>28</v>
      </c>
      <c r="Z913">
        <f t="shared" ca="1" si="231"/>
        <v>0</v>
      </c>
      <c r="AA913" t="str">
        <f t="shared" ca="1" si="232"/>
        <v>SPPN</v>
      </c>
      <c r="AB913">
        <f t="shared" ca="1" si="233"/>
        <v>1</v>
      </c>
      <c r="AC913">
        <f t="shared" ca="1" si="234"/>
        <v>0</v>
      </c>
      <c r="AD913" t="str">
        <f t="shared" si="224"/>
        <v>4093RN153</v>
      </c>
      <c r="AE913">
        <f t="shared" ca="1" si="235"/>
        <v>0</v>
      </c>
      <c r="AF913" t="str">
        <f t="shared" ca="1" si="236"/>
        <v/>
      </c>
      <c r="AG913">
        <v>224</v>
      </c>
      <c r="AH913" t="s">
        <v>136</v>
      </c>
      <c r="AI913" t="str">
        <f t="shared" si="225"/>
        <v>Lutheran Home 25</v>
      </c>
      <c r="AJ913" t="str">
        <f t="shared" si="226"/>
        <v>Green Bay</v>
      </c>
      <c r="AK913" t="str">
        <f t="shared" si="227"/>
        <v>WI</v>
      </c>
    </row>
    <row r="914" spans="18:37" x14ac:dyDescent="0.25">
      <c r="S914">
        <v>656</v>
      </c>
      <c r="T914">
        <f t="shared" si="223"/>
        <v>129</v>
      </c>
      <c r="U914">
        <f t="shared" si="228"/>
        <v>26053</v>
      </c>
      <c r="V914">
        <f t="shared" ca="1" si="229"/>
        <v>0</v>
      </c>
      <c r="W914">
        <v>224</v>
      </c>
      <c r="X914" t="str">
        <f t="shared" ca="1" si="230"/>
        <v/>
      </c>
      <c r="Y914" t="s">
        <v>32</v>
      </c>
      <c r="Z914">
        <f t="shared" ca="1" si="231"/>
        <v>0</v>
      </c>
      <c r="AA914" t="str">
        <f t="shared" ca="1" si="232"/>
        <v>SPPN</v>
      </c>
      <c r="AB914">
        <f t="shared" ca="1" si="233"/>
        <v>1</v>
      </c>
      <c r="AC914">
        <f t="shared" ca="1" si="234"/>
        <v>0</v>
      </c>
      <c r="AD914" t="str">
        <f t="shared" si="224"/>
        <v>4093RN153</v>
      </c>
      <c r="AE914">
        <f t="shared" ca="1" si="235"/>
        <v>0</v>
      </c>
      <c r="AF914" t="str">
        <f t="shared" ca="1" si="236"/>
        <v/>
      </c>
      <c r="AG914">
        <v>224</v>
      </c>
      <c r="AH914" t="s">
        <v>136</v>
      </c>
      <c r="AI914" t="str">
        <f t="shared" si="225"/>
        <v>Lutheran Home 25</v>
      </c>
      <c r="AJ914" t="str">
        <f t="shared" si="226"/>
        <v>Green Bay</v>
      </c>
      <c r="AK914" t="str">
        <f t="shared" si="227"/>
        <v>WI</v>
      </c>
    </row>
    <row r="915" spans="18:37" x14ac:dyDescent="0.25">
      <c r="R915">
        <v>1</v>
      </c>
      <c r="S915">
        <v>657</v>
      </c>
      <c r="T915">
        <f t="shared" ref="T915:T978" si="237">$H$14</f>
        <v>129</v>
      </c>
      <c r="U915">
        <f t="shared" si="228"/>
        <v>26053</v>
      </c>
      <c r="V915">
        <f t="shared" ca="1" si="229"/>
        <v>0</v>
      </c>
      <c r="W915">
        <v>225</v>
      </c>
      <c r="X915" t="str">
        <f t="shared" ca="1" si="230"/>
        <v/>
      </c>
      <c r="Y915" t="s">
        <v>9</v>
      </c>
      <c r="Z915">
        <f t="shared" ca="1" si="231"/>
        <v>0</v>
      </c>
      <c r="AA915" t="str">
        <f t="shared" ca="1" si="232"/>
        <v>SPPN</v>
      </c>
      <c r="AB915">
        <f t="shared" ca="1" si="233"/>
        <v>1</v>
      </c>
      <c r="AC915" t="str">
        <f t="shared" ca="1" si="234"/>
        <v/>
      </c>
      <c r="AD915" t="str">
        <f t="shared" ref="AD915:AD978" si="238">$H$5</f>
        <v>4093RN153</v>
      </c>
      <c r="AE915">
        <f t="shared" ca="1" si="235"/>
        <v>0</v>
      </c>
      <c r="AF915" t="str">
        <f t="shared" ca="1" si="236"/>
        <v/>
      </c>
      <c r="AG915">
        <v>225</v>
      </c>
      <c r="AH915" t="s">
        <v>136</v>
      </c>
      <c r="AI915" t="str">
        <f t="shared" ref="AI915:AI978" si="239">$H$6</f>
        <v>Lutheran Home 25</v>
      </c>
      <c r="AJ915" t="str">
        <f t="shared" ref="AJ915:AJ978" si="240">$H$7</f>
        <v>Green Bay</v>
      </c>
      <c r="AK915" t="str">
        <f t="shared" ref="AK915:AK978" si="241">$H$8</f>
        <v>WI</v>
      </c>
    </row>
    <row r="916" spans="18:37" x14ac:dyDescent="0.25">
      <c r="S916">
        <v>658</v>
      </c>
      <c r="T916">
        <f t="shared" si="237"/>
        <v>129</v>
      </c>
      <c r="U916">
        <f t="shared" ref="U916:U978" si="242">$H$2</f>
        <v>26053</v>
      </c>
      <c r="V916">
        <f t="shared" ref="V916:V978" ca="1" si="243">(OFFSET($B$19,INT((ROW(A898)-1)/4),0))</f>
        <v>0</v>
      </c>
      <c r="W916">
        <v>225</v>
      </c>
      <c r="X916" t="str">
        <f t="shared" ref="X916:X978" ca="1" si="244">IF((OFFSET($J$19,INT((ROW(A898)-1)/4),0))="JE","JE",IF((OFFSET($J$19,INT((ROW(A898)-1)/4),0))="Drilled","JC",""))</f>
        <v/>
      </c>
      <c r="Y916" t="s">
        <v>33</v>
      </c>
      <c r="Z916">
        <f t="shared" ref="Z916:Z978" ca="1" si="245">(OFFSET($F$19,INT((ROW(A898)-1)/4),0))</f>
        <v>0</v>
      </c>
      <c r="AA916" t="str">
        <f t="shared" ref="AA916:AA978" ca="1" si="246">IF((OFFSET($K$19,INT((ROW(A898)-1)/4),0))="Poplar","PAINT",IF((OFFSET($K$19,INT((ROW(A898)-1)/4),0))="Red Oak","SGO",IF((OFFSET($K$19,INT((ROW(A898)-1)/4),0))="Maple","SM","SPPN")))</f>
        <v>SPPN</v>
      </c>
      <c r="AB916">
        <f t="shared" ref="AB916:AB978" ca="1" si="247">(OFFSET($I$19,INT((ROW(A898)-1)/4),0))</f>
        <v>1</v>
      </c>
      <c r="AC916" t="str">
        <f t="shared" ref="AC916:AC978" ca="1" si="248">IF(OR(Y916="L",Y916="R"),(OFFSET($M$19,INT((ROW(A898)-1)/4),0)),IF(Y916="B",IF((OFFSET($A$19,INT((ROW(A898)-1)/4),0))="3 Sided Patio Door",0,(OFFSET($G$19,INT((ROW(A898)-1)/4),0))),(OFFSET($G$19,INT((ROW(A898)-1)/4),0))))</f>
        <v/>
      </c>
      <c r="AD916" t="str">
        <f t="shared" si="238"/>
        <v>4093RN153</v>
      </c>
      <c r="AE916">
        <f t="shared" ref="AE916:AE978" ca="1" si="249">(OFFSET($L$19,INT((ROW(A898)-1)/4),0))</f>
        <v>0</v>
      </c>
      <c r="AF916" t="str">
        <f t="shared" ref="AF916:AF978" ca="1" si="250">IF((OFFSET($A$19,INT((ROW(A898)-1)/4),0))="3 sided Patio door", "Unassemble","")</f>
        <v/>
      </c>
      <c r="AG916">
        <v>225</v>
      </c>
      <c r="AH916" t="s">
        <v>136</v>
      </c>
      <c r="AI916" t="str">
        <f t="shared" si="239"/>
        <v>Lutheran Home 25</v>
      </c>
      <c r="AJ916" t="str">
        <f t="shared" si="240"/>
        <v>Green Bay</v>
      </c>
      <c r="AK916" t="str">
        <f t="shared" si="241"/>
        <v>WI</v>
      </c>
    </row>
    <row r="917" spans="18:37" x14ac:dyDescent="0.25">
      <c r="S917">
        <v>659</v>
      </c>
      <c r="T917">
        <f t="shared" si="237"/>
        <v>129</v>
      </c>
      <c r="U917">
        <f t="shared" si="242"/>
        <v>26053</v>
      </c>
      <c r="V917">
        <f t="shared" ca="1" si="243"/>
        <v>0</v>
      </c>
      <c r="W917">
        <v>225</v>
      </c>
      <c r="X917" t="str">
        <f t="shared" ca="1" si="244"/>
        <v/>
      </c>
      <c r="Y917" t="s">
        <v>28</v>
      </c>
      <c r="Z917">
        <f t="shared" ca="1" si="245"/>
        <v>0</v>
      </c>
      <c r="AA917" t="str">
        <f t="shared" ca="1" si="246"/>
        <v>SPPN</v>
      </c>
      <c r="AB917">
        <f t="shared" ca="1" si="247"/>
        <v>1</v>
      </c>
      <c r="AC917">
        <f t="shared" ca="1" si="248"/>
        <v>0</v>
      </c>
      <c r="AD917" t="str">
        <f t="shared" si="238"/>
        <v>4093RN153</v>
      </c>
      <c r="AE917">
        <f t="shared" ca="1" si="249"/>
        <v>0</v>
      </c>
      <c r="AF917" t="str">
        <f t="shared" ca="1" si="250"/>
        <v/>
      </c>
      <c r="AG917">
        <v>225</v>
      </c>
      <c r="AH917" t="s">
        <v>136</v>
      </c>
      <c r="AI917" t="str">
        <f t="shared" si="239"/>
        <v>Lutheran Home 25</v>
      </c>
      <c r="AJ917" t="str">
        <f t="shared" si="240"/>
        <v>Green Bay</v>
      </c>
      <c r="AK917" t="str">
        <f t="shared" si="241"/>
        <v>WI</v>
      </c>
    </row>
    <row r="918" spans="18:37" x14ac:dyDescent="0.25">
      <c r="S918">
        <v>660</v>
      </c>
      <c r="T918">
        <f t="shared" si="237"/>
        <v>129</v>
      </c>
      <c r="U918">
        <f t="shared" si="242"/>
        <v>26053</v>
      </c>
      <c r="V918">
        <f t="shared" ca="1" si="243"/>
        <v>0</v>
      </c>
      <c r="W918">
        <v>225</v>
      </c>
      <c r="X918" t="str">
        <f t="shared" ca="1" si="244"/>
        <v/>
      </c>
      <c r="Y918" t="s">
        <v>32</v>
      </c>
      <c r="Z918">
        <f t="shared" ca="1" si="245"/>
        <v>0</v>
      </c>
      <c r="AA918" t="str">
        <f t="shared" ca="1" si="246"/>
        <v>SPPN</v>
      </c>
      <c r="AB918">
        <f t="shared" ca="1" si="247"/>
        <v>1</v>
      </c>
      <c r="AC918">
        <f t="shared" ca="1" si="248"/>
        <v>0</v>
      </c>
      <c r="AD918" t="str">
        <f t="shared" si="238"/>
        <v>4093RN153</v>
      </c>
      <c r="AE918">
        <f t="shared" ca="1" si="249"/>
        <v>0</v>
      </c>
      <c r="AF918" t="str">
        <f t="shared" ca="1" si="250"/>
        <v/>
      </c>
      <c r="AG918">
        <v>225</v>
      </c>
      <c r="AH918" t="s">
        <v>136</v>
      </c>
      <c r="AI918" t="str">
        <f t="shared" si="239"/>
        <v>Lutheran Home 25</v>
      </c>
      <c r="AJ918" t="str">
        <f t="shared" si="240"/>
        <v>Green Bay</v>
      </c>
      <c r="AK918" t="str">
        <f t="shared" si="241"/>
        <v>WI</v>
      </c>
    </row>
    <row r="919" spans="18:37" x14ac:dyDescent="0.25">
      <c r="R919">
        <v>1</v>
      </c>
      <c r="S919">
        <v>661</v>
      </c>
      <c r="T919">
        <f t="shared" si="237"/>
        <v>129</v>
      </c>
      <c r="U919">
        <f t="shared" si="242"/>
        <v>26053</v>
      </c>
      <c r="V919">
        <f t="shared" ca="1" si="243"/>
        <v>0</v>
      </c>
      <c r="W919">
        <v>226</v>
      </c>
      <c r="X919" t="str">
        <f t="shared" ca="1" si="244"/>
        <v/>
      </c>
      <c r="Y919" t="s">
        <v>9</v>
      </c>
      <c r="Z919">
        <f t="shared" ca="1" si="245"/>
        <v>0</v>
      </c>
      <c r="AA919" t="str">
        <f t="shared" ca="1" si="246"/>
        <v>SPPN</v>
      </c>
      <c r="AB919">
        <f t="shared" ca="1" si="247"/>
        <v>1</v>
      </c>
      <c r="AC919" t="str">
        <f t="shared" ca="1" si="248"/>
        <v/>
      </c>
      <c r="AD919" t="str">
        <f t="shared" si="238"/>
        <v>4093RN153</v>
      </c>
      <c r="AE919">
        <f t="shared" ca="1" si="249"/>
        <v>0</v>
      </c>
      <c r="AF919" t="str">
        <f t="shared" ca="1" si="250"/>
        <v/>
      </c>
      <c r="AG919">
        <v>226</v>
      </c>
      <c r="AH919" t="s">
        <v>136</v>
      </c>
      <c r="AI919" t="str">
        <f t="shared" si="239"/>
        <v>Lutheran Home 25</v>
      </c>
      <c r="AJ919" t="str">
        <f t="shared" si="240"/>
        <v>Green Bay</v>
      </c>
      <c r="AK919" t="str">
        <f t="shared" si="241"/>
        <v>WI</v>
      </c>
    </row>
    <row r="920" spans="18:37" x14ac:dyDescent="0.25">
      <c r="S920">
        <v>662</v>
      </c>
      <c r="T920">
        <f t="shared" si="237"/>
        <v>129</v>
      </c>
      <c r="U920">
        <f t="shared" si="242"/>
        <v>26053</v>
      </c>
      <c r="V920">
        <f t="shared" ca="1" si="243"/>
        <v>0</v>
      </c>
      <c r="W920">
        <v>226</v>
      </c>
      <c r="X920" t="str">
        <f t="shared" ca="1" si="244"/>
        <v/>
      </c>
      <c r="Y920" t="s">
        <v>33</v>
      </c>
      <c r="Z920">
        <f t="shared" ca="1" si="245"/>
        <v>0</v>
      </c>
      <c r="AA920" t="str">
        <f t="shared" ca="1" si="246"/>
        <v>SPPN</v>
      </c>
      <c r="AB920">
        <f t="shared" ca="1" si="247"/>
        <v>1</v>
      </c>
      <c r="AC920" t="str">
        <f t="shared" ca="1" si="248"/>
        <v/>
      </c>
      <c r="AD920" t="str">
        <f t="shared" si="238"/>
        <v>4093RN153</v>
      </c>
      <c r="AE920">
        <f t="shared" ca="1" si="249"/>
        <v>0</v>
      </c>
      <c r="AF920" t="str">
        <f t="shared" ca="1" si="250"/>
        <v/>
      </c>
      <c r="AG920">
        <v>226</v>
      </c>
      <c r="AH920" t="s">
        <v>136</v>
      </c>
      <c r="AI920" t="str">
        <f t="shared" si="239"/>
        <v>Lutheran Home 25</v>
      </c>
      <c r="AJ920" t="str">
        <f t="shared" si="240"/>
        <v>Green Bay</v>
      </c>
      <c r="AK920" t="str">
        <f t="shared" si="241"/>
        <v>WI</v>
      </c>
    </row>
    <row r="921" spans="18:37" x14ac:dyDescent="0.25">
      <c r="S921">
        <v>663</v>
      </c>
      <c r="T921">
        <f t="shared" si="237"/>
        <v>129</v>
      </c>
      <c r="U921">
        <f t="shared" si="242"/>
        <v>26053</v>
      </c>
      <c r="V921">
        <f t="shared" ca="1" si="243"/>
        <v>0</v>
      </c>
      <c r="W921">
        <v>226</v>
      </c>
      <c r="X921" t="str">
        <f t="shared" ca="1" si="244"/>
        <v/>
      </c>
      <c r="Y921" t="s">
        <v>28</v>
      </c>
      <c r="Z921">
        <f t="shared" ca="1" si="245"/>
        <v>0</v>
      </c>
      <c r="AA921" t="str">
        <f t="shared" ca="1" si="246"/>
        <v>SPPN</v>
      </c>
      <c r="AB921">
        <f t="shared" ca="1" si="247"/>
        <v>1</v>
      </c>
      <c r="AC921">
        <f t="shared" ca="1" si="248"/>
        <v>0</v>
      </c>
      <c r="AD921" t="str">
        <f t="shared" si="238"/>
        <v>4093RN153</v>
      </c>
      <c r="AE921">
        <f t="shared" ca="1" si="249"/>
        <v>0</v>
      </c>
      <c r="AF921" t="str">
        <f t="shared" ca="1" si="250"/>
        <v/>
      </c>
      <c r="AG921">
        <v>226</v>
      </c>
      <c r="AH921" t="s">
        <v>136</v>
      </c>
      <c r="AI921" t="str">
        <f t="shared" si="239"/>
        <v>Lutheran Home 25</v>
      </c>
      <c r="AJ921" t="str">
        <f t="shared" si="240"/>
        <v>Green Bay</v>
      </c>
      <c r="AK921" t="str">
        <f t="shared" si="241"/>
        <v>WI</v>
      </c>
    </row>
    <row r="922" spans="18:37" x14ac:dyDescent="0.25">
      <c r="S922">
        <v>664</v>
      </c>
      <c r="T922">
        <f t="shared" si="237"/>
        <v>129</v>
      </c>
      <c r="U922">
        <f t="shared" si="242"/>
        <v>26053</v>
      </c>
      <c r="V922">
        <f t="shared" ca="1" si="243"/>
        <v>0</v>
      </c>
      <c r="W922">
        <v>226</v>
      </c>
      <c r="X922" t="str">
        <f t="shared" ca="1" si="244"/>
        <v/>
      </c>
      <c r="Y922" t="s">
        <v>32</v>
      </c>
      <c r="Z922">
        <f t="shared" ca="1" si="245"/>
        <v>0</v>
      </c>
      <c r="AA922" t="str">
        <f t="shared" ca="1" si="246"/>
        <v>SPPN</v>
      </c>
      <c r="AB922">
        <f t="shared" ca="1" si="247"/>
        <v>1</v>
      </c>
      <c r="AC922">
        <f t="shared" ca="1" si="248"/>
        <v>0</v>
      </c>
      <c r="AD922" t="str">
        <f t="shared" si="238"/>
        <v>4093RN153</v>
      </c>
      <c r="AE922">
        <f t="shared" ca="1" si="249"/>
        <v>0</v>
      </c>
      <c r="AF922" t="str">
        <f t="shared" ca="1" si="250"/>
        <v/>
      </c>
      <c r="AG922">
        <v>226</v>
      </c>
      <c r="AH922" t="s">
        <v>136</v>
      </c>
      <c r="AI922" t="str">
        <f t="shared" si="239"/>
        <v>Lutheran Home 25</v>
      </c>
      <c r="AJ922" t="str">
        <f t="shared" si="240"/>
        <v>Green Bay</v>
      </c>
      <c r="AK922" t="str">
        <f t="shared" si="241"/>
        <v>WI</v>
      </c>
    </row>
    <row r="923" spans="18:37" x14ac:dyDescent="0.25">
      <c r="R923">
        <v>1</v>
      </c>
      <c r="S923">
        <v>665</v>
      </c>
      <c r="T923">
        <f t="shared" si="237"/>
        <v>129</v>
      </c>
      <c r="U923">
        <f t="shared" si="242"/>
        <v>26053</v>
      </c>
      <c r="V923">
        <f t="shared" ca="1" si="243"/>
        <v>0</v>
      </c>
      <c r="W923">
        <v>227</v>
      </c>
      <c r="X923" t="str">
        <f t="shared" ca="1" si="244"/>
        <v/>
      </c>
      <c r="Y923" t="s">
        <v>9</v>
      </c>
      <c r="Z923">
        <f t="shared" ca="1" si="245"/>
        <v>0</v>
      </c>
      <c r="AA923" t="str">
        <f t="shared" ca="1" si="246"/>
        <v>SPPN</v>
      </c>
      <c r="AB923">
        <f t="shared" ca="1" si="247"/>
        <v>1</v>
      </c>
      <c r="AC923" t="str">
        <f t="shared" ca="1" si="248"/>
        <v/>
      </c>
      <c r="AD923" t="str">
        <f t="shared" si="238"/>
        <v>4093RN153</v>
      </c>
      <c r="AE923">
        <f t="shared" ca="1" si="249"/>
        <v>0</v>
      </c>
      <c r="AF923" t="str">
        <f t="shared" ca="1" si="250"/>
        <v/>
      </c>
      <c r="AG923">
        <v>227</v>
      </c>
      <c r="AH923" t="s">
        <v>136</v>
      </c>
      <c r="AI923" t="str">
        <f t="shared" si="239"/>
        <v>Lutheran Home 25</v>
      </c>
      <c r="AJ923" t="str">
        <f t="shared" si="240"/>
        <v>Green Bay</v>
      </c>
      <c r="AK923" t="str">
        <f t="shared" si="241"/>
        <v>WI</v>
      </c>
    </row>
    <row r="924" spans="18:37" x14ac:dyDescent="0.25">
      <c r="S924">
        <v>666</v>
      </c>
      <c r="T924">
        <f t="shared" si="237"/>
        <v>129</v>
      </c>
      <c r="U924">
        <f t="shared" si="242"/>
        <v>26053</v>
      </c>
      <c r="V924">
        <f t="shared" ca="1" si="243"/>
        <v>0</v>
      </c>
      <c r="W924">
        <v>227</v>
      </c>
      <c r="X924" t="str">
        <f t="shared" ca="1" si="244"/>
        <v/>
      </c>
      <c r="Y924" t="s">
        <v>33</v>
      </c>
      <c r="Z924">
        <f t="shared" ca="1" si="245"/>
        <v>0</v>
      </c>
      <c r="AA924" t="str">
        <f t="shared" ca="1" si="246"/>
        <v>SPPN</v>
      </c>
      <c r="AB924">
        <f t="shared" ca="1" si="247"/>
        <v>1</v>
      </c>
      <c r="AC924" t="str">
        <f t="shared" ca="1" si="248"/>
        <v/>
      </c>
      <c r="AD924" t="str">
        <f t="shared" si="238"/>
        <v>4093RN153</v>
      </c>
      <c r="AE924">
        <f t="shared" ca="1" si="249"/>
        <v>0</v>
      </c>
      <c r="AF924" t="str">
        <f t="shared" ca="1" si="250"/>
        <v/>
      </c>
      <c r="AG924">
        <v>227</v>
      </c>
      <c r="AH924" t="s">
        <v>136</v>
      </c>
      <c r="AI924" t="str">
        <f t="shared" si="239"/>
        <v>Lutheran Home 25</v>
      </c>
      <c r="AJ924" t="str">
        <f t="shared" si="240"/>
        <v>Green Bay</v>
      </c>
      <c r="AK924" t="str">
        <f t="shared" si="241"/>
        <v>WI</v>
      </c>
    </row>
    <row r="925" spans="18:37" x14ac:dyDescent="0.25">
      <c r="S925">
        <v>667</v>
      </c>
      <c r="T925">
        <f t="shared" si="237"/>
        <v>129</v>
      </c>
      <c r="U925">
        <f t="shared" si="242"/>
        <v>26053</v>
      </c>
      <c r="V925">
        <f t="shared" ca="1" si="243"/>
        <v>0</v>
      </c>
      <c r="W925">
        <v>227</v>
      </c>
      <c r="X925" t="str">
        <f t="shared" ca="1" si="244"/>
        <v/>
      </c>
      <c r="Y925" t="s">
        <v>28</v>
      </c>
      <c r="Z925">
        <f t="shared" ca="1" si="245"/>
        <v>0</v>
      </c>
      <c r="AA925" t="str">
        <f t="shared" ca="1" si="246"/>
        <v>SPPN</v>
      </c>
      <c r="AB925">
        <f t="shared" ca="1" si="247"/>
        <v>1</v>
      </c>
      <c r="AC925">
        <f t="shared" ca="1" si="248"/>
        <v>0</v>
      </c>
      <c r="AD925" t="str">
        <f t="shared" si="238"/>
        <v>4093RN153</v>
      </c>
      <c r="AE925">
        <f t="shared" ca="1" si="249"/>
        <v>0</v>
      </c>
      <c r="AF925" t="str">
        <f t="shared" ca="1" si="250"/>
        <v/>
      </c>
      <c r="AG925">
        <v>227</v>
      </c>
      <c r="AH925" t="s">
        <v>136</v>
      </c>
      <c r="AI925" t="str">
        <f t="shared" si="239"/>
        <v>Lutheran Home 25</v>
      </c>
      <c r="AJ925" t="str">
        <f t="shared" si="240"/>
        <v>Green Bay</v>
      </c>
      <c r="AK925" t="str">
        <f t="shared" si="241"/>
        <v>WI</v>
      </c>
    </row>
    <row r="926" spans="18:37" x14ac:dyDescent="0.25">
      <c r="S926">
        <v>668</v>
      </c>
      <c r="T926">
        <f t="shared" si="237"/>
        <v>129</v>
      </c>
      <c r="U926">
        <f t="shared" si="242"/>
        <v>26053</v>
      </c>
      <c r="V926">
        <f t="shared" ca="1" si="243"/>
        <v>0</v>
      </c>
      <c r="W926">
        <v>227</v>
      </c>
      <c r="X926" t="str">
        <f t="shared" ca="1" si="244"/>
        <v/>
      </c>
      <c r="Y926" t="s">
        <v>32</v>
      </c>
      <c r="Z926">
        <f t="shared" ca="1" si="245"/>
        <v>0</v>
      </c>
      <c r="AA926" t="str">
        <f t="shared" ca="1" si="246"/>
        <v>SPPN</v>
      </c>
      <c r="AB926">
        <f t="shared" ca="1" si="247"/>
        <v>1</v>
      </c>
      <c r="AC926">
        <f t="shared" ca="1" si="248"/>
        <v>0</v>
      </c>
      <c r="AD926" t="str">
        <f t="shared" si="238"/>
        <v>4093RN153</v>
      </c>
      <c r="AE926">
        <f t="shared" ca="1" si="249"/>
        <v>0</v>
      </c>
      <c r="AF926" t="str">
        <f t="shared" ca="1" si="250"/>
        <v/>
      </c>
      <c r="AG926">
        <v>227</v>
      </c>
      <c r="AH926" t="s">
        <v>136</v>
      </c>
      <c r="AI926" t="str">
        <f t="shared" si="239"/>
        <v>Lutheran Home 25</v>
      </c>
      <c r="AJ926" t="str">
        <f t="shared" si="240"/>
        <v>Green Bay</v>
      </c>
      <c r="AK926" t="str">
        <f t="shared" si="241"/>
        <v>WI</v>
      </c>
    </row>
    <row r="927" spans="18:37" x14ac:dyDescent="0.25">
      <c r="R927">
        <v>1</v>
      </c>
      <c r="S927">
        <v>669</v>
      </c>
      <c r="T927">
        <f t="shared" si="237"/>
        <v>129</v>
      </c>
      <c r="U927">
        <f t="shared" si="242"/>
        <v>26053</v>
      </c>
      <c r="V927">
        <f t="shared" ca="1" si="243"/>
        <v>0</v>
      </c>
      <c r="W927">
        <v>228</v>
      </c>
      <c r="X927" t="str">
        <f t="shared" ca="1" si="244"/>
        <v/>
      </c>
      <c r="Y927" t="s">
        <v>9</v>
      </c>
      <c r="Z927">
        <f t="shared" ca="1" si="245"/>
        <v>0</v>
      </c>
      <c r="AA927" t="str">
        <f t="shared" ca="1" si="246"/>
        <v>SPPN</v>
      </c>
      <c r="AB927">
        <f t="shared" ca="1" si="247"/>
        <v>1</v>
      </c>
      <c r="AC927" t="str">
        <f t="shared" ca="1" si="248"/>
        <v/>
      </c>
      <c r="AD927" t="str">
        <f t="shared" si="238"/>
        <v>4093RN153</v>
      </c>
      <c r="AE927">
        <f t="shared" ca="1" si="249"/>
        <v>0</v>
      </c>
      <c r="AF927" t="str">
        <f t="shared" ca="1" si="250"/>
        <v/>
      </c>
      <c r="AG927">
        <v>228</v>
      </c>
      <c r="AH927" t="s">
        <v>136</v>
      </c>
      <c r="AI927" t="str">
        <f t="shared" si="239"/>
        <v>Lutheran Home 25</v>
      </c>
      <c r="AJ927" t="str">
        <f t="shared" si="240"/>
        <v>Green Bay</v>
      </c>
      <c r="AK927" t="str">
        <f t="shared" si="241"/>
        <v>WI</v>
      </c>
    </row>
    <row r="928" spans="18:37" x14ac:dyDescent="0.25">
      <c r="S928">
        <v>670</v>
      </c>
      <c r="T928">
        <f t="shared" si="237"/>
        <v>129</v>
      </c>
      <c r="U928">
        <f t="shared" si="242"/>
        <v>26053</v>
      </c>
      <c r="V928">
        <f t="shared" ca="1" si="243"/>
        <v>0</v>
      </c>
      <c r="W928">
        <v>228</v>
      </c>
      <c r="X928" t="str">
        <f t="shared" ca="1" si="244"/>
        <v/>
      </c>
      <c r="Y928" t="s">
        <v>33</v>
      </c>
      <c r="Z928">
        <f t="shared" ca="1" si="245"/>
        <v>0</v>
      </c>
      <c r="AA928" t="str">
        <f t="shared" ca="1" si="246"/>
        <v>SPPN</v>
      </c>
      <c r="AB928">
        <f t="shared" ca="1" si="247"/>
        <v>1</v>
      </c>
      <c r="AC928" t="str">
        <f t="shared" ca="1" si="248"/>
        <v/>
      </c>
      <c r="AD928" t="str">
        <f t="shared" si="238"/>
        <v>4093RN153</v>
      </c>
      <c r="AE928">
        <f t="shared" ca="1" si="249"/>
        <v>0</v>
      </c>
      <c r="AF928" t="str">
        <f t="shared" ca="1" si="250"/>
        <v/>
      </c>
      <c r="AG928">
        <v>228</v>
      </c>
      <c r="AH928" t="s">
        <v>136</v>
      </c>
      <c r="AI928" t="str">
        <f t="shared" si="239"/>
        <v>Lutheran Home 25</v>
      </c>
      <c r="AJ928" t="str">
        <f t="shared" si="240"/>
        <v>Green Bay</v>
      </c>
      <c r="AK928" t="str">
        <f t="shared" si="241"/>
        <v>WI</v>
      </c>
    </row>
    <row r="929" spans="18:37" x14ac:dyDescent="0.25">
      <c r="S929">
        <v>671</v>
      </c>
      <c r="T929">
        <f t="shared" si="237"/>
        <v>129</v>
      </c>
      <c r="U929">
        <f t="shared" si="242"/>
        <v>26053</v>
      </c>
      <c r="V929">
        <f t="shared" ca="1" si="243"/>
        <v>0</v>
      </c>
      <c r="W929">
        <v>228</v>
      </c>
      <c r="X929" t="str">
        <f t="shared" ca="1" si="244"/>
        <v/>
      </c>
      <c r="Y929" t="s">
        <v>28</v>
      </c>
      <c r="Z929">
        <f t="shared" ca="1" si="245"/>
        <v>0</v>
      </c>
      <c r="AA929" t="str">
        <f t="shared" ca="1" si="246"/>
        <v>SPPN</v>
      </c>
      <c r="AB929">
        <f t="shared" ca="1" si="247"/>
        <v>1</v>
      </c>
      <c r="AC929">
        <f t="shared" ca="1" si="248"/>
        <v>0</v>
      </c>
      <c r="AD929" t="str">
        <f t="shared" si="238"/>
        <v>4093RN153</v>
      </c>
      <c r="AE929">
        <f t="shared" ca="1" si="249"/>
        <v>0</v>
      </c>
      <c r="AF929" t="str">
        <f t="shared" ca="1" si="250"/>
        <v/>
      </c>
      <c r="AG929">
        <v>228</v>
      </c>
      <c r="AH929" t="s">
        <v>136</v>
      </c>
      <c r="AI929" t="str">
        <f t="shared" si="239"/>
        <v>Lutheran Home 25</v>
      </c>
      <c r="AJ929" t="str">
        <f t="shared" si="240"/>
        <v>Green Bay</v>
      </c>
      <c r="AK929" t="str">
        <f t="shared" si="241"/>
        <v>WI</v>
      </c>
    </row>
    <row r="930" spans="18:37" x14ac:dyDescent="0.25">
      <c r="S930">
        <v>672</v>
      </c>
      <c r="T930">
        <f t="shared" si="237"/>
        <v>129</v>
      </c>
      <c r="U930">
        <f t="shared" si="242"/>
        <v>26053</v>
      </c>
      <c r="V930">
        <f t="shared" ca="1" si="243"/>
        <v>0</v>
      </c>
      <c r="W930">
        <v>228</v>
      </c>
      <c r="X930" t="str">
        <f t="shared" ca="1" si="244"/>
        <v/>
      </c>
      <c r="Y930" t="s">
        <v>32</v>
      </c>
      <c r="Z930">
        <f t="shared" ca="1" si="245"/>
        <v>0</v>
      </c>
      <c r="AA930" t="str">
        <f t="shared" ca="1" si="246"/>
        <v>SPPN</v>
      </c>
      <c r="AB930">
        <f t="shared" ca="1" si="247"/>
        <v>1</v>
      </c>
      <c r="AC930">
        <f t="shared" ca="1" si="248"/>
        <v>0</v>
      </c>
      <c r="AD930" t="str">
        <f t="shared" si="238"/>
        <v>4093RN153</v>
      </c>
      <c r="AE930">
        <f t="shared" ca="1" si="249"/>
        <v>0</v>
      </c>
      <c r="AF930" t="str">
        <f t="shared" ca="1" si="250"/>
        <v/>
      </c>
      <c r="AG930">
        <v>228</v>
      </c>
      <c r="AH930" t="s">
        <v>136</v>
      </c>
      <c r="AI930" t="str">
        <f t="shared" si="239"/>
        <v>Lutheran Home 25</v>
      </c>
      <c r="AJ930" t="str">
        <f t="shared" si="240"/>
        <v>Green Bay</v>
      </c>
      <c r="AK930" t="str">
        <f t="shared" si="241"/>
        <v>WI</v>
      </c>
    </row>
    <row r="931" spans="18:37" x14ac:dyDescent="0.25">
      <c r="R931">
        <v>1</v>
      </c>
      <c r="S931">
        <v>673</v>
      </c>
      <c r="T931">
        <f t="shared" si="237"/>
        <v>129</v>
      </c>
      <c r="U931">
        <f t="shared" si="242"/>
        <v>26053</v>
      </c>
      <c r="V931">
        <f t="shared" ca="1" si="243"/>
        <v>0</v>
      </c>
      <c r="W931">
        <v>229</v>
      </c>
      <c r="X931" t="str">
        <f t="shared" ca="1" si="244"/>
        <v/>
      </c>
      <c r="Y931" t="s">
        <v>9</v>
      </c>
      <c r="Z931">
        <f t="shared" ca="1" si="245"/>
        <v>0</v>
      </c>
      <c r="AA931" t="str">
        <f t="shared" ca="1" si="246"/>
        <v>SPPN</v>
      </c>
      <c r="AB931">
        <f t="shared" ca="1" si="247"/>
        <v>1</v>
      </c>
      <c r="AC931" t="str">
        <f t="shared" ca="1" si="248"/>
        <v/>
      </c>
      <c r="AD931" t="str">
        <f t="shared" si="238"/>
        <v>4093RN153</v>
      </c>
      <c r="AE931">
        <f t="shared" ca="1" si="249"/>
        <v>0</v>
      </c>
      <c r="AF931" t="str">
        <f t="shared" ca="1" si="250"/>
        <v/>
      </c>
      <c r="AG931">
        <v>229</v>
      </c>
      <c r="AH931" t="s">
        <v>136</v>
      </c>
      <c r="AI931" t="str">
        <f t="shared" si="239"/>
        <v>Lutheran Home 25</v>
      </c>
      <c r="AJ931" t="str">
        <f t="shared" si="240"/>
        <v>Green Bay</v>
      </c>
      <c r="AK931" t="str">
        <f t="shared" si="241"/>
        <v>WI</v>
      </c>
    </row>
    <row r="932" spans="18:37" x14ac:dyDescent="0.25">
      <c r="S932">
        <v>674</v>
      </c>
      <c r="T932">
        <f t="shared" si="237"/>
        <v>129</v>
      </c>
      <c r="U932">
        <f t="shared" si="242"/>
        <v>26053</v>
      </c>
      <c r="V932">
        <f t="shared" ca="1" si="243"/>
        <v>0</v>
      </c>
      <c r="W932">
        <v>229</v>
      </c>
      <c r="X932" t="str">
        <f t="shared" ca="1" si="244"/>
        <v/>
      </c>
      <c r="Y932" t="s">
        <v>33</v>
      </c>
      <c r="Z932">
        <f t="shared" ca="1" si="245"/>
        <v>0</v>
      </c>
      <c r="AA932" t="str">
        <f t="shared" ca="1" si="246"/>
        <v>SPPN</v>
      </c>
      <c r="AB932">
        <f t="shared" ca="1" si="247"/>
        <v>1</v>
      </c>
      <c r="AC932" t="str">
        <f t="shared" ca="1" si="248"/>
        <v/>
      </c>
      <c r="AD932" t="str">
        <f t="shared" si="238"/>
        <v>4093RN153</v>
      </c>
      <c r="AE932">
        <f t="shared" ca="1" si="249"/>
        <v>0</v>
      </c>
      <c r="AF932" t="str">
        <f t="shared" ca="1" si="250"/>
        <v/>
      </c>
      <c r="AG932">
        <v>229</v>
      </c>
      <c r="AH932" t="s">
        <v>136</v>
      </c>
      <c r="AI932" t="str">
        <f t="shared" si="239"/>
        <v>Lutheran Home 25</v>
      </c>
      <c r="AJ932" t="str">
        <f t="shared" si="240"/>
        <v>Green Bay</v>
      </c>
      <c r="AK932" t="str">
        <f t="shared" si="241"/>
        <v>WI</v>
      </c>
    </row>
    <row r="933" spans="18:37" x14ac:dyDescent="0.25">
      <c r="S933">
        <v>675</v>
      </c>
      <c r="T933">
        <f t="shared" si="237"/>
        <v>129</v>
      </c>
      <c r="U933">
        <f t="shared" si="242"/>
        <v>26053</v>
      </c>
      <c r="V933">
        <f t="shared" ca="1" si="243"/>
        <v>0</v>
      </c>
      <c r="W933">
        <v>229</v>
      </c>
      <c r="X933" t="str">
        <f t="shared" ca="1" si="244"/>
        <v/>
      </c>
      <c r="Y933" t="s">
        <v>28</v>
      </c>
      <c r="Z933">
        <f t="shared" ca="1" si="245"/>
        <v>0</v>
      </c>
      <c r="AA933" t="str">
        <f t="shared" ca="1" si="246"/>
        <v>SPPN</v>
      </c>
      <c r="AB933">
        <f t="shared" ca="1" si="247"/>
        <v>1</v>
      </c>
      <c r="AC933">
        <f t="shared" ca="1" si="248"/>
        <v>0</v>
      </c>
      <c r="AD933" t="str">
        <f t="shared" si="238"/>
        <v>4093RN153</v>
      </c>
      <c r="AE933">
        <f t="shared" ca="1" si="249"/>
        <v>0</v>
      </c>
      <c r="AF933" t="str">
        <f t="shared" ca="1" si="250"/>
        <v/>
      </c>
      <c r="AG933">
        <v>229</v>
      </c>
      <c r="AH933" t="s">
        <v>136</v>
      </c>
      <c r="AI933" t="str">
        <f t="shared" si="239"/>
        <v>Lutheran Home 25</v>
      </c>
      <c r="AJ933" t="str">
        <f t="shared" si="240"/>
        <v>Green Bay</v>
      </c>
      <c r="AK933" t="str">
        <f t="shared" si="241"/>
        <v>WI</v>
      </c>
    </row>
    <row r="934" spans="18:37" x14ac:dyDescent="0.25">
      <c r="S934">
        <v>676</v>
      </c>
      <c r="T934">
        <f t="shared" si="237"/>
        <v>129</v>
      </c>
      <c r="U934">
        <f t="shared" si="242"/>
        <v>26053</v>
      </c>
      <c r="V934">
        <f t="shared" ca="1" si="243"/>
        <v>0</v>
      </c>
      <c r="W934">
        <v>229</v>
      </c>
      <c r="X934" t="str">
        <f t="shared" ca="1" si="244"/>
        <v/>
      </c>
      <c r="Y934" t="s">
        <v>32</v>
      </c>
      <c r="Z934">
        <f t="shared" ca="1" si="245"/>
        <v>0</v>
      </c>
      <c r="AA934" t="str">
        <f t="shared" ca="1" si="246"/>
        <v>SPPN</v>
      </c>
      <c r="AB934">
        <f t="shared" ca="1" si="247"/>
        <v>1</v>
      </c>
      <c r="AC934">
        <f t="shared" ca="1" si="248"/>
        <v>0</v>
      </c>
      <c r="AD934" t="str">
        <f t="shared" si="238"/>
        <v>4093RN153</v>
      </c>
      <c r="AE934">
        <f t="shared" ca="1" si="249"/>
        <v>0</v>
      </c>
      <c r="AF934" t="str">
        <f t="shared" ca="1" si="250"/>
        <v/>
      </c>
      <c r="AG934">
        <v>229</v>
      </c>
      <c r="AH934" t="s">
        <v>136</v>
      </c>
      <c r="AI934" t="str">
        <f t="shared" si="239"/>
        <v>Lutheran Home 25</v>
      </c>
      <c r="AJ934" t="str">
        <f t="shared" si="240"/>
        <v>Green Bay</v>
      </c>
      <c r="AK934" t="str">
        <f t="shared" si="241"/>
        <v>WI</v>
      </c>
    </row>
    <row r="935" spans="18:37" x14ac:dyDescent="0.25">
      <c r="R935">
        <v>1</v>
      </c>
      <c r="S935">
        <v>677</v>
      </c>
      <c r="T935">
        <f t="shared" si="237"/>
        <v>129</v>
      </c>
      <c r="U935">
        <f t="shared" si="242"/>
        <v>26053</v>
      </c>
      <c r="V935">
        <f t="shared" ca="1" si="243"/>
        <v>0</v>
      </c>
      <c r="W935">
        <v>230</v>
      </c>
      <c r="X935" t="str">
        <f t="shared" ca="1" si="244"/>
        <v/>
      </c>
      <c r="Y935" t="s">
        <v>9</v>
      </c>
      <c r="Z935">
        <f t="shared" ca="1" si="245"/>
        <v>0</v>
      </c>
      <c r="AA935" t="str">
        <f t="shared" ca="1" si="246"/>
        <v>SPPN</v>
      </c>
      <c r="AB935">
        <f t="shared" ca="1" si="247"/>
        <v>1</v>
      </c>
      <c r="AC935" t="str">
        <f t="shared" ca="1" si="248"/>
        <v/>
      </c>
      <c r="AD935" t="str">
        <f t="shared" si="238"/>
        <v>4093RN153</v>
      </c>
      <c r="AE935">
        <f t="shared" ca="1" si="249"/>
        <v>0</v>
      </c>
      <c r="AF935" t="str">
        <f t="shared" ca="1" si="250"/>
        <v/>
      </c>
      <c r="AG935">
        <v>230</v>
      </c>
      <c r="AH935" t="s">
        <v>136</v>
      </c>
      <c r="AI935" t="str">
        <f t="shared" si="239"/>
        <v>Lutheran Home 25</v>
      </c>
      <c r="AJ935" t="str">
        <f t="shared" si="240"/>
        <v>Green Bay</v>
      </c>
      <c r="AK935" t="str">
        <f t="shared" si="241"/>
        <v>WI</v>
      </c>
    </row>
    <row r="936" spans="18:37" x14ac:dyDescent="0.25">
      <c r="S936">
        <v>678</v>
      </c>
      <c r="T936">
        <f t="shared" si="237"/>
        <v>129</v>
      </c>
      <c r="U936">
        <f t="shared" si="242"/>
        <v>26053</v>
      </c>
      <c r="V936">
        <f t="shared" ca="1" si="243"/>
        <v>0</v>
      </c>
      <c r="W936">
        <v>230</v>
      </c>
      <c r="X936" t="str">
        <f t="shared" ca="1" si="244"/>
        <v/>
      </c>
      <c r="Y936" t="s">
        <v>33</v>
      </c>
      <c r="Z936">
        <f t="shared" ca="1" si="245"/>
        <v>0</v>
      </c>
      <c r="AA936" t="str">
        <f t="shared" ca="1" si="246"/>
        <v>SPPN</v>
      </c>
      <c r="AB936">
        <f t="shared" ca="1" si="247"/>
        <v>1</v>
      </c>
      <c r="AC936" t="str">
        <f t="shared" ca="1" si="248"/>
        <v/>
      </c>
      <c r="AD936" t="str">
        <f t="shared" si="238"/>
        <v>4093RN153</v>
      </c>
      <c r="AE936">
        <f t="shared" ca="1" si="249"/>
        <v>0</v>
      </c>
      <c r="AF936" t="str">
        <f t="shared" ca="1" si="250"/>
        <v/>
      </c>
      <c r="AG936">
        <v>230</v>
      </c>
      <c r="AH936" t="s">
        <v>136</v>
      </c>
      <c r="AI936" t="str">
        <f t="shared" si="239"/>
        <v>Lutheran Home 25</v>
      </c>
      <c r="AJ936" t="str">
        <f t="shared" si="240"/>
        <v>Green Bay</v>
      </c>
      <c r="AK936" t="str">
        <f t="shared" si="241"/>
        <v>WI</v>
      </c>
    </row>
    <row r="937" spans="18:37" x14ac:dyDescent="0.25">
      <c r="S937">
        <v>679</v>
      </c>
      <c r="T937">
        <f t="shared" si="237"/>
        <v>129</v>
      </c>
      <c r="U937">
        <f t="shared" si="242"/>
        <v>26053</v>
      </c>
      <c r="V937">
        <f t="shared" ca="1" si="243"/>
        <v>0</v>
      </c>
      <c r="W937">
        <v>230</v>
      </c>
      <c r="X937" t="str">
        <f t="shared" ca="1" si="244"/>
        <v/>
      </c>
      <c r="Y937" t="s">
        <v>28</v>
      </c>
      <c r="Z937">
        <f t="shared" ca="1" si="245"/>
        <v>0</v>
      </c>
      <c r="AA937" t="str">
        <f t="shared" ca="1" si="246"/>
        <v>SPPN</v>
      </c>
      <c r="AB937">
        <f t="shared" ca="1" si="247"/>
        <v>1</v>
      </c>
      <c r="AC937">
        <f t="shared" ca="1" si="248"/>
        <v>0</v>
      </c>
      <c r="AD937" t="str">
        <f t="shared" si="238"/>
        <v>4093RN153</v>
      </c>
      <c r="AE937">
        <f t="shared" ca="1" si="249"/>
        <v>0</v>
      </c>
      <c r="AF937" t="str">
        <f t="shared" ca="1" si="250"/>
        <v/>
      </c>
      <c r="AG937">
        <v>230</v>
      </c>
      <c r="AH937" t="s">
        <v>136</v>
      </c>
      <c r="AI937" t="str">
        <f t="shared" si="239"/>
        <v>Lutheran Home 25</v>
      </c>
      <c r="AJ937" t="str">
        <f t="shared" si="240"/>
        <v>Green Bay</v>
      </c>
      <c r="AK937" t="str">
        <f t="shared" si="241"/>
        <v>WI</v>
      </c>
    </row>
    <row r="938" spans="18:37" x14ac:dyDescent="0.25">
      <c r="S938">
        <v>680</v>
      </c>
      <c r="T938">
        <f t="shared" si="237"/>
        <v>129</v>
      </c>
      <c r="U938">
        <f t="shared" si="242"/>
        <v>26053</v>
      </c>
      <c r="V938">
        <f t="shared" ca="1" si="243"/>
        <v>0</v>
      </c>
      <c r="W938">
        <v>230</v>
      </c>
      <c r="X938" t="str">
        <f t="shared" ca="1" si="244"/>
        <v/>
      </c>
      <c r="Y938" t="s">
        <v>32</v>
      </c>
      <c r="Z938">
        <f t="shared" ca="1" si="245"/>
        <v>0</v>
      </c>
      <c r="AA938" t="str">
        <f t="shared" ca="1" si="246"/>
        <v>SPPN</v>
      </c>
      <c r="AB938">
        <f t="shared" ca="1" si="247"/>
        <v>1</v>
      </c>
      <c r="AC938">
        <f t="shared" ca="1" si="248"/>
        <v>0</v>
      </c>
      <c r="AD938" t="str">
        <f t="shared" si="238"/>
        <v>4093RN153</v>
      </c>
      <c r="AE938">
        <f t="shared" ca="1" si="249"/>
        <v>0</v>
      </c>
      <c r="AF938" t="str">
        <f t="shared" ca="1" si="250"/>
        <v/>
      </c>
      <c r="AG938">
        <v>230</v>
      </c>
      <c r="AH938" t="s">
        <v>136</v>
      </c>
      <c r="AI938" t="str">
        <f t="shared" si="239"/>
        <v>Lutheran Home 25</v>
      </c>
      <c r="AJ938" t="str">
        <f t="shared" si="240"/>
        <v>Green Bay</v>
      </c>
      <c r="AK938" t="str">
        <f t="shared" si="241"/>
        <v>WI</v>
      </c>
    </row>
    <row r="939" spans="18:37" x14ac:dyDescent="0.25">
      <c r="R939">
        <v>1</v>
      </c>
      <c r="S939">
        <v>681</v>
      </c>
      <c r="T939">
        <f t="shared" si="237"/>
        <v>129</v>
      </c>
      <c r="U939">
        <f t="shared" si="242"/>
        <v>26053</v>
      </c>
      <c r="V939">
        <f t="shared" ca="1" si="243"/>
        <v>0</v>
      </c>
      <c r="W939">
        <v>231</v>
      </c>
      <c r="X939" t="str">
        <f t="shared" ca="1" si="244"/>
        <v/>
      </c>
      <c r="Y939" t="s">
        <v>9</v>
      </c>
      <c r="Z939">
        <f t="shared" ca="1" si="245"/>
        <v>0</v>
      </c>
      <c r="AA939" t="str">
        <f t="shared" ca="1" si="246"/>
        <v>SPPN</v>
      </c>
      <c r="AB939">
        <f t="shared" ca="1" si="247"/>
        <v>1</v>
      </c>
      <c r="AC939" t="str">
        <f t="shared" ca="1" si="248"/>
        <v/>
      </c>
      <c r="AD939" t="str">
        <f t="shared" si="238"/>
        <v>4093RN153</v>
      </c>
      <c r="AE939">
        <f t="shared" ca="1" si="249"/>
        <v>0</v>
      </c>
      <c r="AF939" t="str">
        <f t="shared" ca="1" si="250"/>
        <v/>
      </c>
      <c r="AG939">
        <v>231</v>
      </c>
      <c r="AH939" t="s">
        <v>136</v>
      </c>
      <c r="AI939" t="str">
        <f t="shared" si="239"/>
        <v>Lutheran Home 25</v>
      </c>
      <c r="AJ939" t="str">
        <f t="shared" si="240"/>
        <v>Green Bay</v>
      </c>
      <c r="AK939" t="str">
        <f t="shared" si="241"/>
        <v>WI</v>
      </c>
    </row>
    <row r="940" spans="18:37" x14ac:dyDescent="0.25">
      <c r="S940">
        <v>682</v>
      </c>
      <c r="T940">
        <f t="shared" si="237"/>
        <v>129</v>
      </c>
      <c r="U940">
        <f t="shared" si="242"/>
        <v>26053</v>
      </c>
      <c r="V940">
        <f t="shared" ca="1" si="243"/>
        <v>0</v>
      </c>
      <c r="W940">
        <v>231</v>
      </c>
      <c r="X940" t="str">
        <f t="shared" ca="1" si="244"/>
        <v/>
      </c>
      <c r="Y940" t="s">
        <v>33</v>
      </c>
      <c r="Z940">
        <f t="shared" ca="1" si="245"/>
        <v>0</v>
      </c>
      <c r="AA940" t="str">
        <f t="shared" ca="1" si="246"/>
        <v>SPPN</v>
      </c>
      <c r="AB940">
        <f t="shared" ca="1" si="247"/>
        <v>1</v>
      </c>
      <c r="AC940" t="str">
        <f t="shared" ca="1" si="248"/>
        <v/>
      </c>
      <c r="AD940" t="str">
        <f t="shared" si="238"/>
        <v>4093RN153</v>
      </c>
      <c r="AE940">
        <f t="shared" ca="1" si="249"/>
        <v>0</v>
      </c>
      <c r="AF940" t="str">
        <f t="shared" ca="1" si="250"/>
        <v/>
      </c>
      <c r="AG940">
        <v>231</v>
      </c>
      <c r="AH940" t="s">
        <v>136</v>
      </c>
      <c r="AI940" t="str">
        <f t="shared" si="239"/>
        <v>Lutheran Home 25</v>
      </c>
      <c r="AJ940" t="str">
        <f t="shared" si="240"/>
        <v>Green Bay</v>
      </c>
      <c r="AK940" t="str">
        <f t="shared" si="241"/>
        <v>WI</v>
      </c>
    </row>
    <row r="941" spans="18:37" x14ac:dyDescent="0.25">
      <c r="S941">
        <v>683</v>
      </c>
      <c r="T941">
        <f t="shared" si="237"/>
        <v>129</v>
      </c>
      <c r="U941">
        <f t="shared" si="242"/>
        <v>26053</v>
      </c>
      <c r="V941">
        <f t="shared" ca="1" si="243"/>
        <v>0</v>
      </c>
      <c r="W941">
        <v>231</v>
      </c>
      <c r="X941" t="str">
        <f t="shared" ca="1" si="244"/>
        <v/>
      </c>
      <c r="Y941" t="s">
        <v>28</v>
      </c>
      <c r="Z941">
        <f t="shared" ca="1" si="245"/>
        <v>0</v>
      </c>
      <c r="AA941" t="str">
        <f t="shared" ca="1" si="246"/>
        <v>SPPN</v>
      </c>
      <c r="AB941">
        <f t="shared" ca="1" si="247"/>
        <v>1</v>
      </c>
      <c r="AC941">
        <f t="shared" ca="1" si="248"/>
        <v>0</v>
      </c>
      <c r="AD941" t="str">
        <f t="shared" si="238"/>
        <v>4093RN153</v>
      </c>
      <c r="AE941">
        <f t="shared" ca="1" si="249"/>
        <v>0</v>
      </c>
      <c r="AF941" t="str">
        <f t="shared" ca="1" si="250"/>
        <v/>
      </c>
      <c r="AG941">
        <v>231</v>
      </c>
      <c r="AH941" t="s">
        <v>136</v>
      </c>
      <c r="AI941" t="str">
        <f t="shared" si="239"/>
        <v>Lutheran Home 25</v>
      </c>
      <c r="AJ941" t="str">
        <f t="shared" si="240"/>
        <v>Green Bay</v>
      </c>
      <c r="AK941" t="str">
        <f t="shared" si="241"/>
        <v>WI</v>
      </c>
    </row>
    <row r="942" spans="18:37" x14ac:dyDescent="0.25">
      <c r="S942">
        <v>684</v>
      </c>
      <c r="T942">
        <f t="shared" si="237"/>
        <v>129</v>
      </c>
      <c r="U942">
        <f t="shared" si="242"/>
        <v>26053</v>
      </c>
      <c r="V942">
        <f t="shared" ca="1" si="243"/>
        <v>0</v>
      </c>
      <c r="W942">
        <v>231</v>
      </c>
      <c r="X942" t="str">
        <f t="shared" ca="1" si="244"/>
        <v/>
      </c>
      <c r="Y942" t="s">
        <v>32</v>
      </c>
      <c r="Z942">
        <f t="shared" ca="1" si="245"/>
        <v>0</v>
      </c>
      <c r="AA942" t="str">
        <f t="shared" ca="1" si="246"/>
        <v>SPPN</v>
      </c>
      <c r="AB942">
        <f t="shared" ca="1" si="247"/>
        <v>1</v>
      </c>
      <c r="AC942">
        <f t="shared" ca="1" si="248"/>
        <v>0</v>
      </c>
      <c r="AD942" t="str">
        <f t="shared" si="238"/>
        <v>4093RN153</v>
      </c>
      <c r="AE942">
        <f t="shared" ca="1" si="249"/>
        <v>0</v>
      </c>
      <c r="AF942" t="str">
        <f t="shared" ca="1" si="250"/>
        <v/>
      </c>
      <c r="AG942">
        <v>231</v>
      </c>
      <c r="AH942" t="s">
        <v>136</v>
      </c>
      <c r="AI942" t="str">
        <f t="shared" si="239"/>
        <v>Lutheran Home 25</v>
      </c>
      <c r="AJ942" t="str">
        <f t="shared" si="240"/>
        <v>Green Bay</v>
      </c>
      <c r="AK942" t="str">
        <f t="shared" si="241"/>
        <v>WI</v>
      </c>
    </row>
    <row r="943" spans="18:37" x14ac:dyDescent="0.25">
      <c r="R943">
        <v>1</v>
      </c>
      <c r="S943">
        <v>685</v>
      </c>
      <c r="T943">
        <f t="shared" si="237"/>
        <v>129</v>
      </c>
      <c r="U943">
        <f t="shared" si="242"/>
        <v>26053</v>
      </c>
      <c r="V943">
        <f t="shared" ca="1" si="243"/>
        <v>0</v>
      </c>
      <c r="W943">
        <v>232</v>
      </c>
      <c r="X943" t="str">
        <f t="shared" ca="1" si="244"/>
        <v/>
      </c>
      <c r="Y943" t="s">
        <v>9</v>
      </c>
      <c r="Z943">
        <f t="shared" ca="1" si="245"/>
        <v>0</v>
      </c>
      <c r="AA943" t="str">
        <f t="shared" ca="1" si="246"/>
        <v>SPPN</v>
      </c>
      <c r="AB943">
        <f t="shared" ca="1" si="247"/>
        <v>1</v>
      </c>
      <c r="AC943" t="str">
        <f t="shared" ca="1" si="248"/>
        <v/>
      </c>
      <c r="AD943" t="str">
        <f t="shared" si="238"/>
        <v>4093RN153</v>
      </c>
      <c r="AE943">
        <f t="shared" ca="1" si="249"/>
        <v>0</v>
      </c>
      <c r="AF943" t="str">
        <f t="shared" ca="1" si="250"/>
        <v/>
      </c>
      <c r="AG943">
        <v>232</v>
      </c>
      <c r="AH943" t="s">
        <v>136</v>
      </c>
      <c r="AI943" t="str">
        <f t="shared" si="239"/>
        <v>Lutheran Home 25</v>
      </c>
      <c r="AJ943" t="str">
        <f t="shared" si="240"/>
        <v>Green Bay</v>
      </c>
      <c r="AK943" t="str">
        <f t="shared" si="241"/>
        <v>WI</v>
      </c>
    </row>
    <row r="944" spans="18:37" x14ac:dyDescent="0.25">
      <c r="S944">
        <v>686</v>
      </c>
      <c r="T944">
        <f t="shared" si="237"/>
        <v>129</v>
      </c>
      <c r="U944">
        <f t="shared" si="242"/>
        <v>26053</v>
      </c>
      <c r="V944">
        <f t="shared" ca="1" si="243"/>
        <v>0</v>
      </c>
      <c r="W944">
        <v>232</v>
      </c>
      <c r="X944" t="str">
        <f t="shared" ca="1" si="244"/>
        <v/>
      </c>
      <c r="Y944" t="s">
        <v>33</v>
      </c>
      <c r="Z944">
        <f t="shared" ca="1" si="245"/>
        <v>0</v>
      </c>
      <c r="AA944" t="str">
        <f t="shared" ca="1" si="246"/>
        <v>SPPN</v>
      </c>
      <c r="AB944">
        <f t="shared" ca="1" si="247"/>
        <v>1</v>
      </c>
      <c r="AC944" t="str">
        <f t="shared" ca="1" si="248"/>
        <v/>
      </c>
      <c r="AD944" t="str">
        <f t="shared" si="238"/>
        <v>4093RN153</v>
      </c>
      <c r="AE944">
        <f t="shared" ca="1" si="249"/>
        <v>0</v>
      </c>
      <c r="AF944" t="str">
        <f t="shared" ca="1" si="250"/>
        <v/>
      </c>
      <c r="AG944">
        <v>232</v>
      </c>
      <c r="AH944" t="s">
        <v>136</v>
      </c>
      <c r="AI944" t="str">
        <f t="shared" si="239"/>
        <v>Lutheran Home 25</v>
      </c>
      <c r="AJ944" t="str">
        <f t="shared" si="240"/>
        <v>Green Bay</v>
      </c>
      <c r="AK944" t="str">
        <f t="shared" si="241"/>
        <v>WI</v>
      </c>
    </row>
    <row r="945" spans="18:37" x14ac:dyDescent="0.25">
      <c r="S945">
        <v>687</v>
      </c>
      <c r="T945">
        <f t="shared" si="237"/>
        <v>129</v>
      </c>
      <c r="U945">
        <f t="shared" si="242"/>
        <v>26053</v>
      </c>
      <c r="V945">
        <f t="shared" ca="1" si="243"/>
        <v>0</v>
      </c>
      <c r="W945">
        <v>232</v>
      </c>
      <c r="X945" t="str">
        <f t="shared" ca="1" si="244"/>
        <v/>
      </c>
      <c r="Y945" t="s">
        <v>28</v>
      </c>
      <c r="Z945">
        <f t="shared" ca="1" si="245"/>
        <v>0</v>
      </c>
      <c r="AA945" t="str">
        <f t="shared" ca="1" si="246"/>
        <v>SPPN</v>
      </c>
      <c r="AB945">
        <f t="shared" ca="1" si="247"/>
        <v>1</v>
      </c>
      <c r="AC945">
        <f t="shared" ca="1" si="248"/>
        <v>0</v>
      </c>
      <c r="AD945" t="str">
        <f t="shared" si="238"/>
        <v>4093RN153</v>
      </c>
      <c r="AE945">
        <f t="shared" ca="1" si="249"/>
        <v>0</v>
      </c>
      <c r="AF945" t="str">
        <f t="shared" ca="1" si="250"/>
        <v/>
      </c>
      <c r="AG945">
        <v>232</v>
      </c>
      <c r="AH945" t="s">
        <v>136</v>
      </c>
      <c r="AI945" t="str">
        <f t="shared" si="239"/>
        <v>Lutheran Home 25</v>
      </c>
      <c r="AJ945" t="str">
        <f t="shared" si="240"/>
        <v>Green Bay</v>
      </c>
      <c r="AK945" t="str">
        <f t="shared" si="241"/>
        <v>WI</v>
      </c>
    </row>
    <row r="946" spans="18:37" x14ac:dyDescent="0.25">
      <c r="S946">
        <v>688</v>
      </c>
      <c r="T946">
        <f t="shared" si="237"/>
        <v>129</v>
      </c>
      <c r="U946">
        <f t="shared" si="242"/>
        <v>26053</v>
      </c>
      <c r="V946">
        <f t="shared" ca="1" si="243"/>
        <v>0</v>
      </c>
      <c r="W946">
        <v>232</v>
      </c>
      <c r="X946" t="str">
        <f t="shared" ca="1" si="244"/>
        <v/>
      </c>
      <c r="Y946" t="s">
        <v>32</v>
      </c>
      <c r="Z946">
        <f t="shared" ca="1" si="245"/>
        <v>0</v>
      </c>
      <c r="AA946" t="str">
        <f t="shared" ca="1" si="246"/>
        <v>SPPN</v>
      </c>
      <c r="AB946">
        <f t="shared" ca="1" si="247"/>
        <v>1</v>
      </c>
      <c r="AC946">
        <f t="shared" ca="1" si="248"/>
        <v>0</v>
      </c>
      <c r="AD946" t="str">
        <f t="shared" si="238"/>
        <v>4093RN153</v>
      </c>
      <c r="AE946">
        <f t="shared" ca="1" si="249"/>
        <v>0</v>
      </c>
      <c r="AF946" t="str">
        <f t="shared" ca="1" si="250"/>
        <v/>
      </c>
      <c r="AG946">
        <v>232</v>
      </c>
      <c r="AH946" t="s">
        <v>136</v>
      </c>
      <c r="AI946" t="str">
        <f t="shared" si="239"/>
        <v>Lutheran Home 25</v>
      </c>
      <c r="AJ946" t="str">
        <f t="shared" si="240"/>
        <v>Green Bay</v>
      </c>
      <c r="AK946" t="str">
        <f t="shared" si="241"/>
        <v>WI</v>
      </c>
    </row>
    <row r="947" spans="18:37" x14ac:dyDescent="0.25">
      <c r="R947">
        <v>1</v>
      </c>
      <c r="S947">
        <v>689</v>
      </c>
      <c r="T947">
        <f t="shared" si="237"/>
        <v>129</v>
      </c>
      <c r="U947">
        <f t="shared" si="242"/>
        <v>26053</v>
      </c>
      <c r="V947">
        <f t="shared" ca="1" si="243"/>
        <v>0</v>
      </c>
      <c r="W947">
        <v>233</v>
      </c>
      <c r="X947" t="str">
        <f t="shared" ca="1" si="244"/>
        <v/>
      </c>
      <c r="Y947" t="s">
        <v>9</v>
      </c>
      <c r="Z947">
        <f t="shared" ca="1" si="245"/>
        <v>0</v>
      </c>
      <c r="AA947" t="str">
        <f t="shared" ca="1" si="246"/>
        <v>SPPN</v>
      </c>
      <c r="AB947">
        <f t="shared" ca="1" si="247"/>
        <v>1</v>
      </c>
      <c r="AC947" t="str">
        <f t="shared" ca="1" si="248"/>
        <v/>
      </c>
      <c r="AD947" t="str">
        <f t="shared" si="238"/>
        <v>4093RN153</v>
      </c>
      <c r="AE947">
        <f t="shared" ca="1" si="249"/>
        <v>0</v>
      </c>
      <c r="AF947" t="str">
        <f t="shared" ca="1" si="250"/>
        <v/>
      </c>
      <c r="AG947">
        <v>233</v>
      </c>
      <c r="AH947" t="s">
        <v>136</v>
      </c>
      <c r="AI947" t="str">
        <f t="shared" si="239"/>
        <v>Lutheran Home 25</v>
      </c>
      <c r="AJ947" t="str">
        <f t="shared" si="240"/>
        <v>Green Bay</v>
      </c>
      <c r="AK947" t="str">
        <f t="shared" si="241"/>
        <v>WI</v>
      </c>
    </row>
    <row r="948" spans="18:37" x14ac:dyDescent="0.25">
      <c r="S948">
        <v>690</v>
      </c>
      <c r="T948">
        <f t="shared" si="237"/>
        <v>129</v>
      </c>
      <c r="U948">
        <f t="shared" si="242"/>
        <v>26053</v>
      </c>
      <c r="V948">
        <f t="shared" ca="1" si="243"/>
        <v>0</v>
      </c>
      <c r="W948">
        <v>233</v>
      </c>
      <c r="X948" t="str">
        <f t="shared" ca="1" si="244"/>
        <v/>
      </c>
      <c r="Y948" t="s">
        <v>33</v>
      </c>
      <c r="Z948">
        <f t="shared" ca="1" si="245"/>
        <v>0</v>
      </c>
      <c r="AA948" t="str">
        <f t="shared" ca="1" si="246"/>
        <v>SPPN</v>
      </c>
      <c r="AB948">
        <f t="shared" ca="1" si="247"/>
        <v>1</v>
      </c>
      <c r="AC948" t="str">
        <f t="shared" ca="1" si="248"/>
        <v/>
      </c>
      <c r="AD948" t="str">
        <f t="shared" si="238"/>
        <v>4093RN153</v>
      </c>
      <c r="AE948">
        <f t="shared" ca="1" si="249"/>
        <v>0</v>
      </c>
      <c r="AF948" t="str">
        <f t="shared" ca="1" si="250"/>
        <v/>
      </c>
      <c r="AG948">
        <v>233</v>
      </c>
      <c r="AH948" t="s">
        <v>136</v>
      </c>
      <c r="AI948" t="str">
        <f t="shared" si="239"/>
        <v>Lutheran Home 25</v>
      </c>
      <c r="AJ948" t="str">
        <f t="shared" si="240"/>
        <v>Green Bay</v>
      </c>
      <c r="AK948" t="str">
        <f t="shared" si="241"/>
        <v>WI</v>
      </c>
    </row>
    <row r="949" spans="18:37" x14ac:dyDescent="0.25">
      <c r="S949">
        <v>691</v>
      </c>
      <c r="T949">
        <f t="shared" si="237"/>
        <v>129</v>
      </c>
      <c r="U949">
        <f t="shared" si="242"/>
        <v>26053</v>
      </c>
      <c r="V949">
        <f t="shared" ca="1" si="243"/>
        <v>0</v>
      </c>
      <c r="W949">
        <v>233</v>
      </c>
      <c r="X949" t="str">
        <f t="shared" ca="1" si="244"/>
        <v/>
      </c>
      <c r="Y949" t="s">
        <v>28</v>
      </c>
      <c r="Z949">
        <f t="shared" ca="1" si="245"/>
        <v>0</v>
      </c>
      <c r="AA949" t="str">
        <f t="shared" ca="1" si="246"/>
        <v>SPPN</v>
      </c>
      <c r="AB949">
        <f t="shared" ca="1" si="247"/>
        <v>1</v>
      </c>
      <c r="AC949">
        <f t="shared" ca="1" si="248"/>
        <v>0</v>
      </c>
      <c r="AD949" t="str">
        <f t="shared" si="238"/>
        <v>4093RN153</v>
      </c>
      <c r="AE949">
        <f t="shared" ca="1" si="249"/>
        <v>0</v>
      </c>
      <c r="AF949" t="str">
        <f t="shared" ca="1" si="250"/>
        <v/>
      </c>
      <c r="AG949">
        <v>233</v>
      </c>
      <c r="AH949" t="s">
        <v>136</v>
      </c>
      <c r="AI949" t="str">
        <f t="shared" si="239"/>
        <v>Lutheran Home 25</v>
      </c>
      <c r="AJ949" t="str">
        <f t="shared" si="240"/>
        <v>Green Bay</v>
      </c>
      <c r="AK949" t="str">
        <f t="shared" si="241"/>
        <v>WI</v>
      </c>
    </row>
    <row r="950" spans="18:37" x14ac:dyDescent="0.25">
      <c r="S950">
        <v>692</v>
      </c>
      <c r="T950">
        <f t="shared" si="237"/>
        <v>129</v>
      </c>
      <c r="U950">
        <f t="shared" si="242"/>
        <v>26053</v>
      </c>
      <c r="V950">
        <f t="shared" ca="1" si="243"/>
        <v>0</v>
      </c>
      <c r="W950">
        <v>233</v>
      </c>
      <c r="X950" t="str">
        <f t="shared" ca="1" si="244"/>
        <v/>
      </c>
      <c r="Y950" t="s">
        <v>32</v>
      </c>
      <c r="Z950">
        <f t="shared" ca="1" si="245"/>
        <v>0</v>
      </c>
      <c r="AA950" t="str">
        <f t="shared" ca="1" si="246"/>
        <v>SPPN</v>
      </c>
      <c r="AB950">
        <f t="shared" ca="1" si="247"/>
        <v>1</v>
      </c>
      <c r="AC950">
        <f t="shared" ca="1" si="248"/>
        <v>0</v>
      </c>
      <c r="AD950" t="str">
        <f t="shared" si="238"/>
        <v>4093RN153</v>
      </c>
      <c r="AE950">
        <f t="shared" ca="1" si="249"/>
        <v>0</v>
      </c>
      <c r="AF950" t="str">
        <f t="shared" ca="1" si="250"/>
        <v/>
      </c>
      <c r="AG950">
        <v>233</v>
      </c>
      <c r="AH950" t="s">
        <v>136</v>
      </c>
      <c r="AI950" t="str">
        <f t="shared" si="239"/>
        <v>Lutheran Home 25</v>
      </c>
      <c r="AJ950" t="str">
        <f t="shared" si="240"/>
        <v>Green Bay</v>
      </c>
      <c r="AK950" t="str">
        <f t="shared" si="241"/>
        <v>WI</v>
      </c>
    </row>
    <row r="951" spans="18:37" x14ac:dyDescent="0.25">
      <c r="R951">
        <v>1</v>
      </c>
      <c r="S951">
        <v>693</v>
      </c>
      <c r="T951">
        <f t="shared" si="237"/>
        <v>129</v>
      </c>
      <c r="U951">
        <f t="shared" si="242"/>
        <v>26053</v>
      </c>
      <c r="V951">
        <f t="shared" ca="1" si="243"/>
        <v>0</v>
      </c>
      <c r="W951">
        <v>234</v>
      </c>
      <c r="X951" t="str">
        <f t="shared" ca="1" si="244"/>
        <v/>
      </c>
      <c r="Y951" t="s">
        <v>9</v>
      </c>
      <c r="Z951">
        <f t="shared" ca="1" si="245"/>
        <v>0</v>
      </c>
      <c r="AA951" t="str">
        <f t="shared" ca="1" si="246"/>
        <v>SPPN</v>
      </c>
      <c r="AB951">
        <f t="shared" ca="1" si="247"/>
        <v>1</v>
      </c>
      <c r="AC951" t="str">
        <f t="shared" ca="1" si="248"/>
        <v/>
      </c>
      <c r="AD951" t="str">
        <f t="shared" si="238"/>
        <v>4093RN153</v>
      </c>
      <c r="AE951">
        <f t="shared" ca="1" si="249"/>
        <v>0</v>
      </c>
      <c r="AF951" t="str">
        <f t="shared" ca="1" si="250"/>
        <v/>
      </c>
      <c r="AG951">
        <v>234</v>
      </c>
      <c r="AH951" t="s">
        <v>136</v>
      </c>
      <c r="AI951" t="str">
        <f t="shared" si="239"/>
        <v>Lutheran Home 25</v>
      </c>
      <c r="AJ951" t="str">
        <f t="shared" si="240"/>
        <v>Green Bay</v>
      </c>
      <c r="AK951" t="str">
        <f t="shared" si="241"/>
        <v>WI</v>
      </c>
    </row>
    <row r="952" spans="18:37" x14ac:dyDescent="0.25">
      <c r="S952">
        <v>694</v>
      </c>
      <c r="T952">
        <f t="shared" si="237"/>
        <v>129</v>
      </c>
      <c r="U952">
        <f t="shared" si="242"/>
        <v>26053</v>
      </c>
      <c r="V952">
        <f t="shared" ca="1" si="243"/>
        <v>0</v>
      </c>
      <c r="W952">
        <v>234</v>
      </c>
      <c r="X952" t="str">
        <f t="shared" ca="1" si="244"/>
        <v/>
      </c>
      <c r="Y952" t="s">
        <v>33</v>
      </c>
      <c r="Z952">
        <f t="shared" ca="1" si="245"/>
        <v>0</v>
      </c>
      <c r="AA952" t="str">
        <f t="shared" ca="1" si="246"/>
        <v>SPPN</v>
      </c>
      <c r="AB952">
        <f t="shared" ca="1" si="247"/>
        <v>1</v>
      </c>
      <c r="AC952" t="str">
        <f t="shared" ca="1" si="248"/>
        <v/>
      </c>
      <c r="AD952" t="str">
        <f t="shared" si="238"/>
        <v>4093RN153</v>
      </c>
      <c r="AE952">
        <f t="shared" ca="1" si="249"/>
        <v>0</v>
      </c>
      <c r="AF952" t="str">
        <f t="shared" ca="1" si="250"/>
        <v/>
      </c>
      <c r="AG952">
        <v>234</v>
      </c>
      <c r="AH952" t="s">
        <v>136</v>
      </c>
      <c r="AI952" t="str">
        <f t="shared" si="239"/>
        <v>Lutheran Home 25</v>
      </c>
      <c r="AJ952" t="str">
        <f t="shared" si="240"/>
        <v>Green Bay</v>
      </c>
      <c r="AK952" t="str">
        <f t="shared" si="241"/>
        <v>WI</v>
      </c>
    </row>
    <row r="953" spans="18:37" x14ac:dyDescent="0.25">
      <c r="S953">
        <v>695</v>
      </c>
      <c r="T953">
        <f t="shared" si="237"/>
        <v>129</v>
      </c>
      <c r="U953">
        <f t="shared" si="242"/>
        <v>26053</v>
      </c>
      <c r="V953">
        <f t="shared" ca="1" si="243"/>
        <v>0</v>
      </c>
      <c r="W953">
        <v>234</v>
      </c>
      <c r="X953" t="str">
        <f t="shared" ca="1" si="244"/>
        <v/>
      </c>
      <c r="Y953" t="s">
        <v>28</v>
      </c>
      <c r="Z953">
        <f t="shared" ca="1" si="245"/>
        <v>0</v>
      </c>
      <c r="AA953" t="str">
        <f t="shared" ca="1" si="246"/>
        <v>SPPN</v>
      </c>
      <c r="AB953">
        <f t="shared" ca="1" si="247"/>
        <v>1</v>
      </c>
      <c r="AC953">
        <f t="shared" ca="1" si="248"/>
        <v>0</v>
      </c>
      <c r="AD953" t="str">
        <f t="shared" si="238"/>
        <v>4093RN153</v>
      </c>
      <c r="AE953">
        <f t="shared" ca="1" si="249"/>
        <v>0</v>
      </c>
      <c r="AF953" t="str">
        <f t="shared" ca="1" si="250"/>
        <v/>
      </c>
      <c r="AG953">
        <v>234</v>
      </c>
      <c r="AH953" t="s">
        <v>136</v>
      </c>
      <c r="AI953" t="str">
        <f t="shared" si="239"/>
        <v>Lutheran Home 25</v>
      </c>
      <c r="AJ953" t="str">
        <f t="shared" si="240"/>
        <v>Green Bay</v>
      </c>
      <c r="AK953" t="str">
        <f t="shared" si="241"/>
        <v>WI</v>
      </c>
    </row>
    <row r="954" spans="18:37" x14ac:dyDescent="0.25">
      <c r="S954">
        <v>696</v>
      </c>
      <c r="T954">
        <f t="shared" si="237"/>
        <v>129</v>
      </c>
      <c r="U954">
        <f t="shared" si="242"/>
        <v>26053</v>
      </c>
      <c r="V954">
        <f t="shared" ca="1" si="243"/>
        <v>0</v>
      </c>
      <c r="W954">
        <v>234</v>
      </c>
      <c r="X954" t="str">
        <f t="shared" ca="1" si="244"/>
        <v/>
      </c>
      <c r="Y954" t="s">
        <v>32</v>
      </c>
      <c r="Z954">
        <f t="shared" ca="1" si="245"/>
        <v>0</v>
      </c>
      <c r="AA954" t="str">
        <f t="shared" ca="1" si="246"/>
        <v>SPPN</v>
      </c>
      <c r="AB954">
        <f t="shared" ca="1" si="247"/>
        <v>1</v>
      </c>
      <c r="AC954">
        <f t="shared" ca="1" si="248"/>
        <v>0</v>
      </c>
      <c r="AD954" t="str">
        <f t="shared" si="238"/>
        <v>4093RN153</v>
      </c>
      <c r="AE954">
        <f t="shared" ca="1" si="249"/>
        <v>0</v>
      </c>
      <c r="AF954" t="str">
        <f t="shared" ca="1" si="250"/>
        <v/>
      </c>
      <c r="AG954">
        <v>234</v>
      </c>
      <c r="AH954" t="s">
        <v>136</v>
      </c>
      <c r="AI954" t="str">
        <f t="shared" si="239"/>
        <v>Lutheran Home 25</v>
      </c>
      <c r="AJ954" t="str">
        <f t="shared" si="240"/>
        <v>Green Bay</v>
      </c>
      <c r="AK954" t="str">
        <f t="shared" si="241"/>
        <v>WI</v>
      </c>
    </row>
    <row r="955" spans="18:37" x14ac:dyDescent="0.25">
      <c r="R955">
        <v>1</v>
      </c>
      <c r="S955">
        <v>697</v>
      </c>
      <c r="T955">
        <f t="shared" si="237"/>
        <v>129</v>
      </c>
      <c r="U955">
        <f t="shared" si="242"/>
        <v>26053</v>
      </c>
      <c r="V955">
        <f t="shared" ca="1" si="243"/>
        <v>0</v>
      </c>
      <c r="W955">
        <v>235</v>
      </c>
      <c r="X955" t="str">
        <f t="shared" ca="1" si="244"/>
        <v/>
      </c>
      <c r="Y955" t="s">
        <v>9</v>
      </c>
      <c r="Z955">
        <f t="shared" ca="1" si="245"/>
        <v>0</v>
      </c>
      <c r="AA955" t="str">
        <f t="shared" ca="1" si="246"/>
        <v>SPPN</v>
      </c>
      <c r="AB955">
        <f t="shared" ca="1" si="247"/>
        <v>1</v>
      </c>
      <c r="AC955" t="str">
        <f t="shared" ca="1" si="248"/>
        <v/>
      </c>
      <c r="AD955" t="str">
        <f t="shared" si="238"/>
        <v>4093RN153</v>
      </c>
      <c r="AE955">
        <f t="shared" ca="1" si="249"/>
        <v>0</v>
      </c>
      <c r="AF955" t="str">
        <f t="shared" ca="1" si="250"/>
        <v/>
      </c>
      <c r="AG955">
        <v>235</v>
      </c>
      <c r="AH955" t="s">
        <v>136</v>
      </c>
      <c r="AI955" t="str">
        <f t="shared" si="239"/>
        <v>Lutheran Home 25</v>
      </c>
      <c r="AJ955" t="str">
        <f t="shared" si="240"/>
        <v>Green Bay</v>
      </c>
      <c r="AK955" t="str">
        <f t="shared" si="241"/>
        <v>WI</v>
      </c>
    </row>
    <row r="956" spans="18:37" x14ac:dyDescent="0.25">
      <c r="S956">
        <v>698</v>
      </c>
      <c r="T956">
        <f t="shared" si="237"/>
        <v>129</v>
      </c>
      <c r="U956">
        <f t="shared" si="242"/>
        <v>26053</v>
      </c>
      <c r="V956">
        <f t="shared" ca="1" si="243"/>
        <v>0</v>
      </c>
      <c r="W956">
        <v>235</v>
      </c>
      <c r="X956" t="str">
        <f t="shared" ca="1" si="244"/>
        <v/>
      </c>
      <c r="Y956" t="s">
        <v>33</v>
      </c>
      <c r="Z956">
        <f t="shared" ca="1" si="245"/>
        <v>0</v>
      </c>
      <c r="AA956" t="str">
        <f t="shared" ca="1" si="246"/>
        <v>SPPN</v>
      </c>
      <c r="AB956">
        <f t="shared" ca="1" si="247"/>
        <v>1</v>
      </c>
      <c r="AC956" t="str">
        <f t="shared" ca="1" si="248"/>
        <v/>
      </c>
      <c r="AD956" t="str">
        <f t="shared" si="238"/>
        <v>4093RN153</v>
      </c>
      <c r="AE956">
        <f t="shared" ca="1" si="249"/>
        <v>0</v>
      </c>
      <c r="AF956" t="str">
        <f t="shared" ca="1" si="250"/>
        <v/>
      </c>
      <c r="AG956">
        <v>235</v>
      </c>
      <c r="AH956" t="s">
        <v>136</v>
      </c>
      <c r="AI956" t="str">
        <f t="shared" si="239"/>
        <v>Lutheran Home 25</v>
      </c>
      <c r="AJ956" t="str">
        <f t="shared" si="240"/>
        <v>Green Bay</v>
      </c>
      <c r="AK956" t="str">
        <f t="shared" si="241"/>
        <v>WI</v>
      </c>
    </row>
    <row r="957" spans="18:37" x14ac:dyDescent="0.25">
      <c r="S957">
        <v>699</v>
      </c>
      <c r="T957">
        <f t="shared" si="237"/>
        <v>129</v>
      </c>
      <c r="U957">
        <f t="shared" si="242"/>
        <v>26053</v>
      </c>
      <c r="V957">
        <f t="shared" ca="1" si="243"/>
        <v>0</v>
      </c>
      <c r="W957">
        <v>235</v>
      </c>
      <c r="X957" t="str">
        <f t="shared" ca="1" si="244"/>
        <v/>
      </c>
      <c r="Y957" t="s">
        <v>28</v>
      </c>
      <c r="Z957">
        <f t="shared" ca="1" si="245"/>
        <v>0</v>
      </c>
      <c r="AA957" t="str">
        <f t="shared" ca="1" si="246"/>
        <v>SPPN</v>
      </c>
      <c r="AB957">
        <f t="shared" ca="1" si="247"/>
        <v>1</v>
      </c>
      <c r="AC957">
        <f t="shared" ca="1" si="248"/>
        <v>0</v>
      </c>
      <c r="AD957" t="str">
        <f t="shared" si="238"/>
        <v>4093RN153</v>
      </c>
      <c r="AE957">
        <f t="shared" ca="1" si="249"/>
        <v>0</v>
      </c>
      <c r="AF957" t="str">
        <f t="shared" ca="1" si="250"/>
        <v/>
      </c>
      <c r="AG957">
        <v>235</v>
      </c>
      <c r="AH957" t="s">
        <v>136</v>
      </c>
      <c r="AI957" t="str">
        <f t="shared" si="239"/>
        <v>Lutheran Home 25</v>
      </c>
      <c r="AJ957" t="str">
        <f t="shared" si="240"/>
        <v>Green Bay</v>
      </c>
      <c r="AK957" t="str">
        <f t="shared" si="241"/>
        <v>WI</v>
      </c>
    </row>
    <row r="958" spans="18:37" x14ac:dyDescent="0.25">
      <c r="S958">
        <v>700</v>
      </c>
      <c r="T958">
        <f t="shared" si="237"/>
        <v>129</v>
      </c>
      <c r="U958">
        <f t="shared" si="242"/>
        <v>26053</v>
      </c>
      <c r="V958">
        <f t="shared" ca="1" si="243"/>
        <v>0</v>
      </c>
      <c r="W958">
        <v>235</v>
      </c>
      <c r="X958" t="str">
        <f t="shared" ca="1" si="244"/>
        <v/>
      </c>
      <c r="Y958" t="s">
        <v>32</v>
      </c>
      <c r="Z958">
        <f t="shared" ca="1" si="245"/>
        <v>0</v>
      </c>
      <c r="AA958" t="str">
        <f t="shared" ca="1" si="246"/>
        <v>SPPN</v>
      </c>
      <c r="AB958">
        <f t="shared" ca="1" si="247"/>
        <v>1</v>
      </c>
      <c r="AC958">
        <f t="shared" ca="1" si="248"/>
        <v>0</v>
      </c>
      <c r="AD958" t="str">
        <f t="shared" si="238"/>
        <v>4093RN153</v>
      </c>
      <c r="AE958">
        <f t="shared" ca="1" si="249"/>
        <v>0</v>
      </c>
      <c r="AF958" t="str">
        <f t="shared" ca="1" si="250"/>
        <v/>
      </c>
      <c r="AG958">
        <v>235</v>
      </c>
      <c r="AH958" t="s">
        <v>136</v>
      </c>
      <c r="AI958" t="str">
        <f t="shared" si="239"/>
        <v>Lutheran Home 25</v>
      </c>
      <c r="AJ958" t="str">
        <f t="shared" si="240"/>
        <v>Green Bay</v>
      </c>
      <c r="AK958" t="str">
        <f t="shared" si="241"/>
        <v>WI</v>
      </c>
    </row>
    <row r="959" spans="18:37" x14ac:dyDescent="0.25">
      <c r="R959">
        <v>1</v>
      </c>
      <c r="S959">
        <v>701</v>
      </c>
      <c r="T959">
        <f t="shared" si="237"/>
        <v>129</v>
      </c>
      <c r="U959">
        <f t="shared" si="242"/>
        <v>26053</v>
      </c>
      <c r="V959">
        <f t="shared" ca="1" si="243"/>
        <v>0</v>
      </c>
      <c r="W959">
        <v>236</v>
      </c>
      <c r="X959" t="str">
        <f t="shared" ca="1" si="244"/>
        <v/>
      </c>
      <c r="Y959" t="s">
        <v>9</v>
      </c>
      <c r="Z959">
        <f t="shared" ca="1" si="245"/>
        <v>0</v>
      </c>
      <c r="AA959" t="str">
        <f t="shared" ca="1" si="246"/>
        <v>SPPN</v>
      </c>
      <c r="AB959">
        <f t="shared" ca="1" si="247"/>
        <v>1</v>
      </c>
      <c r="AC959" t="str">
        <f t="shared" ca="1" si="248"/>
        <v/>
      </c>
      <c r="AD959" t="str">
        <f t="shared" si="238"/>
        <v>4093RN153</v>
      </c>
      <c r="AE959">
        <f t="shared" ca="1" si="249"/>
        <v>0</v>
      </c>
      <c r="AF959" t="str">
        <f t="shared" ca="1" si="250"/>
        <v/>
      </c>
      <c r="AG959">
        <v>236</v>
      </c>
      <c r="AH959" t="s">
        <v>136</v>
      </c>
      <c r="AI959" t="str">
        <f t="shared" si="239"/>
        <v>Lutheran Home 25</v>
      </c>
      <c r="AJ959" t="str">
        <f t="shared" si="240"/>
        <v>Green Bay</v>
      </c>
      <c r="AK959" t="str">
        <f t="shared" si="241"/>
        <v>WI</v>
      </c>
    </row>
    <row r="960" spans="18:37" x14ac:dyDescent="0.25">
      <c r="S960">
        <v>702</v>
      </c>
      <c r="T960">
        <f t="shared" si="237"/>
        <v>129</v>
      </c>
      <c r="U960">
        <f t="shared" si="242"/>
        <v>26053</v>
      </c>
      <c r="V960">
        <f t="shared" ca="1" si="243"/>
        <v>0</v>
      </c>
      <c r="W960">
        <v>236</v>
      </c>
      <c r="X960" t="str">
        <f t="shared" ca="1" si="244"/>
        <v/>
      </c>
      <c r="Y960" t="s">
        <v>33</v>
      </c>
      <c r="Z960">
        <f t="shared" ca="1" si="245"/>
        <v>0</v>
      </c>
      <c r="AA960" t="str">
        <f t="shared" ca="1" si="246"/>
        <v>SPPN</v>
      </c>
      <c r="AB960">
        <f t="shared" ca="1" si="247"/>
        <v>1</v>
      </c>
      <c r="AC960" t="str">
        <f t="shared" ca="1" si="248"/>
        <v/>
      </c>
      <c r="AD960" t="str">
        <f t="shared" si="238"/>
        <v>4093RN153</v>
      </c>
      <c r="AE960">
        <f t="shared" ca="1" si="249"/>
        <v>0</v>
      </c>
      <c r="AF960" t="str">
        <f t="shared" ca="1" si="250"/>
        <v/>
      </c>
      <c r="AG960">
        <v>236</v>
      </c>
      <c r="AH960" t="s">
        <v>136</v>
      </c>
      <c r="AI960" t="str">
        <f t="shared" si="239"/>
        <v>Lutheran Home 25</v>
      </c>
      <c r="AJ960" t="str">
        <f t="shared" si="240"/>
        <v>Green Bay</v>
      </c>
      <c r="AK960" t="str">
        <f t="shared" si="241"/>
        <v>WI</v>
      </c>
    </row>
    <row r="961" spans="18:37" x14ac:dyDescent="0.25">
      <c r="S961">
        <v>703</v>
      </c>
      <c r="T961">
        <f t="shared" si="237"/>
        <v>129</v>
      </c>
      <c r="U961">
        <f t="shared" si="242"/>
        <v>26053</v>
      </c>
      <c r="V961">
        <f t="shared" ca="1" si="243"/>
        <v>0</v>
      </c>
      <c r="W961">
        <v>236</v>
      </c>
      <c r="X961" t="str">
        <f t="shared" ca="1" si="244"/>
        <v/>
      </c>
      <c r="Y961" t="s">
        <v>28</v>
      </c>
      <c r="Z961">
        <f t="shared" ca="1" si="245"/>
        <v>0</v>
      </c>
      <c r="AA961" t="str">
        <f t="shared" ca="1" si="246"/>
        <v>SPPN</v>
      </c>
      <c r="AB961">
        <f t="shared" ca="1" si="247"/>
        <v>1</v>
      </c>
      <c r="AC961">
        <f t="shared" ca="1" si="248"/>
        <v>0</v>
      </c>
      <c r="AD961" t="str">
        <f t="shared" si="238"/>
        <v>4093RN153</v>
      </c>
      <c r="AE961">
        <f t="shared" ca="1" si="249"/>
        <v>0</v>
      </c>
      <c r="AF961" t="str">
        <f t="shared" ca="1" si="250"/>
        <v/>
      </c>
      <c r="AG961">
        <v>236</v>
      </c>
      <c r="AH961" t="s">
        <v>136</v>
      </c>
      <c r="AI961" t="str">
        <f t="shared" si="239"/>
        <v>Lutheran Home 25</v>
      </c>
      <c r="AJ961" t="str">
        <f t="shared" si="240"/>
        <v>Green Bay</v>
      </c>
      <c r="AK961" t="str">
        <f t="shared" si="241"/>
        <v>WI</v>
      </c>
    </row>
    <row r="962" spans="18:37" x14ac:dyDescent="0.25">
      <c r="S962">
        <v>704</v>
      </c>
      <c r="T962">
        <f t="shared" si="237"/>
        <v>129</v>
      </c>
      <c r="U962">
        <f t="shared" si="242"/>
        <v>26053</v>
      </c>
      <c r="V962">
        <f t="shared" ca="1" si="243"/>
        <v>0</v>
      </c>
      <c r="W962">
        <v>236</v>
      </c>
      <c r="X962" t="str">
        <f t="shared" ca="1" si="244"/>
        <v/>
      </c>
      <c r="Y962" t="s">
        <v>32</v>
      </c>
      <c r="Z962">
        <f t="shared" ca="1" si="245"/>
        <v>0</v>
      </c>
      <c r="AA962" t="str">
        <f t="shared" ca="1" si="246"/>
        <v>SPPN</v>
      </c>
      <c r="AB962">
        <f t="shared" ca="1" si="247"/>
        <v>1</v>
      </c>
      <c r="AC962">
        <f t="shared" ca="1" si="248"/>
        <v>0</v>
      </c>
      <c r="AD962" t="str">
        <f t="shared" si="238"/>
        <v>4093RN153</v>
      </c>
      <c r="AE962">
        <f t="shared" ca="1" si="249"/>
        <v>0</v>
      </c>
      <c r="AF962" t="str">
        <f t="shared" ca="1" si="250"/>
        <v/>
      </c>
      <c r="AG962">
        <v>236</v>
      </c>
      <c r="AH962" t="s">
        <v>136</v>
      </c>
      <c r="AI962" t="str">
        <f t="shared" si="239"/>
        <v>Lutheran Home 25</v>
      </c>
      <c r="AJ962" t="str">
        <f t="shared" si="240"/>
        <v>Green Bay</v>
      </c>
      <c r="AK962" t="str">
        <f t="shared" si="241"/>
        <v>WI</v>
      </c>
    </row>
    <row r="963" spans="18:37" x14ac:dyDescent="0.25">
      <c r="R963">
        <v>1</v>
      </c>
      <c r="S963">
        <v>705</v>
      </c>
      <c r="T963">
        <f t="shared" si="237"/>
        <v>129</v>
      </c>
      <c r="U963">
        <f t="shared" si="242"/>
        <v>26053</v>
      </c>
      <c r="V963">
        <f t="shared" ca="1" si="243"/>
        <v>0</v>
      </c>
      <c r="W963">
        <v>237</v>
      </c>
      <c r="X963" t="str">
        <f t="shared" ca="1" si="244"/>
        <v/>
      </c>
      <c r="Y963" t="s">
        <v>9</v>
      </c>
      <c r="Z963">
        <f t="shared" ca="1" si="245"/>
        <v>0</v>
      </c>
      <c r="AA963" t="str">
        <f t="shared" ca="1" si="246"/>
        <v>SPPN</v>
      </c>
      <c r="AB963">
        <f t="shared" ca="1" si="247"/>
        <v>1</v>
      </c>
      <c r="AC963" t="str">
        <f t="shared" ca="1" si="248"/>
        <v/>
      </c>
      <c r="AD963" t="str">
        <f t="shared" si="238"/>
        <v>4093RN153</v>
      </c>
      <c r="AE963">
        <f t="shared" ca="1" si="249"/>
        <v>0</v>
      </c>
      <c r="AF963" t="str">
        <f t="shared" ca="1" si="250"/>
        <v/>
      </c>
      <c r="AG963">
        <v>237</v>
      </c>
      <c r="AH963" t="s">
        <v>136</v>
      </c>
      <c r="AI963" t="str">
        <f t="shared" si="239"/>
        <v>Lutheran Home 25</v>
      </c>
      <c r="AJ963" t="str">
        <f t="shared" si="240"/>
        <v>Green Bay</v>
      </c>
      <c r="AK963" t="str">
        <f t="shared" si="241"/>
        <v>WI</v>
      </c>
    </row>
    <row r="964" spans="18:37" x14ac:dyDescent="0.25">
      <c r="S964">
        <v>706</v>
      </c>
      <c r="T964">
        <f t="shared" si="237"/>
        <v>129</v>
      </c>
      <c r="U964">
        <f t="shared" si="242"/>
        <v>26053</v>
      </c>
      <c r="V964">
        <f t="shared" ca="1" si="243"/>
        <v>0</v>
      </c>
      <c r="W964">
        <v>237</v>
      </c>
      <c r="X964" t="str">
        <f t="shared" ca="1" si="244"/>
        <v/>
      </c>
      <c r="Y964" t="s">
        <v>33</v>
      </c>
      <c r="Z964">
        <f t="shared" ca="1" si="245"/>
        <v>0</v>
      </c>
      <c r="AA964" t="str">
        <f t="shared" ca="1" si="246"/>
        <v>SPPN</v>
      </c>
      <c r="AB964">
        <f t="shared" ca="1" si="247"/>
        <v>1</v>
      </c>
      <c r="AC964" t="str">
        <f t="shared" ca="1" si="248"/>
        <v/>
      </c>
      <c r="AD964" t="str">
        <f t="shared" si="238"/>
        <v>4093RN153</v>
      </c>
      <c r="AE964">
        <f t="shared" ca="1" si="249"/>
        <v>0</v>
      </c>
      <c r="AF964" t="str">
        <f t="shared" ca="1" si="250"/>
        <v/>
      </c>
      <c r="AG964">
        <v>237</v>
      </c>
      <c r="AH964" t="s">
        <v>136</v>
      </c>
      <c r="AI964" t="str">
        <f t="shared" si="239"/>
        <v>Lutheran Home 25</v>
      </c>
      <c r="AJ964" t="str">
        <f t="shared" si="240"/>
        <v>Green Bay</v>
      </c>
      <c r="AK964" t="str">
        <f t="shared" si="241"/>
        <v>WI</v>
      </c>
    </row>
    <row r="965" spans="18:37" x14ac:dyDescent="0.25">
      <c r="S965">
        <v>707</v>
      </c>
      <c r="T965">
        <f t="shared" si="237"/>
        <v>129</v>
      </c>
      <c r="U965">
        <f t="shared" si="242"/>
        <v>26053</v>
      </c>
      <c r="V965">
        <f t="shared" ca="1" si="243"/>
        <v>0</v>
      </c>
      <c r="W965">
        <v>237</v>
      </c>
      <c r="X965" t="str">
        <f t="shared" ca="1" si="244"/>
        <v/>
      </c>
      <c r="Y965" t="s">
        <v>28</v>
      </c>
      <c r="Z965">
        <f t="shared" ca="1" si="245"/>
        <v>0</v>
      </c>
      <c r="AA965" t="str">
        <f t="shared" ca="1" si="246"/>
        <v>SPPN</v>
      </c>
      <c r="AB965">
        <f t="shared" ca="1" si="247"/>
        <v>1</v>
      </c>
      <c r="AC965">
        <f t="shared" ca="1" si="248"/>
        <v>0</v>
      </c>
      <c r="AD965" t="str">
        <f t="shared" si="238"/>
        <v>4093RN153</v>
      </c>
      <c r="AE965">
        <f t="shared" ca="1" si="249"/>
        <v>0</v>
      </c>
      <c r="AF965" t="str">
        <f t="shared" ca="1" si="250"/>
        <v/>
      </c>
      <c r="AG965">
        <v>237</v>
      </c>
      <c r="AH965" t="s">
        <v>136</v>
      </c>
      <c r="AI965" t="str">
        <f t="shared" si="239"/>
        <v>Lutheran Home 25</v>
      </c>
      <c r="AJ965" t="str">
        <f t="shared" si="240"/>
        <v>Green Bay</v>
      </c>
      <c r="AK965" t="str">
        <f t="shared" si="241"/>
        <v>WI</v>
      </c>
    </row>
    <row r="966" spans="18:37" x14ac:dyDescent="0.25">
      <c r="S966">
        <v>708</v>
      </c>
      <c r="T966">
        <f t="shared" si="237"/>
        <v>129</v>
      </c>
      <c r="U966">
        <f t="shared" si="242"/>
        <v>26053</v>
      </c>
      <c r="V966">
        <f t="shared" ca="1" si="243"/>
        <v>0</v>
      </c>
      <c r="W966">
        <v>237</v>
      </c>
      <c r="X966" t="str">
        <f t="shared" ca="1" si="244"/>
        <v/>
      </c>
      <c r="Y966" t="s">
        <v>32</v>
      </c>
      <c r="Z966">
        <f t="shared" ca="1" si="245"/>
        <v>0</v>
      </c>
      <c r="AA966" t="str">
        <f t="shared" ca="1" si="246"/>
        <v>SPPN</v>
      </c>
      <c r="AB966">
        <f t="shared" ca="1" si="247"/>
        <v>1</v>
      </c>
      <c r="AC966">
        <f t="shared" ca="1" si="248"/>
        <v>0</v>
      </c>
      <c r="AD966" t="str">
        <f t="shared" si="238"/>
        <v>4093RN153</v>
      </c>
      <c r="AE966">
        <f t="shared" ca="1" si="249"/>
        <v>0</v>
      </c>
      <c r="AF966" t="str">
        <f t="shared" ca="1" si="250"/>
        <v/>
      </c>
      <c r="AG966">
        <v>237</v>
      </c>
      <c r="AH966" t="s">
        <v>136</v>
      </c>
      <c r="AI966" t="str">
        <f t="shared" si="239"/>
        <v>Lutheran Home 25</v>
      </c>
      <c r="AJ966" t="str">
        <f t="shared" si="240"/>
        <v>Green Bay</v>
      </c>
      <c r="AK966" t="str">
        <f t="shared" si="241"/>
        <v>WI</v>
      </c>
    </row>
    <row r="967" spans="18:37" x14ac:dyDescent="0.25">
      <c r="R967">
        <v>1</v>
      </c>
      <c r="S967">
        <v>709</v>
      </c>
      <c r="T967">
        <f t="shared" si="237"/>
        <v>129</v>
      </c>
      <c r="U967">
        <f t="shared" si="242"/>
        <v>26053</v>
      </c>
      <c r="V967">
        <f t="shared" ca="1" si="243"/>
        <v>0</v>
      </c>
      <c r="W967">
        <v>238</v>
      </c>
      <c r="X967" t="str">
        <f t="shared" ca="1" si="244"/>
        <v/>
      </c>
      <c r="Y967" t="s">
        <v>9</v>
      </c>
      <c r="Z967">
        <f t="shared" ca="1" si="245"/>
        <v>0</v>
      </c>
      <c r="AA967" t="str">
        <f t="shared" ca="1" si="246"/>
        <v>SPPN</v>
      </c>
      <c r="AB967">
        <f t="shared" ca="1" si="247"/>
        <v>1</v>
      </c>
      <c r="AC967" t="str">
        <f t="shared" ca="1" si="248"/>
        <v/>
      </c>
      <c r="AD967" t="str">
        <f t="shared" si="238"/>
        <v>4093RN153</v>
      </c>
      <c r="AE967">
        <f t="shared" ca="1" si="249"/>
        <v>0</v>
      </c>
      <c r="AF967" t="str">
        <f t="shared" ca="1" si="250"/>
        <v/>
      </c>
      <c r="AG967">
        <v>238</v>
      </c>
      <c r="AH967" t="s">
        <v>136</v>
      </c>
      <c r="AI967" t="str">
        <f t="shared" si="239"/>
        <v>Lutheran Home 25</v>
      </c>
      <c r="AJ967" t="str">
        <f t="shared" si="240"/>
        <v>Green Bay</v>
      </c>
      <c r="AK967" t="str">
        <f t="shared" si="241"/>
        <v>WI</v>
      </c>
    </row>
    <row r="968" spans="18:37" x14ac:dyDescent="0.25">
      <c r="S968">
        <v>710</v>
      </c>
      <c r="T968">
        <f t="shared" si="237"/>
        <v>129</v>
      </c>
      <c r="U968">
        <f t="shared" si="242"/>
        <v>26053</v>
      </c>
      <c r="V968">
        <f t="shared" ca="1" si="243"/>
        <v>0</v>
      </c>
      <c r="W968">
        <v>238</v>
      </c>
      <c r="X968" t="str">
        <f t="shared" ca="1" si="244"/>
        <v/>
      </c>
      <c r="Y968" t="s">
        <v>33</v>
      </c>
      <c r="Z968">
        <f t="shared" ca="1" si="245"/>
        <v>0</v>
      </c>
      <c r="AA968" t="str">
        <f t="shared" ca="1" si="246"/>
        <v>SPPN</v>
      </c>
      <c r="AB968">
        <f t="shared" ca="1" si="247"/>
        <v>1</v>
      </c>
      <c r="AC968" t="str">
        <f t="shared" ca="1" si="248"/>
        <v/>
      </c>
      <c r="AD968" t="str">
        <f t="shared" si="238"/>
        <v>4093RN153</v>
      </c>
      <c r="AE968">
        <f t="shared" ca="1" si="249"/>
        <v>0</v>
      </c>
      <c r="AF968" t="str">
        <f t="shared" ca="1" si="250"/>
        <v/>
      </c>
      <c r="AG968">
        <v>238</v>
      </c>
      <c r="AH968" t="s">
        <v>136</v>
      </c>
      <c r="AI968" t="str">
        <f t="shared" si="239"/>
        <v>Lutheran Home 25</v>
      </c>
      <c r="AJ968" t="str">
        <f t="shared" si="240"/>
        <v>Green Bay</v>
      </c>
      <c r="AK968" t="str">
        <f t="shared" si="241"/>
        <v>WI</v>
      </c>
    </row>
    <row r="969" spans="18:37" x14ac:dyDescent="0.25">
      <c r="S969">
        <v>711</v>
      </c>
      <c r="T969">
        <f t="shared" si="237"/>
        <v>129</v>
      </c>
      <c r="U969">
        <f t="shared" si="242"/>
        <v>26053</v>
      </c>
      <c r="V969">
        <f t="shared" ca="1" si="243"/>
        <v>0</v>
      </c>
      <c r="W969">
        <v>238</v>
      </c>
      <c r="X969" t="str">
        <f t="shared" ca="1" si="244"/>
        <v/>
      </c>
      <c r="Y969" t="s">
        <v>28</v>
      </c>
      <c r="Z969">
        <f t="shared" ca="1" si="245"/>
        <v>0</v>
      </c>
      <c r="AA969" t="str">
        <f t="shared" ca="1" si="246"/>
        <v>SPPN</v>
      </c>
      <c r="AB969">
        <f t="shared" ca="1" si="247"/>
        <v>1</v>
      </c>
      <c r="AC969">
        <f t="shared" ca="1" si="248"/>
        <v>0</v>
      </c>
      <c r="AD969" t="str">
        <f t="shared" si="238"/>
        <v>4093RN153</v>
      </c>
      <c r="AE969">
        <f t="shared" ca="1" si="249"/>
        <v>0</v>
      </c>
      <c r="AF969" t="str">
        <f t="shared" ca="1" si="250"/>
        <v/>
      </c>
      <c r="AG969">
        <v>238</v>
      </c>
      <c r="AH969" t="s">
        <v>136</v>
      </c>
      <c r="AI969" t="str">
        <f t="shared" si="239"/>
        <v>Lutheran Home 25</v>
      </c>
      <c r="AJ969" t="str">
        <f t="shared" si="240"/>
        <v>Green Bay</v>
      </c>
      <c r="AK969" t="str">
        <f t="shared" si="241"/>
        <v>WI</v>
      </c>
    </row>
    <row r="970" spans="18:37" x14ac:dyDescent="0.25">
      <c r="S970">
        <v>712</v>
      </c>
      <c r="T970">
        <f t="shared" si="237"/>
        <v>129</v>
      </c>
      <c r="U970">
        <f t="shared" si="242"/>
        <v>26053</v>
      </c>
      <c r="V970">
        <f t="shared" ca="1" si="243"/>
        <v>0</v>
      </c>
      <c r="W970">
        <v>238</v>
      </c>
      <c r="X970" t="str">
        <f t="shared" ca="1" si="244"/>
        <v/>
      </c>
      <c r="Y970" t="s">
        <v>32</v>
      </c>
      <c r="Z970">
        <f t="shared" ca="1" si="245"/>
        <v>0</v>
      </c>
      <c r="AA970" t="str">
        <f t="shared" ca="1" si="246"/>
        <v>SPPN</v>
      </c>
      <c r="AB970">
        <f t="shared" ca="1" si="247"/>
        <v>1</v>
      </c>
      <c r="AC970">
        <f t="shared" ca="1" si="248"/>
        <v>0</v>
      </c>
      <c r="AD970" t="str">
        <f t="shared" si="238"/>
        <v>4093RN153</v>
      </c>
      <c r="AE970">
        <f t="shared" ca="1" si="249"/>
        <v>0</v>
      </c>
      <c r="AF970" t="str">
        <f t="shared" ca="1" si="250"/>
        <v/>
      </c>
      <c r="AG970">
        <v>238</v>
      </c>
      <c r="AH970" t="s">
        <v>136</v>
      </c>
      <c r="AI970" t="str">
        <f t="shared" si="239"/>
        <v>Lutheran Home 25</v>
      </c>
      <c r="AJ970" t="str">
        <f t="shared" si="240"/>
        <v>Green Bay</v>
      </c>
      <c r="AK970" t="str">
        <f t="shared" si="241"/>
        <v>WI</v>
      </c>
    </row>
    <row r="971" spans="18:37" x14ac:dyDescent="0.25">
      <c r="R971">
        <v>1</v>
      </c>
      <c r="S971">
        <v>713</v>
      </c>
      <c r="T971">
        <f t="shared" si="237"/>
        <v>129</v>
      </c>
      <c r="U971">
        <f t="shared" si="242"/>
        <v>26053</v>
      </c>
      <c r="V971">
        <f t="shared" ca="1" si="243"/>
        <v>0</v>
      </c>
      <c r="W971">
        <v>239</v>
      </c>
      <c r="X971" t="str">
        <f t="shared" ca="1" si="244"/>
        <v/>
      </c>
      <c r="Y971" t="s">
        <v>9</v>
      </c>
      <c r="Z971">
        <f t="shared" ca="1" si="245"/>
        <v>0</v>
      </c>
      <c r="AA971" t="str">
        <f t="shared" ca="1" si="246"/>
        <v>SPPN</v>
      </c>
      <c r="AB971">
        <f t="shared" ca="1" si="247"/>
        <v>1</v>
      </c>
      <c r="AC971" t="str">
        <f t="shared" ca="1" si="248"/>
        <v/>
      </c>
      <c r="AD971" t="str">
        <f t="shared" si="238"/>
        <v>4093RN153</v>
      </c>
      <c r="AE971">
        <f t="shared" ca="1" si="249"/>
        <v>0</v>
      </c>
      <c r="AF971" t="str">
        <f t="shared" ca="1" si="250"/>
        <v/>
      </c>
      <c r="AG971">
        <v>239</v>
      </c>
      <c r="AH971" t="s">
        <v>136</v>
      </c>
      <c r="AI971" t="str">
        <f t="shared" si="239"/>
        <v>Lutheran Home 25</v>
      </c>
      <c r="AJ971" t="str">
        <f t="shared" si="240"/>
        <v>Green Bay</v>
      </c>
      <c r="AK971" t="str">
        <f t="shared" si="241"/>
        <v>WI</v>
      </c>
    </row>
    <row r="972" spans="18:37" x14ac:dyDescent="0.25">
      <c r="S972">
        <v>714</v>
      </c>
      <c r="T972">
        <f t="shared" si="237"/>
        <v>129</v>
      </c>
      <c r="U972">
        <f t="shared" si="242"/>
        <v>26053</v>
      </c>
      <c r="V972">
        <f t="shared" ca="1" si="243"/>
        <v>0</v>
      </c>
      <c r="W972">
        <v>239</v>
      </c>
      <c r="X972" t="str">
        <f t="shared" ca="1" si="244"/>
        <v/>
      </c>
      <c r="Y972" t="s">
        <v>33</v>
      </c>
      <c r="Z972">
        <f t="shared" ca="1" si="245"/>
        <v>0</v>
      </c>
      <c r="AA972" t="str">
        <f t="shared" ca="1" si="246"/>
        <v>SPPN</v>
      </c>
      <c r="AB972">
        <f t="shared" ca="1" si="247"/>
        <v>1</v>
      </c>
      <c r="AC972" t="str">
        <f t="shared" ca="1" si="248"/>
        <v/>
      </c>
      <c r="AD972" t="str">
        <f t="shared" si="238"/>
        <v>4093RN153</v>
      </c>
      <c r="AE972">
        <f t="shared" ca="1" si="249"/>
        <v>0</v>
      </c>
      <c r="AF972" t="str">
        <f t="shared" ca="1" si="250"/>
        <v/>
      </c>
      <c r="AG972">
        <v>239</v>
      </c>
      <c r="AH972" t="s">
        <v>136</v>
      </c>
      <c r="AI972" t="str">
        <f t="shared" si="239"/>
        <v>Lutheran Home 25</v>
      </c>
      <c r="AJ972" t="str">
        <f t="shared" si="240"/>
        <v>Green Bay</v>
      </c>
      <c r="AK972" t="str">
        <f t="shared" si="241"/>
        <v>WI</v>
      </c>
    </row>
    <row r="973" spans="18:37" x14ac:dyDescent="0.25">
      <c r="S973">
        <v>715</v>
      </c>
      <c r="T973">
        <f t="shared" si="237"/>
        <v>129</v>
      </c>
      <c r="U973">
        <f t="shared" si="242"/>
        <v>26053</v>
      </c>
      <c r="V973">
        <f t="shared" ca="1" si="243"/>
        <v>0</v>
      </c>
      <c r="W973">
        <v>239</v>
      </c>
      <c r="X973" t="str">
        <f t="shared" ca="1" si="244"/>
        <v/>
      </c>
      <c r="Y973" t="s">
        <v>28</v>
      </c>
      <c r="Z973">
        <f t="shared" ca="1" si="245"/>
        <v>0</v>
      </c>
      <c r="AA973" t="str">
        <f t="shared" ca="1" si="246"/>
        <v>SPPN</v>
      </c>
      <c r="AB973">
        <f t="shared" ca="1" si="247"/>
        <v>1</v>
      </c>
      <c r="AC973">
        <f t="shared" ca="1" si="248"/>
        <v>0</v>
      </c>
      <c r="AD973" t="str">
        <f t="shared" si="238"/>
        <v>4093RN153</v>
      </c>
      <c r="AE973">
        <f t="shared" ca="1" si="249"/>
        <v>0</v>
      </c>
      <c r="AF973" t="str">
        <f t="shared" ca="1" si="250"/>
        <v/>
      </c>
      <c r="AG973">
        <v>239</v>
      </c>
      <c r="AH973" t="s">
        <v>136</v>
      </c>
      <c r="AI973" t="str">
        <f t="shared" si="239"/>
        <v>Lutheran Home 25</v>
      </c>
      <c r="AJ973" t="str">
        <f t="shared" si="240"/>
        <v>Green Bay</v>
      </c>
      <c r="AK973" t="str">
        <f t="shared" si="241"/>
        <v>WI</v>
      </c>
    </row>
    <row r="974" spans="18:37" x14ac:dyDescent="0.25">
      <c r="S974">
        <v>716</v>
      </c>
      <c r="T974">
        <f t="shared" si="237"/>
        <v>129</v>
      </c>
      <c r="U974">
        <f t="shared" si="242"/>
        <v>26053</v>
      </c>
      <c r="V974">
        <f t="shared" ca="1" si="243"/>
        <v>0</v>
      </c>
      <c r="W974">
        <v>239</v>
      </c>
      <c r="X974" t="str">
        <f t="shared" ca="1" si="244"/>
        <v/>
      </c>
      <c r="Y974" t="s">
        <v>32</v>
      </c>
      <c r="Z974">
        <f t="shared" ca="1" si="245"/>
        <v>0</v>
      </c>
      <c r="AA974" t="str">
        <f t="shared" ca="1" si="246"/>
        <v>SPPN</v>
      </c>
      <c r="AB974">
        <f t="shared" ca="1" si="247"/>
        <v>1</v>
      </c>
      <c r="AC974">
        <f t="shared" ca="1" si="248"/>
        <v>0</v>
      </c>
      <c r="AD974" t="str">
        <f t="shared" si="238"/>
        <v>4093RN153</v>
      </c>
      <c r="AE974">
        <f t="shared" ca="1" si="249"/>
        <v>0</v>
      </c>
      <c r="AF974" t="str">
        <f t="shared" ca="1" si="250"/>
        <v/>
      </c>
      <c r="AG974">
        <v>239</v>
      </c>
      <c r="AH974" t="s">
        <v>136</v>
      </c>
      <c r="AI974" t="str">
        <f t="shared" si="239"/>
        <v>Lutheran Home 25</v>
      </c>
      <c r="AJ974" t="str">
        <f t="shared" si="240"/>
        <v>Green Bay</v>
      </c>
      <c r="AK974" t="str">
        <f t="shared" si="241"/>
        <v>WI</v>
      </c>
    </row>
    <row r="975" spans="18:37" x14ac:dyDescent="0.25">
      <c r="R975">
        <v>1</v>
      </c>
      <c r="S975">
        <v>717</v>
      </c>
      <c r="T975">
        <f t="shared" si="237"/>
        <v>129</v>
      </c>
      <c r="U975">
        <f t="shared" si="242"/>
        <v>26053</v>
      </c>
      <c r="V975">
        <f t="shared" ca="1" si="243"/>
        <v>0</v>
      </c>
      <c r="W975">
        <v>240</v>
      </c>
      <c r="X975" t="str">
        <f t="shared" ca="1" si="244"/>
        <v/>
      </c>
      <c r="Y975" t="s">
        <v>9</v>
      </c>
      <c r="Z975">
        <f t="shared" ca="1" si="245"/>
        <v>0</v>
      </c>
      <c r="AA975" t="str">
        <f t="shared" ca="1" si="246"/>
        <v>SPPN</v>
      </c>
      <c r="AB975">
        <f t="shared" ca="1" si="247"/>
        <v>1</v>
      </c>
      <c r="AC975" t="str">
        <f t="shared" ca="1" si="248"/>
        <v/>
      </c>
      <c r="AD975" t="str">
        <f t="shared" si="238"/>
        <v>4093RN153</v>
      </c>
      <c r="AE975">
        <f t="shared" ca="1" si="249"/>
        <v>0</v>
      </c>
      <c r="AF975" t="str">
        <f t="shared" ca="1" si="250"/>
        <v/>
      </c>
      <c r="AG975">
        <v>240</v>
      </c>
      <c r="AH975" t="s">
        <v>136</v>
      </c>
      <c r="AI975" t="str">
        <f t="shared" si="239"/>
        <v>Lutheran Home 25</v>
      </c>
      <c r="AJ975" t="str">
        <f t="shared" si="240"/>
        <v>Green Bay</v>
      </c>
      <c r="AK975" t="str">
        <f t="shared" si="241"/>
        <v>WI</v>
      </c>
    </row>
    <row r="976" spans="18:37" x14ac:dyDescent="0.25">
      <c r="S976">
        <v>718</v>
      </c>
      <c r="T976">
        <f t="shared" si="237"/>
        <v>129</v>
      </c>
      <c r="U976">
        <f t="shared" si="242"/>
        <v>26053</v>
      </c>
      <c r="V976">
        <f t="shared" ca="1" si="243"/>
        <v>0</v>
      </c>
      <c r="W976">
        <v>240</v>
      </c>
      <c r="X976" t="str">
        <f t="shared" ca="1" si="244"/>
        <v/>
      </c>
      <c r="Y976" t="s">
        <v>33</v>
      </c>
      <c r="Z976">
        <f t="shared" ca="1" si="245"/>
        <v>0</v>
      </c>
      <c r="AA976" t="str">
        <f t="shared" ca="1" si="246"/>
        <v>SPPN</v>
      </c>
      <c r="AB976">
        <f t="shared" ca="1" si="247"/>
        <v>1</v>
      </c>
      <c r="AC976" t="str">
        <f t="shared" ca="1" si="248"/>
        <v/>
      </c>
      <c r="AD976" t="str">
        <f t="shared" si="238"/>
        <v>4093RN153</v>
      </c>
      <c r="AE976">
        <f t="shared" ca="1" si="249"/>
        <v>0</v>
      </c>
      <c r="AF976" t="str">
        <f t="shared" ca="1" si="250"/>
        <v/>
      </c>
      <c r="AG976">
        <v>240</v>
      </c>
      <c r="AH976" t="s">
        <v>136</v>
      </c>
      <c r="AI976" t="str">
        <f t="shared" si="239"/>
        <v>Lutheran Home 25</v>
      </c>
      <c r="AJ976" t="str">
        <f t="shared" si="240"/>
        <v>Green Bay</v>
      </c>
      <c r="AK976" t="str">
        <f t="shared" si="241"/>
        <v>WI</v>
      </c>
    </row>
    <row r="977" spans="19:37" x14ac:dyDescent="0.25">
      <c r="S977">
        <v>719</v>
      </c>
      <c r="T977">
        <f t="shared" si="237"/>
        <v>129</v>
      </c>
      <c r="U977">
        <f t="shared" si="242"/>
        <v>26053</v>
      </c>
      <c r="V977">
        <f t="shared" ca="1" si="243"/>
        <v>0</v>
      </c>
      <c r="W977">
        <v>240</v>
      </c>
      <c r="X977" t="str">
        <f t="shared" ca="1" si="244"/>
        <v/>
      </c>
      <c r="Y977" t="s">
        <v>28</v>
      </c>
      <c r="Z977">
        <f t="shared" ca="1" si="245"/>
        <v>0</v>
      </c>
      <c r="AA977" t="str">
        <f t="shared" ca="1" si="246"/>
        <v>SPPN</v>
      </c>
      <c r="AB977">
        <f t="shared" ca="1" si="247"/>
        <v>1</v>
      </c>
      <c r="AC977">
        <f t="shared" ca="1" si="248"/>
        <v>0</v>
      </c>
      <c r="AD977" t="str">
        <f t="shared" si="238"/>
        <v>4093RN153</v>
      </c>
      <c r="AE977">
        <f t="shared" ca="1" si="249"/>
        <v>0</v>
      </c>
      <c r="AF977" t="str">
        <f t="shared" ca="1" si="250"/>
        <v/>
      </c>
      <c r="AG977">
        <v>240</v>
      </c>
      <c r="AH977" t="s">
        <v>136</v>
      </c>
      <c r="AI977" t="str">
        <f t="shared" si="239"/>
        <v>Lutheran Home 25</v>
      </c>
      <c r="AJ977" t="str">
        <f t="shared" si="240"/>
        <v>Green Bay</v>
      </c>
      <c r="AK977" t="str">
        <f t="shared" si="241"/>
        <v>WI</v>
      </c>
    </row>
    <row r="978" spans="19:37" x14ac:dyDescent="0.25">
      <c r="S978">
        <v>720</v>
      </c>
      <c r="T978">
        <f t="shared" si="237"/>
        <v>129</v>
      </c>
      <c r="U978">
        <f t="shared" si="242"/>
        <v>26053</v>
      </c>
      <c r="V978">
        <f t="shared" ca="1" si="243"/>
        <v>0</v>
      </c>
      <c r="W978">
        <v>240</v>
      </c>
      <c r="X978" t="str">
        <f t="shared" ca="1" si="244"/>
        <v/>
      </c>
      <c r="Y978" t="s">
        <v>32</v>
      </c>
      <c r="Z978">
        <f t="shared" ca="1" si="245"/>
        <v>0</v>
      </c>
      <c r="AA978" t="str">
        <f t="shared" ca="1" si="246"/>
        <v>SPPN</v>
      </c>
      <c r="AB978">
        <f t="shared" ca="1" si="247"/>
        <v>1</v>
      </c>
      <c r="AC978">
        <f t="shared" ca="1" si="248"/>
        <v>0</v>
      </c>
      <c r="AD978" t="str">
        <f t="shared" si="238"/>
        <v>4093RN153</v>
      </c>
      <c r="AE978">
        <f t="shared" ca="1" si="249"/>
        <v>0</v>
      </c>
      <c r="AF978" t="str">
        <f t="shared" ca="1" si="250"/>
        <v/>
      </c>
      <c r="AG978">
        <v>240</v>
      </c>
      <c r="AH978" t="s">
        <v>136</v>
      </c>
      <c r="AI978" t="str">
        <f t="shared" si="239"/>
        <v>Lutheran Home 25</v>
      </c>
      <c r="AJ978" t="str">
        <f t="shared" si="240"/>
        <v>Green Bay</v>
      </c>
      <c r="AK978" t="str">
        <f t="shared" si="241"/>
        <v>WI</v>
      </c>
    </row>
  </sheetData>
  <dataValidations count="5">
    <dataValidation type="list" allowBlank="1" showInputMessage="1" showErrorMessage="1" sqref="H4" xr:uid="{00000000-0002-0000-0000-000000000000}">
      <formula1>#REF!</formula1>
    </dataValidation>
    <dataValidation type="list" allowBlank="1" showInputMessage="1" showErrorMessage="1" sqref="A19:A258" xr:uid="{00000000-0002-0000-0000-000001000000}">
      <formula1>$AZ$3:$AZ$4</formula1>
    </dataValidation>
    <dataValidation type="list" allowBlank="1" showInputMessage="1" showErrorMessage="1" sqref="J19:J258" xr:uid="{00000000-0002-0000-0000-000002000000}">
      <formula1>$BA$3:$BA$4</formula1>
    </dataValidation>
    <dataValidation type="list" allowBlank="1" showInputMessage="1" showErrorMessage="1" sqref="K19:K258" xr:uid="{00000000-0002-0000-0000-000003000000}">
      <formula1>$BB$3:$BB$6</formula1>
    </dataValidation>
    <dataValidation type="list" allowBlank="1" showInputMessage="1" showErrorMessage="1" sqref="L19:L258" xr:uid="{AA2DB0C6-E493-49E8-8CFC-D8853B5B4239}">
      <formula1>$BC$3:$BC$19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0</xdr:col>
                    <xdr:colOff>114300</xdr:colOff>
                    <xdr:row>4</xdr:row>
                    <xdr:rowOff>171450</xdr:rowOff>
                  </from>
                  <to>
                    <xdr:col>1</xdr:col>
                    <xdr:colOff>209550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D2:DO964"/>
  <sheetViews>
    <sheetView topLeftCell="T1" workbookViewId="0">
      <selection activeCell="AB4" sqref="AB4"/>
    </sheetView>
  </sheetViews>
  <sheetFormatPr defaultRowHeight="15" x14ac:dyDescent="0.25"/>
  <cols>
    <col min="20" max="20" width="27.85546875" customWidth="1"/>
    <col min="24" max="24" width="16.42578125" customWidth="1"/>
    <col min="55" max="55" width="9.7109375" customWidth="1"/>
    <col min="62" max="62" width="9.7109375" customWidth="1"/>
    <col min="119" max="119" width="9.7109375" customWidth="1"/>
  </cols>
  <sheetData>
    <row r="2" spans="6:109" x14ac:dyDescent="0.25">
      <c r="BD2" t="s">
        <v>412</v>
      </c>
    </row>
    <row r="3" spans="6:109" x14ac:dyDescent="0.25">
      <c r="CC3" t="s">
        <v>476</v>
      </c>
    </row>
    <row r="4" spans="6:109" x14ac:dyDescent="0.25">
      <c r="O4" t="s">
        <v>410</v>
      </c>
      <c r="BC4" s="16" t="s">
        <v>7</v>
      </c>
      <c r="BJ4" s="16" t="s">
        <v>7</v>
      </c>
      <c r="DE4" t="s">
        <v>476</v>
      </c>
    </row>
    <row r="5" spans="6:109" x14ac:dyDescent="0.25">
      <c r="F5" t="s">
        <v>159</v>
      </c>
      <c r="H5" t="s">
        <v>219</v>
      </c>
      <c r="M5" t="s">
        <v>281</v>
      </c>
      <c r="O5" t="s">
        <v>342</v>
      </c>
      <c r="T5" t="s">
        <v>344</v>
      </c>
      <c r="U5" t="s">
        <v>345</v>
      </c>
      <c r="V5" t="s">
        <v>346</v>
      </c>
      <c r="W5" t="s">
        <v>347</v>
      </c>
      <c r="X5" t="s">
        <v>344</v>
      </c>
      <c r="Y5" t="s">
        <v>407</v>
      </c>
      <c r="Z5" t="s">
        <v>27</v>
      </c>
      <c r="AA5" t="s">
        <v>407</v>
      </c>
      <c r="AB5" t="s">
        <v>408</v>
      </c>
      <c r="AC5" t="s">
        <v>407</v>
      </c>
      <c r="AD5" t="s">
        <v>27</v>
      </c>
      <c r="AE5" t="s">
        <v>407</v>
      </c>
      <c r="AF5" t="s">
        <v>408</v>
      </c>
      <c r="AG5" t="s">
        <v>345</v>
      </c>
      <c r="AH5" t="s">
        <v>346</v>
      </c>
      <c r="AI5" t="s">
        <v>347</v>
      </c>
      <c r="AJ5" t="s">
        <v>344</v>
      </c>
      <c r="AK5" t="s">
        <v>407</v>
      </c>
      <c r="AL5" t="s">
        <v>279</v>
      </c>
      <c r="AM5" t="s">
        <v>407</v>
      </c>
      <c r="AN5" t="s">
        <v>408</v>
      </c>
      <c r="AO5" t="s">
        <v>407</v>
      </c>
      <c r="AP5" t="s">
        <v>53</v>
      </c>
      <c r="AQ5" t="s">
        <v>407</v>
      </c>
      <c r="AR5" t="s">
        <v>408</v>
      </c>
      <c r="AS5" t="s">
        <v>407</v>
      </c>
      <c r="AT5" t="s">
        <v>407</v>
      </c>
      <c r="AU5" t="s">
        <v>409</v>
      </c>
      <c r="AV5" t="s">
        <v>409</v>
      </c>
      <c r="AW5" t="str">
        <f>T5&amp;U5&amp;V5&amp;W5&amp;X5&amp;Y5&amp;Z5&amp;AA5&amp;AB5&amp;AC5&amp;AD5&amp;AE5&amp;AF5&amp;AG5&amp;AH5&amp;AI5&amp;AJ5&amp;AK5&amp;AL5&amp;AM5&amp;AN5&amp;AO5&amp;AP5&amp;AQ5&amp;AR5&amp;AS5&amp;AT5&amp;AU5&amp;AV5</f>
        <v>#if(J19#"JE","JE",if(J19#"Drilled","JC",""))</v>
      </c>
      <c r="BC5" t="s">
        <v>413</v>
      </c>
      <c r="BJ5" t="s">
        <v>476</v>
      </c>
      <c r="BQ5" t="s">
        <v>600</v>
      </c>
      <c r="BR5" t="s">
        <v>346</v>
      </c>
      <c r="BS5" t="s">
        <v>536</v>
      </c>
      <c r="BT5" t="s">
        <v>596</v>
      </c>
      <c r="BU5" t="s">
        <v>407</v>
      </c>
      <c r="BV5" t="s">
        <v>157</v>
      </c>
      <c r="BW5" t="s">
        <v>407</v>
      </c>
      <c r="BX5" t="s">
        <v>408</v>
      </c>
      <c r="BY5" t="s">
        <v>407</v>
      </c>
      <c r="BZ5" t="s">
        <v>80</v>
      </c>
      <c r="CA5" t="s">
        <v>407</v>
      </c>
      <c r="CB5" t="s">
        <v>408</v>
      </c>
      <c r="CC5" t="s">
        <v>597</v>
      </c>
      <c r="CD5" t="s">
        <v>346</v>
      </c>
      <c r="CE5" t="s">
        <v>536</v>
      </c>
      <c r="CF5" t="s">
        <v>596</v>
      </c>
      <c r="CG5" s="32" t="s">
        <v>407</v>
      </c>
      <c r="CH5" t="s">
        <v>411</v>
      </c>
      <c r="CI5" t="s">
        <v>407</v>
      </c>
      <c r="CJ5" t="s">
        <v>408</v>
      </c>
      <c r="CK5" s="32" t="s">
        <v>407</v>
      </c>
      <c r="CL5" t="s">
        <v>29</v>
      </c>
      <c r="CM5" t="s">
        <v>407</v>
      </c>
      <c r="CN5" t="s">
        <v>408</v>
      </c>
      <c r="CO5" t="s">
        <v>597</v>
      </c>
      <c r="CP5" t="s">
        <v>346</v>
      </c>
      <c r="CQ5" t="s">
        <v>536</v>
      </c>
      <c r="CR5" t="s">
        <v>596</v>
      </c>
      <c r="CS5" s="32" t="s">
        <v>407</v>
      </c>
      <c r="CT5" t="s">
        <v>475</v>
      </c>
      <c r="CU5" t="s">
        <v>407</v>
      </c>
      <c r="CV5" t="s">
        <v>408</v>
      </c>
      <c r="CW5" s="32" t="s">
        <v>407</v>
      </c>
      <c r="CX5" t="s">
        <v>83</v>
      </c>
      <c r="CY5" t="s">
        <v>407</v>
      </c>
      <c r="CZ5" t="s">
        <v>408</v>
      </c>
      <c r="DA5" t="s">
        <v>407</v>
      </c>
      <c r="DB5" t="s">
        <v>598</v>
      </c>
      <c r="DC5" t="s">
        <v>407</v>
      </c>
      <c r="DD5" t="s">
        <v>599</v>
      </c>
      <c r="DE5" t="str">
        <f>BQ5&amp;BR5&amp;BS5&amp;BT5&amp;BU5&amp;BV5&amp;BW5&amp;BX5&amp;BY5&amp;BZ5&amp;CA5&amp;CB5&amp;CC5&amp;CD5&amp;CE5&amp;CF5&amp;CG5&amp;CH5&amp;CI5&amp;CJ5&amp;CK5&amp;CL5&amp;CM5&amp;CN5&amp;CO5&amp;CP5&amp;CQ5&amp;CR5&amp;CS5&amp;CT5&amp;CU5&amp;CV5&amp;CW5&amp;CX5&amp;CY5&amp;CZ5&amp;DA5&amp;DB5&amp;DC5&amp;DD5</f>
        <v>%IF(K19%"Poplar","PAINT",IF(K19%"Red Oak","SGO",IF(K19%"Maple","SM","SPPN")))</v>
      </c>
    </row>
    <row r="6" spans="6:109" x14ac:dyDescent="0.25">
      <c r="F6" t="s">
        <v>159</v>
      </c>
      <c r="H6" t="s">
        <v>219</v>
      </c>
      <c r="M6" t="s">
        <v>281</v>
      </c>
      <c r="O6" t="s">
        <v>342</v>
      </c>
      <c r="T6" t="s">
        <v>344</v>
      </c>
      <c r="U6" t="s">
        <v>345</v>
      </c>
      <c r="V6" t="s">
        <v>346</v>
      </c>
      <c r="W6" t="s">
        <v>347</v>
      </c>
      <c r="X6" t="s">
        <v>344</v>
      </c>
      <c r="Y6" t="s">
        <v>407</v>
      </c>
      <c r="Z6" t="s">
        <v>27</v>
      </c>
      <c r="AA6" t="s">
        <v>407</v>
      </c>
      <c r="AB6" t="s">
        <v>408</v>
      </c>
      <c r="AC6" t="s">
        <v>407</v>
      </c>
      <c r="AD6" t="s">
        <v>27</v>
      </c>
      <c r="AE6" t="s">
        <v>407</v>
      </c>
      <c r="AF6" t="s">
        <v>408</v>
      </c>
      <c r="AG6" t="s">
        <v>345</v>
      </c>
      <c r="AH6" t="s">
        <v>346</v>
      </c>
      <c r="AI6" t="s">
        <v>347</v>
      </c>
      <c r="AJ6" t="s">
        <v>344</v>
      </c>
      <c r="AK6" t="s">
        <v>407</v>
      </c>
      <c r="AL6" t="s">
        <v>279</v>
      </c>
      <c r="AM6" t="s">
        <v>407</v>
      </c>
      <c r="AN6" t="s">
        <v>408</v>
      </c>
      <c r="AO6" t="s">
        <v>407</v>
      </c>
      <c r="AP6" t="s">
        <v>53</v>
      </c>
      <c r="AQ6" t="s">
        <v>407</v>
      </c>
      <c r="AR6" t="s">
        <v>408</v>
      </c>
      <c r="AS6" t="s">
        <v>407</v>
      </c>
      <c r="AT6" t="s">
        <v>407</v>
      </c>
      <c r="AU6" t="s">
        <v>409</v>
      </c>
      <c r="AV6" t="s">
        <v>409</v>
      </c>
      <c r="AW6" t="str">
        <f t="shared" ref="AW6:AW69" si="0">T6&amp;U6&amp;V6&amp;W6&amp;X6&amp;Y6&amp;Z6&amp;AA6&amp;AB6&amp;AC6&amp;AD6&amp;AE6&amp;AF6&amp;AG6&amp;AH6&amp;AI6&amp;AJ6&amp;AK6&amp;AL6&amp;AM6&amp;AN6&amp;AO6&amp;AP6&amp;AQ6&amp;AR6&amp;AS6&amp;AT6&amp;AU6&amp;AV6</f>
        <v>#if(J19#"JE","JE",if(J19#"Drilled","JC",""))</v>
      </c>
      <c r="BC6" t="s">
        <v>413</v>
      </c>
      <c r="BJ6" t="s">
        <v>476</v>
      </c>
      <c r="BQ6" t="s">
        <v>600</v>
      </c>
      <c r="BR6" t="s">
        <v>346</v>
      </c>
      <c r="BS6" t="s">
        <v>536</v>
      </c>
      <c r="BT6" t="s">
        <v>596</v>
      </c>
      <c r="BU6" t="s">
        <v>407</v>
      </c>
      <c r="BV6" t="s">
        <v>157</v>
      </c>
      <c r="BW6" t="s">
        <v>407</v>
      </c>
      <c r="BX6" t="s">
        <v>408</v>
      </c>
      <c r="BY6" t="s">
        <v>407</v>
      </c>
      <c r="BZ6" t="s">
        <v>80</v>
      </c>
      <c r="CA6" t="s">
        <v>407</v>
      </c>
      <c r="CB6" t="s">
        <v>408</v>
      </c>
      <c r="CC6" t="s">
        <v>597</v>
      </c>
      <c r="CD6" t="s">
        <v>346</v>
      </c>
      <c r="CE6" t="s">
        <v>536</v>
      </c>
      <c r="CF6" t="s">
        <v>596</v>
      </c>
      <c r="CG6" s="32" t="s">
        <v>407</v>
      </c>
      <c r="CH6" t="s">
        <v>411</v>
      </c>
      <c r="CI6" t="s">
        <v>407</v>
      </c>
      <c r="CJ6" t="s">
        <v>408</v>
      </c>
      <c r="CK6" s="32" t="s">
        <v>407</v>
      </c>
      <c r="CL6" t="s">
        <v>29</v>
      </c>
      <c r="CM6" t="s">
        <v>407</v>
      </c>
      <c r="CN6" t="s">
        <v>408</v>
      </c>
      <c r="CO6" t="s">
        <v>597</v>
      </c>
      <c r="CP6" t="s">
        <v>346</v>
      </c>
      <c r="CQ6" t="s">
        <v>536</v>
      </c>
      <c r="CR6" t="s">
        <v>596</v>
      </c>
      <c r="CS6" s="32" t="s">
        <v>407</v>
      </c>
      <c r="CT6" t="s">
        <v>475</v>
      </c>
      <c r="CU6" t="s">
        <v>407</v>
      </c>
      <c r="CV6" t="s">
        <v>408</v>
      </c>
      <c r="CW6" s="32" t="s">
        <v>407</v>
      </c>
      <c r="CX6" t="s">
        <v>83</v>
      </c>
      <c r="CY6" t="s">
        <v>407</v>
      </c>
      <c r="CZ6" t="s">
        <v>408</v>
      </c>
      <c r="DA6" t="s">
        <v>407</v>
      </c>
      <c r="DB6" t="s">
        <v>598</v>
      </c>
      <c r="DC6" t="s">
        <v>407</v>
      </c>
      <c r="DD6" t="s">
        <v>599</v>
      </c>
      <c r="DE6" t="str">
        <f t="shared" ref="DE6:DE69" si="1">BQ6&amp;BR6&amp;BS6&amp;BT6&amp;BU6&amp;BV6&amp;BW6&amp;BX6&amp;BY6&amp;BZ6&amp;CA6&amp;CB6&amp;CC6&amp;CD6&amp;CE6&amp;CF6&amp;CG6&amp;CH6&amp;CI6&amp;CJ6&amp;CK6&amp;CL6&amp;CM6&amp;CN6&amp;CO6&amp;CP6&amp;CQ6&amp;CR6&amp;CS6&amp;CT6&amp;CU6&amp;CV6&amp;CW6&amp;CX6&amp;CY6&amp;CZ6&amp;DA6&amp;DB6&amp;DC6&amp;DD6</f>
        <v>%IF(K19%"Poplar","PAINT",IF(K19%"Red Oak","SGO",IF(K19%"Maple","SM","SPPN")))</v>
      </c>
    </row>
    <row r="7" spans="6:109" x14ac:dyDescent="0.25">
      <c r="F7" t="s">
        <v>159</v>
      </c>
      <c r="H7" t="s">
        <v>219</v>
      </c>
      <c r="M7" t="s">
        <v>281</v>
      </c>
      <c r="O7" t="s">
        <v>342</v>
      </c>
      <c r="T7" t="s">
        <v>344</v>
      </c>
      <c r="U7" t="s">
        <v>345</v>
      </c>
      <c r="V7" t="s">
        <v>346</v>
      </c>
      <c r="W7" t="s">
        <v>347</v>
      </c>
      <c r="X7" t="s">
        <v>344</v>
      </c>
      <c r="Y7" t="s">
        <v>407</v>
      </c>
      <c r="Z7" t="s">
        <v>27</v>
      </c>
      <c r="AA7" t="s">
        <v>407</v>
      </c>
      <c r="AB7" t="s">
        <v>408</v>
      </c>
      <c r="AC7" t="s">
        <v>407</v>
      </c>
      <c r="AD7" t="s">
        <v>27</v>
      </c>
      <c r="AE7" t="s">
        <v>407</v>
      </c>
      <c r="AF7" t="s">
        <v>408</v>
      </c>
      <c r="AG7" t="s">
        <v>345</v>
      </c>
      <c r="AH7" t="s">
        <v>346</v>
      </c>
      <c r="AI7" t="s">
        <v>347</v>
      </c>
      <c r="AJ7" t="s">
        <v>344</v>
      </c>
      <c r="AK7" t="s">
        <v>407</v>
      </c>
      <c r="AL7" t="s">
        <v>279</v>
      </c>
      <c r="AM7" t="s">
        <v>407</v>
      </c>
      <c r="AN7" t="s">
        <v>408</v>
      </c>
      <c r="AO7" t="s">
        <v>407</v>
      </c>
      <c r="AP7" t="s">
        <v>53</v>
      </c>
      <c r="AQ7" t="s">
        <v>407</v>
      </c>
      <c r="AR7" t="s">
        <v>408</v>
      </c>
      <c r="AS7" t="s">
        <v>407</v>
      </c>
      <c r="AT7" t="s">
        <v>407</v>
      </c>
      <c r="AU7" t="s">
        <v>409</v>
      </c>
      <c r="AV7" t="s">
        <v>409</v>
      </c>
      <c r="AW7" t="str">
        <f t="shared" si="0"/>
        <v>#if(J19#"JE","JE",if(J19#"Drilled","JC",""))</v>
      </c>
      <c r="BC7" t="s">
        <v>413</v>
      </c>
      <c r="BJ7" t="s">
        <v>476</v>
      </c>
      <c r="BQ7" t="s">
        <v>600</v>
      </c>
      <c r="BR7" t="s">
        <v>346</v>
      </c>
      <c r="BS7" t="s">
        <v>536</v>
      </c>
      <c r="BT7" t="s">
        <v>596</v>
      </c>
      <c r="BU7" t="s">
        <v>407</v>
      </c>
      <c r="BV7" t="s">
        <v>157</v>
      </c>
      <c r="BW7" t="s">
        <v>407</v>
      </c>
      <c r="BX7" t="s">
        <v>408</v>
      </c>
      <c r="BY7" t="s">
        <v>407</v>
      </c>
      <c r="BZ7" t="s">
        <v>80</v>
      </c>
      <c r="CA7" t="s">
        <v>407</v>
      </c>
      <c r="CB7" t="s">
        <v>408</v>
      </c>
      <c r="CC7" t="s">
        <v>597</v>
      </c>
      <c r="CD7" t="s">
        <v>346</v>
      </c>
      <c r="CE7" t="s">
        <v>536</v>
      </c>
      <c r="CF7" t="s">
        <v>596</v>
      </c>
      <c r="CG7" s="32" t="s">
        <v>407</v>
      </c>
      <c r="CH7" t="s">
        <v>411</v>
      </c>
      <c r="CI7" t="s">
        <v>407</v>
      </c>
      <c r="CJ7" t="s">
        <v>408</v>
      </c>
      <c r="CK7" s="32" t="s">
        <v>407</v>
      </c>
      <c r="CL7" t="s">
        <v>29</v>
      </c>
      <c r="CM7" t="s">
        <v>407</v>
      </c>
      <c r="CN7" t="s">
        <v>408</v>
      </c>
      <c r="CO7" t="s">
        <v>597</v>
      </c>
      <c r="CP7" t="s">
        <v>346</v>
      </c>
      <c r="CQ7" t="s">
        <v>536</v>
      </c>
      <c r="CR7" t="s">
        <v>596</v>
      </c>
      <c r="CS7" s="32" t="s">
        <v>407</v>
      </c>
      <c r="CT7" t="s">
        <v>475</v>
      </c>
      <c r="CU7" t="s">
        <v>407</v>
      </c>
      <c r="CV7" t="s">
        <v>408</v>
      </c>
      <c r="CW7" s="32" t="s">
        <v>407</v>
      </c>
      <c r="CX7" t="s">
        <v>83</v>
      </c>
      <c r="CY7" t="s">
        <v>407</v>
      </c>
      <c r="CZ7" t="s">
        <v>408</v>
      </c>
      <c r="DA7" t="s">
        <v>407</v>
      </c>
      <c r="DB7" t="s">
        <v>598</v>
      </c>
      <c r="DC7" t="s">
        <v>407</v>
      </c>
      <c r="DD7" t="s">
        <v>599</v>
      </c>
      <c r="DE7" t="str">
        <f t="shared" si="1"/>
        <v>%IF(K19%"Poplar","PAINT",IF(K19%"Red Oak","SGO",IF(K19%"Maple","SM","SPPN")))</v>
      </c>
    </row>
    <row r="8" spans="6:109" x14ac:dyDescent="0.25">
      <c r="F8" t="s">
        <v>159</v>
      </c>
      <c r="H8" t="s">
        <v>219</v>
      </c>
      <c r="M8" t="s">
        <v>281</v>
      </c>
      <c r="O8" t="s">
        <v>342</v>
      </c>
      <c r="T8" t="s">
        <v>344</v>
      </c>
      <c r="U8" t="s">
        <v>345</v>
      </c>
      <c r="V8" t="s">
        <v>346</v>
      </c>
      <c r="W8" t="s">
        <v>347</v>
      </c>
      <c r="X8" t="s">
        <v>344</v>
      </c>
      <c r="Y8" t="s">
        <v>407</v>
      </c>
      <c r="Z8" t="s">
        <v>27</v>
      </c>
      <c r="AA8" t="s">
        <v>407</v>
      </c>
      <c r="AB8" t="s">
        <v>408</v>
      </c>
      <c r="AC8" t="s">
        <v>407</v>
      </c>
      <c r="AD8" t="s">
        <v>27</v>
      </c>
      <c r="AE8" t="s">
        <v>407</v>
      </c>
      <c r="AF8" t="s">
        <v>408</v>
      </c>
      <c r="AG8" t="s">
        <v>345</v>
      </c>
      <c r="AH8" t="s">
        <v>346</v>
      </c>
      <c r="AI8" t="s">
        <v>347</v>
      </c>
      <c r="AJ8" t="s">
        <v>344</v>
      </c>
      <c r="AK8" t="s">
        <v>407</v>
      </c>
      <c r="AL8" t="s">
        <v>279</v>
      </c>
      <c r="AM8" t="s">
        <v>407</v>
      </c>
      <c r="AN8" t="s">
        <v>408</v>
      </c>
      <c r="AO8" t="s">
        <v>407</v>
      </c>
      <c r="AP8" t="s">
        <v>53</v>
      </c>
      <c r="AQ8" t="s">
        <v>407</v>
      </c>
      <c r="AR8" t="s">
        <v>408</v>
      </c>
      <c r="AS8" t="s">
        <v>407</v>
      </c>
      <c r="AT8" t="s">
        <v>407</v>
      </c>
      <c r="AU8" t="s">
        <v>409</v>
      </c>
      <c r="AV8" t="s">
        <v>409</v>
      </c>
      <c r="AW8" t="str">
        <f t="shared" si="0"/>
        <v>#if(J19#"JE","JE",if(J19#"Drilled","JC",""))</v>
      </c>
      <c r="BC8" t="s">
        <v>413</v>
      </c>
      <c r="BJ8" t="s">
        <v>476</v>
      </c>
      <c r="BQ8" t="s">
        <v>600</v>
      </c>
      <c r="BR8" t="s">
        <v>346</v>
      </c>
      <c r="BS8" t="s">
        <v>536</v>
      </c>
      <c r="BT8" t="s">
        <v>596</v>
      </c>
      <c r="BU8" t="s">
        <v>407</v>
      </c>
      <c r="BV8" t="s">
        <v>157</v>
      </c>
      <c r="BW8" t="s">
        <v>407</v>
      </c>
      <c r="BX8" t="s">
        <v>408</v>
      </c>
      <c r="BY8" t="s">
        <v>407</v>
      </c>
      <c r="BZ8" t="s">
        <v>80</v>
      </c>
      <c r="CA8" t="s">
        <v>407</v>
      </c>
      <c r="CB8" t="s">
        <v>408</v>
      </c>
      <c r="CC8" t="s">
        <v>597</v>
      </c>
      <c r="CD8" t="s">
        <v>346</v>
      </c>
      <c r="CE8" t="s">
        <v>536</v>
      </c>
      <c r="CF8" t="s">
        <v>596</v>
      </c>
      <c r="CG8" s="32" t="s">
        <v>407</v>
      </c>
      <c r="CH8" t="s">
        <v>411</v>
      </c>
      <c r="CI8" t="s">
        <v>407</v>
      </c>
      <c r="CJ8" t="s">
        <v>408</v>
      </c>
      <c r="CK8" s="32" t="s">
        <v>407</v>
      </c>
      <c r="CL8" t="s">
        <v>29</v>
      </c>
      <c r="CM8" t="s">
        <v>407</v>
      </c>
      <c r="CN8" t="s">
        <v>408</v>
      </c>
      <c r="CO8" t="s">
        <v>597</v>
      </c>
      <c r="CP8" t="s">
        <v>346</v>
      </c>
      <c r="CQ8" t="s">
        <v>536</v>
      </c>
      <c r="CR8" t="s">
        <v>596</v>
      </c>
      <c r="CS8" s="32" t="s">
        <v>407</v>
      </c>
      <c r="CT8" t="s">
        <v>475</v>
      </c>
      <c r="CU8" t="s">
        <v>407</v>
      </c>
      <c r="CV8" t="s">
        <v>408</v>
      </c>
      <c r="CW8" s="32" t="s">
        <v>407</v>
      </c>
      <c r="CX8" t="s">
        <v>83</v>
      </c>
      <c r="CY8" t="s">
        <v>407</v>
      </c>
      <c r="CZ8" t="s">
        <v>408</v>
      </c>
      <c r="DA8" t="s">
        <v>407</v>
      </c>
      <c r="DB8" t="s">
        <v>598</v>
      </c>
      <c r="DC8" t="s">
        <v>407</v>
      </c>
      <c r="DD8" t="s">
        <v>599</v>
      </c>
      <c r="DE8" t="str">
        <f t="shared" si="1"/>
        <v>%IF(K19%"Poplar","PAINT",IF(K19%"Red Oak","SGO",IF(K19%"Maple","SM","SPPN")))</v>
      </c>
    </row>
    <row r="9" spans="6:109" x14ac:dyDescent="0.25">
      <c r="F9" t="s">
        <v>160</v>
      </c>
      <c r="H9" t="s">
        <v>220</v>
      </c>
      <c r="M9" t="s">
        <v>282</v>
      </c>
      <c r="O9" t="s">
        <v>343</v>
      </c>
      <c r="T9" t="s">
        <v>344</v>
      </c>
      <c r="U9" t="s">
        <v>345</v>
      </c>
      <c r="V9" t="s">
        <v>346</v>
      </c>
      <c r="W9" t="s">
        <v>348</v>
      </c>
      <c r="X9" t="s">
        <v>344</v>
      </c>
      <c r="Y9" t="s">
        <v>407</v>
      </c>
      <c r="Z9" t="s">
        <v>27</v>
      </c>
      <c r="AA9" t="s">
        <v>407</v>
      </c>
      <c r="AB9" t="s">
        <v>408</v>
      </c>
      <c r="AC9" t="s">
        <v>407</v>
      </c>
      <c r="AD9" t="s">
        <v>27</v>
      </c>
      <c r="AE9" t="s">
        <v>407</v>
      </c>
      <c r="AF9" t="s">
        <v>408</v>
      </c>
      <c r="AG9" t="s">
        <v>345</v>
      </c>
      <c r="AH9" t="s">
        <v>346</v>
      </c>
      <c r="AI9" t="s">
        <v>348</v>
      </c>
      <c r="AJ9" t="s">
        <v>344</v>
      </c>
      <c r="AK9" t="s">
        <v>407</v>
      </c>
      <c r="AL9" t="s">
        <v>279</v>
      </c>
      <c r="AM9" t="s">
        <v>407</v>
      </c>
      <c r="AN9" t="s">
        <v>408</v>
      </c>
      <c r="AO9" t="s">
        <v>407</v>
      </c>
      <c r="AP9" t="s">
        <v>53</v>
      </c>
      <c r="AQ9" t="s">
        <v>407</v>
      </c>
      <c r="AR9" t="s">
        <v>408</v>
      </c>
      <c r="AS9" t="s">
        <v>407</v>
      </c>
      <c r="AT9" t="s">
        <v>407</v>
      </c>
      <c r="AU9" t="s">
        <v>409</v>
      </c>
      <c r="AV9" t="s">
        <v>409</v>
      </c>
      <c r="AW9" t="str">
        <f t="shared" si="0"/>
        <v>#if(J20#"JE","JE",if(J20#"Drilled","JC",""))</v>
      </c>
      <c r="BC9" t="s">
        <v>414</v>
      </c>
      <c r="BJ9" t="s">
        <v>477</v>
      </c>
      <c r="BQ9" t="s">
        <v>600</v>
      </c>
      <c r="BR9" t="s">
        <v>346</v>
      </c>
      <c r="BS9" t="s">
        <v>537</v>
      </c>
      <c r="BT9" t="s">
        <v>596</v>
      </c>
      <c r="BU9" t="s">
        <v>407</v>
      </c>
      <c r="BV9" t="s">
        <v>157</v>
      </c>
      <c r="BW9" t="s">
        <v>407</v>
      </c>
      <c r="BX9" t="s">
        <v>408</v>
      </c>
      <c r="BY9" t="s">
        <v>407</v>
      </c>
      <c r="BZ9" t="s">
        <v>80</v>
      </c>
      <c r="CA9" t="s">
        <v>407</v>
      </c>
      <c r="CB9" t="s">
        <v>408</v>
      </c>
      <c r="CC9" t="s">
        <v>597</v>
      </c>
      <c r="CD9" t="s">
        <v>346</v>
      </c>
      <c r="CE9" t="s">
        <v>537</v>
      </c>
      <c r="CF9" t="s">
        <v>596</v>
      </c>
      <c r="CG9" s="32" t="s">
        <v>407</v>
      </c>
      <c r="CH9" t="s">
        <v>411</v>
      </c>
      <c r="CI9" t="s">
        <v>407</v>
      </c>
      <c r="CJ9" t="s">
        <v>408</v>
      </c>
      <c r="CK9" s="32" t="s">
        <v>407</v>
      </c>
      <c r="CL9" t="s">
        <v>29</v>
      </c>
      <c r="CM9" t="s">
        <v>407</v>
      </c>
      <c r="CN9" t="s">
        <v>408</v>
      </c>
      <c r="CO9" t="s">
        <v>597</v>
      </c>
      <c r="CP9" t="s">
        <v>346</v>
      </c>
      <c r="CQ9" t="s">
        <v>537</v>
      </c>
      <c r="CR9" t="s">
        <v>596</v>
      </c>
      <c r="CS9" s="32" t="s">
        <v>407</v>
      </c>
      <c r="CT9" t="s">
        <v>475</v>
      </c>
      <c r="CU9" t="s">
        <v>407</v>
      </c>
      <c r="CV9" t="s">
        <v>408</v>
      </c>
      <c r="CW9" s="32" t="s">
        <v>407</v>
      </c>
      <c r="CX9" t="s">
        <v>83</v>
      </c>
      <c r="CY9" t="s">
        <v>407</v>
      </c>
      <c r="CZ9" t="s">
        <v>408</v>
      </c>
      <c r="DA9" t="s">
        <v>407</v>
      </c>
      <c r="DB9" t="s">
        <v>598</v>
      </c>
      <c r="DC9" t="s">
        <v>407</v>
      </c>
      <c r="DD9" t="s">
        <v>599</v>
      </c>
      <c r="DE9" t="str">
        <f t="shared" si="1"/>
        <v>%IF(K20%"Poplar","PAINT",IF(K20%"Red Oak","SGO",IF(K20%"Maple","SM","SPPN")))</v>
      </c>
    </row>
    <row r="10" spans="6:109" x14ac:dyDescent="0.25">
      <c r="F10" t="s">
        <v>160</v>
      </c>
      <c r="H10" t="s">
        <v>220</v>
      </c>
      <c r="M10" t="s">
        <v>282</v>
      </c>
      <c r="O10" t="s">
        <v>343</v>
      </c>
      <c r="T10" t="s">
        <v>344</v>
      </c>
      <c r="U10" t="s">
        <v>345</v>
      </c>
      <c r="V10" t="s">
        <v>346</v>
      </c>
      <c r="W10" t="s">
        <v>348</v>
      </c>
      <c r="X10" t="s">
        <v>344</v>
      </c>
      <c r="Y10" t="s">
        <v>407</v>
      </c>
      <c r="Z10" t="s">
        <v>27</v>
      </c>
      <c r="AA10" t="s">
        <v>407</v>
      </c>
      <c r="AB10" t="s">
        <v>408</v>
      </c>
      <c r="AC10" t="s">
        <v>407</v>
      </c>
      <c r="AD10" t="s">
        <v>27</v>
      </c>
      <c r="AE10" t="s">
        <v>407</v>
      </c>
      <c r="AF10" t="s">
        <v>408</v>
      </c>
      <c r="AG10" t="s">
        <v>345</v>
      </c>
      <c r="AH10" t="s">
        <v>346</v>
      </c>
      <c r="AI10" t="s">
        <v>348</v>
      </c>
      <c r="AJ10" t="s">
        <v>344</v>
      </c>
      <c r="AK10" t="s">
        <v>407</v>
      </c>
      <c r="AL10" t="s">
        <v>279</v>
      </c>
      <c r="AM10" t="s">
        <v>407</v>
      </c>
      <c r="AN10" t="s">
        <v>408</v>
      </c>
      <c r="AO10" t="s">
        <v>407</v>
      </c>
      <c r="AP10" t="s">
        <v>53</v>
      </c>
      <c r="AQ10" t="s">
        <v>407</v>
      </c>
      <c r="AR10" t="s">
        <v>408</v>
      </c>
      <c r="AS10" t="s">
        <v>407</v>
      </c>
      <c r="AT10" t="s">
        <v>407</v>
      </c>
      <c r="AU10" t="s">
        <v>409</v>
      </c>
      <c r="AV10" t="s">
        <v>409</v>
      </c>
      <c r="AW10" t="str">
        <f t="shared" si="0"/>
        <v>#if(J20#"JE","JE",if(J20#"Drilled","JC",""))</v>
      </c>
      <c r="BC10" t="s">
        <v>414</v>
      </c>
      <c r="BJ10" t="s">
        <v>477</v>
      </c>
      <c r="BQ10" t="s">
        <v>600</v>
      </c>
      <c r="BR10" t="s">
        <v>346</v>
      </c>
      <c r="BS10" t="s">
        <v>537</v>
      </c>
      <c r="BT10" t="s">
        <v>596</v>
      </c>
      <c r="BU10" t="s">
        <v>407</v>
      </c>
      <c r="BV10" t="s">
        <v>157</v>
      </c>
      <c r="BW10" t="s">
        <v>407</v>
      </c>
      <c r="BX10" t="s">
        <v>408</v>
      </c>
      <c r="BY10" t="s">
        <v>407</v>
      </c>
      <c r="BZ10" t="s">
        <v>80</v>
      </c>
      <c r="CA10" t="s">
        <v>407</v>
      </c>
      <c r="CB10" t="s">
        <v>408</v>
      </c>
      <c r="CC10" t="s">
        <v>597</v>
      </c>
      <c r="CD10" t="s">
        <v>346</v>
      </c>
      <c r="CE10" t="s">
        <v>537</v>
      </c>
      <c r="CF10" t="s">
        <v>596</v>
      </c>
      <c r="CG10" s="32" t="s">
        <v>407</v>
      </c>
      <c r="CH10" t="s">
        <v>411</v>
      </c>
      <c r="CI10" t="s">
        <v>407</v>
      </c>
      <c r="CJ10" t="s">
        <v>408</v>
      </c>
      <c r="CK10" s="32" t="s">
        <v>407</v>
      </c>
      <c r="CL10" t="s">
        <v>29</v>
      </c>
      <c r="CM10" t="s">
        <v>407</v>
      </c>
      <c r="CN10" t="s">
        <v>408</v>
      </c>
      <c r="CO10" t="s">
        <v>597</v>
      </c>
      <c r="CP10" t="s">
        <v>346</v>
      </c>
      <c r="CQ10" t="s">
        <v>537</v>
      </c>
      <c r="CR10" t="s">
        <v>596</v>
      </c>
      <c r="CS10" s="32" t="s">
        <v>407</v>
      </c>
      <c r="CT10" t="s">
        <v>475</v>
      </c>
      <c r="CU10" t="s">
        <v>407</v>
      </c>
      <c r="CV10" t="s">
        <v>408</v>
      </c>
      <c r="CW10" s="32" t="s">
        <v>407</v>
      </c>
      <c r="CX10" t="s">
        <v>83</v>
      </c>
      <c r="CY10" t="s">
        <v>407</v>
      </c>
      <c r="CZ10" t="s">
        <v>408</v>
      </c>
      <c r="DA10" t="s">
        <v>407</v>
      </c>
      <c r="DB10" t="s">
        <v>598</v>
      </c>
      <c r="DC10" t="s">
        <v>407</v>
      </c>
      <c r="DD10" t="s">
        <v>599</v>
      </c>
      <c r="DE10" t="str">
        <f t="shared" si="1"/>
        <v>%IF(K20%"Poplar","PAINT",IF(K20%"Red Oak","SGO",IF(K20%"Maple","SM","SPPN")))</v>
      </c>
    </row>
    <row r="11" spans="6:109" x14ac:dyDescent="0.25">
      <c r="F11" t="s">
        <v>160</v>
      </c>
      <c r="H11" t="s">
        <v>220</v>
      </c>
      <c r="M11" t="s">
        <v>282</v>
      </c>
      <c r="O11" t="s">
        <v>343</v>
      </c>
      <c r="T11" t="s">
        <v>344</v>
      </c>
      <c r="U11" t="s">
        <v>345</v>
      </c>
      <c r="V11" t="s">
        <v>346</v>
      </c>
      <c r="W11" t="s">
        <v>348</v>
      </c>
      <c r="X11" t="s">
        <v>344</v>
      </c>
      <c r="Y11" t="s">
        <v>407</v>
      </c>
      <c r="Z11" t="s">
        <v>27</v>
      </c>
      <c r="AA11" t="s">
        <v>407</v>
      </c>
      <c r="AB11" t="s">
        <v>408</v>
      </c>
      <c r="AC11" t="s">
        <v>407</v>
      </c>
      <c r="AD11" t="s">
        <v>27</v>
      </c>
      <c r="AE11" t="s">
        <v>407</v>
      </c>
      <c r="AF11" t="s">
        <v>408</v>
      </c>
      <c r="AG11" t="s">
        <v>345</v>
      </c>
      <c r="AH11" t="s">
        <v>346</v>
      </c>
      <c r="AI11" t="s">
        <v>348</v>
      </c>
      <c r="AJ11" t="s">
        <v>344</v>
      </c>
      <c r="AK11" t="s">
        <v>407</v>
      </c>
      <c r="AL11" t="s">
        <v>279</v>
      </c>
      <c r="AM11" t="s">
        <v>407</v>
      </c>
      <c r="AN11" t="s">
        <v>408</v>
      </c>
      <c r="AO11" t="s">
        <v>407</v>
      </c>
      <c r="AP11" t="s">
        <v>53</v>
      </c>
      <c r="AQ11" t="s">
        <v>407</v>
      </c>
      <c r="AR11" t="s">
        <v>408</v>
      </c>
      <c r="AS11" t="s">
        <v>407</v>
      </c>
      <c r="AT11" t="s">
        <v>407</v>
      </c>
      <c r="AU11" t="s">
        <v>409</v>
      </c>
      <c r="AV11" t="s">
        <v>409</v>
      </c>
      <c r="AW11" t="str">
        <f t="shared" si="0"/>
        <v>#if(J20#"JE","JE",if(J20#"Drilled","JC",""))</v>
      </c>
      <c r="BC11" t="s">
        <v>414</v>
      </c>
      <c r="BJ11" t="s">
        <v>477</v>
      </c>
      <c r="BQ11" t="s">
        <v>600</v>
      </c>
      <c r="BR11" t="s">
        <v>346</v>
      </c>
      <c r="BS11" t="s">
        <v>537</v>
      </c>
      <c r="BT11" t="s">
        <v>596</v>
      </c>
      <c r="BU11" t="s">
        <v>407</v>
      </c>
      <c r="BV11" t="s">
        <v>157</v>
      </c>
      <c r="BW11" t="s">
        <v>407</v>
      </c>
      <c r="BX11" t="s">
        <v>408</v>
      </c>
      <c r="BY11" t="s">
        <v>407</v>
      </c>
      <c r="BZ11" t="s">
        <v>80</v>
      </c>
      <c r="CA11" t="s">
        <v>407</v>
      </c>
      <c r="CB11" t="s">
        <v>408</v>
      </c>
      <c r="CC11" t="s">
        <v>597</v>
      </c>
      <c r="CD11" t="s">
        <v>346</v>
      </c>
      <c r="CE11" t="s">
        <v>537</v>
      </c>
      <c r="CF11" t="s">
        <v>596</v>
      </c>
      <c r="CG11" s="32" t="s">
        <v>407</v>
      </c>
      <c r="CH11" t="s">
        <v>411</v>
      </c>
      <c r="CI11" t="s">
        <v>407</v>
      </c>
      <c r="CJ11" t="s">
        <v>408</v>
      </c>
      <c r="CK11" s="32" t="s">
        <v>407</v>
      </c>
      <c r="CL11" t="s">
        <v>29</v>
      </c>
      <c r="CM11" t="s">
        <v>407</v>
      </c>
      <c r="CN11" t="s">
        <v>408</v>
      </c>
      <c r="CO11" t="s">
        <v>597</v>
      </c>
      <c r="CP11" t="s">
        <v>346</v>
      </c>
      <c r="CQ11" t="s">
        <v>537</v>
      </c>
      <c r="CR11" t="s">
        <v>596</v>
      </c>
      <c r="CS11" s="32" t="s">
        <v>407</v>
      </c>
      <c r="CT11" t="s">
        <v>475</v>
      </c>
      <c r="CU11" t="s">
        <v>407</v>
      </c>
      <c r="CV11" t="s">
        <v>408</v>
      </c>
      <c r="CW11" s="32" t="s">
        <v>407</v>
      </c>
      <c r="CX11" t="s">
        <v>83</v>
      </c>
      <c r="CY11" t="s">
        <v>407</v>
      </c>
      <c r="CZ11" t="s">
        <v>408</v>
      </c>
      <c r="DA11" t="s">
        <v>407</v>
      </c>
      <c r="DB11" t="s">
        <v>598</v>
      </c>
      <c r="DC11" t="s">
        <v>407</v>
      </c>
      <c r="DD11" t="s">
        <v>599</v>
      </c>
      <c r="DE11" t="str">
        <f t="shared" si="1"/>
        <v>%IF(K20%"Poplar","PAINT",IF(K20%"Red Oak","SGO",IF(K20%"Maple","SM","SPPN")))</v>
      </c>
    </row>
    <row r="12" spans="6:109" x14ac:dyDescent="0.25">
      <c r="F12" t="s">
        <v>160</v>
      </c>
      <c r="H12" t="s">
        <v>220</v>
      </c>
      <c r="M12" t="s">
        <v>282</v>
      </c>
      <c r="O12" t="s">
        <v>343</v>
      </c>
      <c r="T12" t="s">
        <v>344</v>
      </c>
      <c r="U12" t="s">
        <v>345</v>
      </c>
      <c r="V12" t="s">
        <v>346</v>
      </c>
      <c r="W12" t="s">
        <v>348</v>
      </c>
      <c r="X12" t="s">
        <v>344</v>
      </c>
      <c r="Y12" t="s">
        <v>407</v>
      </c>
      <c r="Z12" t="s">
        <v>27</v>
      </c>
      <c r="AA12" t="s">
        <v>407</v>
      </c>
      <c r="AB12" t="s">
        <v>408</v>
      </c>
      <c r="AC12" t="s">
        <v>407</v>
      </c>
      <c r="AD12" t="s">
        <v>27</v>
      </c>
      <c r="AE12" t="s">
        <v>407</v>
      </c>
      <c r="AF12" t="s">
        <v>408</v>
      </c>
      <c r="AG12" t="s">
        <v>345</v>
      </c>
      <c r="AH12" t="s">
        <v>346</v>
      </c>
      <c r="AI12" t="s">
        <v>348</v>
      </c>
      <c r="AJ12" t="s">
        <v>344</v>
      </c>
      <c r="AK12" t="s">
        <v>407</v>
      </c>
      <c r="AL12" t="s">
        <v>279</v>
      </c>
      <c r="AM12" t="s">
        <v>407</v>
      </c>
      <c r="AN12" t="s">
        <v>408</v>
      </c>
      <c r="AO12" t="s">
        <v>407</v>
      </c>
      <c r="AP12" t="s">
        <v>53</v>
      </c>
      <c r="AQ12" t="s">
        <v>407</v>
      </c>
      <c r="AR12" t="s">
        <v>408</v>
      </c>
      <c r="AS12" t="s">
        <v>407</v>
      </c>
      <c r="AT12" t="s">
        <v>407</v>
      </c>
      <c r="AU12" t="s">
        <v>409</v>
      </c>
      <c r="AV12" t="s">
        <v>409</v>
      </c>
      <c r="AW12" t="str">
        <f t="shared" si="0"/>
        <v>#if(J20#"JE","JE",if(J20#"Drilled","JC",""))</v>
      </c>
      <c r="BC12" t="s">
        <v>414</v>
      </c>
      <c r="BJ12" t="s">
        <v>477</v>
      </c>
      <c r="BQ12" t="s">
        <v>600</v>
      </c>
      <c r="BR12" t="s">
        <v>346</v>
      </c>
      <c r="BS12" t="s">
        <v>537</v>
      </c>
      <c r="BT12" t="s">
        <v>596</v>
      </c>
      <c r="BU12" t="s">
        <v>407</v>
      </c>
      <c r="BV12" t="s">
        <v>157</v>
      </c>
      <c r="BW12" t="s">
        <v>407</v>
      </c>
      <c r="BX12" t="s">
        <v>408</v>
      </c>
      <c r="BY12" t="s">
        <v>407</v>
      </c>
      <c r="BZ12" t="s">
        <v>80</v>
      </c>
      <c r="CA12" t="s">
        <v>407</v>
      </c>
      <c r="CB12" t="s">
        <v>408</v>
      </c>
      <c r="CC12" t="s">
        <v>597</v>
      </c>
      <c r="CD12" t="s">
        <v>346</v>
      </c>
      <c r="CE12" t="s">
        <v>537</v>
      </c>
      <c r="CF12" t="s">
        <v>596</v>
      </c>
      <c r="CG12" s="32" t="s">
        <v>407</v>
      </c>
      <c r="CH12" t="s">
        <v>411</v>
      </c>
      <c r="CI12" t="s">
        <v>407</v>
      </c>
      <c r="CJ12" t="s">
        <v>408</v>
      </c>
      <c r="CK12" s="32" t="s">
        <v>407</v>
      </c>
      <c r="CL12" t="s">
        <v>29</v>
      </c>
      <c r="CM12" t="s">
        <v>407</v>
      </c>
      <c r="CN12" t="s">
        <v>408</v>
      </c>
      <c r="CO12" t="s">
        <v>597</v>
      </c>
      <c r="CP12" t="s">
        <v>346</v>
      </c>
      <c r="CQ12" t="s">
        <v>537</v>
      </c>
      <c r="CR12" t="s">
        <v>596</v>
      </c>
      <c r="CS12" s="32" t="s">
        <v>407</v>
      </c>
      <c r="CT12" t="s">
        <v>475</v>
      </c>
      <c r="CU12" t="s">
        <v>407</v>
      </c>
      <c r="CV12" t="s">
        <v>408</v>
      </c>
      <c r="CW12" s="32" t="s">
        <v>407</v>
      </c>
      <c r="CX12" t="s">
        <v>83</v>
      </c>
      <c r="CY12" t="s">
        <v>407</v>
      </c>
      <c r="CZ12" t="s">
        <v>408</v>
      </c>
      <c r="DA12" t="s">
        <v>407</v>
      </c>
      <c r="DB12" t="s">
        <v>598</v>
      </c>
      <c r="DC12" t="s">
        <v>407</v>
      </c>
      <c r="DD12" t="s">
        <v>599</v>
      </c>
      <c r="DE12" t="str">
        <f t="shared" si="1"/>
        <v>%IF(K20%"Poplar","PAINT",IF(K20%"Red Oak","SGO",IF(K20%"Maple","SM","SPPN")))</v>
      </c>
    </row>
    <row r="13" spans="6:109" x14ac:dyDescent="0.25">
      <c r="F13" t="s">
        <v>161</v>
      </c>
      <c r="H13" t="s">
        <v>221</v>
      </c>
      <c r="M13" t="s">
        <v>283</v>
      </c>
      <c r="O13" t="s">
        <v>342</v>
      </c>
      <c r="T13" t="s">
        <v>344</v>
      </c>
      <c r="U13" t="s">
        <v>345</v>
      </c>
      <c r="V13" t="s">
        <v>346</v>
      </c>
      <c r="W13" t="s">
        <v>349</v>
      </c>
      <c r="X13" t="s">
        <v>344</v>
      </c>
      <c r="Y13" t="s">
        <v>407</v>
      </c>
      <c r="Z13" t="s">
        <v>27</v>
      </c>
      <c r="AA13" t="s">
        <v>407</v>
      </c>
      <c r="AB13" t="s">
        <v>408</v>
      </c>
      <c r="AC13" t="s">
        <v>407</v>
      </c>
      <c r="AD13" t="s">
        <v>27</v>
      </c>
      <c r="AE13" t="s">
        <v>407</v>
      </c>
      <c r="AF13" t="s">
        <v>408</v>
      </c>
      <c r="AG13" t="s">
        <v>345</v>
      </c>
      <c r="AH13" t="s">
        <v>346</v>
      </c>
      <c r="AI13" t="s">
        <v>349</v>
      </c>
      <c r="AJ13" t="s">
        <v>344</v>
      </c>
      <c r="AK13" t="s">
        <v>407</v>
      </c>
      <c r="AL13" t="s">
        <v>279</v>
      </c>
      <c r="AM13" t="s">
        <v>407</v>
      </c>
      <c r="AN13" t="s">
        <v>408</v>
      </c>
      <c r="AO13" t="s">
        <v>407</v>
      </c>
      <c r="AP13" t="s">
        <v>53</v>
      </c>
      <c r="AQ13" t="s">
        <v>407</v>
      </c>
      <c r="AR13" t="s">
        <v>408</v>
      </c>
      <c r="AS13" t="s">
        <v>407</v>
      </c>
      <c r="AT13" t="s">
        <v>407</v>
      </c>
      <c r="AU13" t="s">
        <v>409</v>
      </c>
      <c r="AV13" t="s">
        <v>409</v>
      </c>
      <c r="AW13" t="str">
        <f t="shared" si="0"/>
        <v>#if(J21#"JE","JE",if(J21#"Drilled","JC",""))</v>
      </c>
      <c r="BC13" t="s">
        <v>415</v>
      </c>
      <c r="BJ13" t="s">
        <v>478</v>
      </c>
      <c r="BQ13" t="s">
        <v>600</v>
      </c>
      <c r="BR13" t="s">
        <v>346</v>
      </c>
      <c r="BS13" t="s">
        <v>538</v>
      </c>
      <c r="BT13" t="s">
        <v>596</v>
      </c>
      <c r="BU13" t="s">
        <v>407</v>
      </c>
      <c r="BV13" t="s">
        <v>157</v>
      </c>
      <c r="BW13" t="s">
        <v>407</v>
      </c>
      <c r="BX13" t="s">
        <v>408</v>
      </c>
      <c r="BY13" t="s">
        <v>407</v>
      </c>
      <c r="BZ13" t="s">
        <v>80</v>
      </c>
      <c r="CA13" t="s">
        <v>407</v>
      </c>
      <c r="CB13" t="s">
        <v>408</v>
      </c>
      <c r="CC13" t="s">
        <v>597</v>
      </c>
      <c r="CD13" t="s">
        <v>346</v>
      </c>
      <c r="CE13" t="s">
        <v>538</v>
      </c>
      <c r="CF13" t="s">
        <v>596</v>
      </c>
      <c r="CG13" s="32" t="s">
        <v>407</v>
      </c>
      <c r="CH13" t="s">
        <v>411</v>
      </c>
      <c r="CI13" t="s">
        <v>407</v>
      </c>
      <c r="CJ13" t="s">
        <v>408</v>
      </c>
      <c r="CK13" s="32" t="s">
        <v>407</v>
      </c>
      <c r="CL13" t="s">
        <v>29</v>
      </c>
      <c r="CM13" t="s">
        <v>407</v>
      </c>
      <c r="CN13" t="s">
        <v>408</v>
      </c>
      <c r="CO13" t="s">
        <v>597</v>
      </c>
      <c r="CP13" t="s">
        <v>346</v>
      </c>
      <c r="CQ13" t="s">
        <v>538</v>
      </c>
      <c r="CR13" t="s">
        <v>596</v>
      </c>
      <c r="CS13" s="32" t="s">
        <v>407</v>
      </c>
      <c r="CT13" t="s">
        <v>475</v>
      </c>
      <c r="CU13" t="s">
        <v>407</v>
      </c>
      <c r="CV13" t="s">
        <v>408</v>
      </c>
      <c r="CW13" s="32" t="s">
        <v>407</v>
      </c>
      <c r="CX13" t="s">
        <v>83</v>
      </c>
      <c r="CY13" t="s">
        <v>407</v>
      </c>
      <c r="CZ13" t="s">
        <v>408</v>
      </c>
      <c r="DA13" t="s">
        <v>407</v>
      </c>
      <c r="DB13" t="s">
        <v>598</v>
      </c>
      <c r="DC13" t="s">
        <v>407</v>
      </c>
      <c r="DD13" t="s">
        <v>599</v>
      </c>
      <c r="DE13" t="str">
        <f t="shared" si="1"/>
        <v>%IF(K21%"Poplar","PAINT",IF(K21%"Red Oak","SGO",IF(K21%"Maple","SM","SPPN")))</v>
      </c>
    </row>
    <row r="14" spans="6:109" x14ac:dyDescent="0.25">
      <c r="F14" t="s">
        <v>161</v>
      </c>
      <c r="H14" t="s">
        <v>221</v>
      </c>
      <c r="M14" t="s">
        <v>283</v>
      </c>
      <c r="O14" t="s">
        <v>343</v>
      </c>
      <c r="T14" t="s">
        <v>344</v>
      </c>
      <c r="U14" t="s">
        <v>345</v>
      </c>
      <c r="V14" t="s">
        <v>346</v>
      </c>
      <c r="W14" t="s">
        <v>349</v>
      </c>
      <c r="X14" t="s">
        <v>344</v>
      </c>
      <c r="Y14" t="s">
        <v>407</v>
      </c>
      <c r="Z14" t="s">
        <v>27</v>
      </c>
      <c r="AA14" t="s">
        <v>407</v>
      </c>
      <c r="AB14" t="s">
        <v>408</v>
      </c>
      <c r="AC14" t="s">
        <v>407</v>
      </c>
      <c r="AD14" t="s">
        <v>27</v>
      </c>
      <c r="AE14" t="s">
        <v>407</v>
      </c>
      <c r="AF14" t="s">
        <v>408</v>
      </c>
      <c r="AG14" t="s">
        <v>345</v>
      </c>
      <c r="AH14" t="s">
        <v>346</v>
      </c>
      <c r="AI14" t="s">
        <v>349</v>
      </c>
      <c r="AJ14" t="s">
        <v>344</v>
      </c>
      <c r="AK14" t="s">
        <v>407</v>
      </c>
      <c r="AL14" t="s">
        <v>279</v>
      </c>
      <c r="AM14" t="s">
        <v>407</v>
      </c>
      <c r="AN14" t="s">
        <v>408</v>
      </c>
      <c r="AO14" t="s">
        <v>407</v>
      </c>
      <c r="AP14" t="s">
        <v>53</v>
      </c>
      <c r="AQ14" t="s">
        <v>407</v>
      </c>
      <c r="AR14" t="s">
        <v>408</v>
      </c>
      <c r="AS14" t="s">
        <v>407</v>
      </c>
      <c r="AT14" t="s">
        <v>407</v>
      </c>
      <c r="AU14" t="s">
        <v>409</v>
      </c>
      <c r="AV14" t="s">
        <v>409</v>
      </c>
      <c r="AW14" t="str">
        <f t="shared" si="0"/>
        <v>#if(J21#"JE","JE",if(J21#"Drilled","JC",""))</v>
      </c>
      <c r="BC14" t="s">
        <v>415</v>
      </c>
      <c r="BJ14" t="s">
        <v>478</v>
      </c>
      <c r="BQ14" t="s">
        <v>600</v>
      </c>
      <c r="BR14" t="s">
        <v>346</v>
      </c>
      <c r="BS14" t="s">
        <v>538</v>
      </c>
      <c r="BT14" t="s">
        <v>596</v>
      </c>
      <c r="BU14" t="s">
        <v>407</v>
      </c>
      <c r="BV14" t="s">
        <v>157</v>
      </c>
      <c r="BW14" t="s">
        <v>407</v>
      </c>
      <c r="BX14" t="s">
        <v>408</v>
      </c>
      <c r="BY14" t="s">
        <v>407</v>
      </c>
      <c r="BZ14" t="s">
        <v>80</v>
      </c>
      <c r="CA14" t="s">
        <v>407</v>
      </c>
      <c r="CB14" t="s">
        <v>408</v>
      </c>
      <c r="CC14" t="s">
        <v>597</v>
      </c>
      <c r="CD14" t="s">
        <v>346</v>
      </c>
      <c r="CE14" t="s">
        <v>538</v>
      </c>
      <c r="CF14" t="s">
        <v>596</v>
      </c>
      <c r="CG14" s="32" t="s">
        <v>407</v>
      </c>
      <c r="CH14" t="s">
        <v>411</v>
      </c>
      <c r="CI14" t="s">
        <v>407</v>
      </c>
      <c r="CJ14" t="s">
        <v>408</v>
      </c>
      <c r="CK14" s="32" t="s">
        <v>407</v>
      </c>
      <c r="CL14" t="s">
        <v>29</v>
      </c>
      <c r="CM14" t="s">
        <v>407</v>
      </c>
      <c r="CN14" t="s">
        <v>408</v>
      </c>
      <c r="CO14" t="s">
        <v>597</v>
      </c>
      <c r="CP14" t="s">
        <v>346</v>
      </c>
      <c r="CQ14" t="s">
        <v>538</v>
      </c>
      <c r="CR14" t="s">
        <v>596</v>
      </c>
      <c r="CS14" s="32" t="s">
        <v>407</v>
      </c>
      <c r="CT14" t="s">
        <v>475</v>
      </c>
      <c r="CU14" t="s">
        <v>407</v>
      </c>
      <c r="CV14" t="s">
        <v>408</v>
      </c>
      <c r="CW14" s="32" t="s">
        <v>407</v>
      </c>
      <c r="CX14" t="s">
        <v>83</v>
      </c>
      <c r="CY14" t="s">
        <v>407</v>
      </c>
      <c r="CZ14" t="s">
        <v>408</v>
      </c>
      <c r="DA14" t="s">
        <v>407</v>
      </c>
      <c r="DB14" t="s">
        <v>598</v>
      </c>
      <c r="DC14" t="s">
        <v>407</v>
      </c>
      <c r="DD14" t="s">
        <v>599</v>
      </c>
      <c r="DE14" t="str">
        <f t="shared" si="1"/>
        <v>%IF(K21%"Poplar","PAINT",IF(K21%"Red Oak","SGO",IF(K21%"Maple","SM","SPPN")))</v>
      </c>
    </row>
    <row r="15" spans="6:109" x14ac:dyDescent="0.25">
      <c r="F15" t="s">
        <v>161</v>
      </c>
      <c r="H15" t="s">
        <v>221</v>
      </c>
      <c r="M15" t="s">
        <v>283</v>
      </c>
      <c r="O15" t="s">
        <v>342</v>
      </c>
      <c r="T15" t="s">
        <v>344</v>
      </c>
      <c r="U15" t="s">
        <v>345</v>
      </c>
      <c r="V15" t="s">
        <v>346</v>
      </c>
      <c r="W15" t="s">
        <v>349</v>
      </c>
      <c r="X15" t="s">
        <v>344</v>
      </c>
      <c r="Y15" t="s">
        <v>407</v>
      </c>
      <c r="Z15" t="s">
        <v>27</v>
      </c>
      <c r="AA15" t="s">
        <v>407</v>
      </c>
      <c r="AB15" t="s">
        <v>408</v>
      </c>
      <c r="AC15" t="s">
        <v>407</v>
      </c>
      <c r="AD15" t="s">
        <v>27</v>
      </c>
      <c r="AE15" t="s">
        <v>407</v>
      </c>
      <c r="AF15" t="s">
        <v>408</v>
      </c>
      <c r="AG15" t="s">
        <v>345</v>
      </c>
      <c r="AH15" t="s">
        <v>346</v>
      </c>
      <c r="AI15" t="s">
        <v>349</v>
      </c>
      <c r="AJ15" t="s">
        <v>344</v>
      </c>
      <c r="AK15" t="s">
        <v>407</v>
      </c>
      <c r="AL15" t="s">
        <v>279</v>
      </c>
      <c r="AM15" t="s">
        <v>407</v>
      </c>
      <c r="AN15" t="s">
        <v>408</v>
      </c>
      <c r="AO15" t="s">
        <v>407</v>
      </c>
      <c r="AP15" t="s">
        <v>53</v>
      </c>
      <c r="AQ15" t="s">
        <v>407</v>
      </c>
      <c r="AR15" t="s">
        <v>408</v>
      </c>
      <c r="AS15" t="s">
        <v>407</v>
      </c>
      <c r="AT15" t="s">
        <v>407</v>
      </c>
      <c r="AU15" t="s">
        <v>409</v>
      </c>
      <c r="AV15" t="s">
        <v>409</v>
      </c>
      <c r="AW15" t="str">
        <f t="shared" si="0"/>
        <v>#if(J21#"JE","JE",if(J21#"Drilled","JC",""))</v>
      </c>
      <c r="BC15" t="s">
        <v>415</v>
      </c>
      <c r="BJ15" t="s">
        <v>478</v>
      </c>
      <c r="BQ15" t="s">
        <v>600</v>
      </c>
      <c r="BR15" t="s">
        <v>346</v>
      </c>
      <c r="BS15" t="s">
        <v>538</v>
      </c>
      <c r="BT15" t="s">
        <v>596</v>
      </c>
      <c r="BU15" t="s">
        <v>407</v>
      </c>
      <c r="BV15" t="s">
        <v>157</v>
      </c>
      <c r="BW15" t="s">
        <v>407</v>
      </c>
      <c r="BX15" t="s">
        <v>408</v>
      </c>
      <c r="BY15" t="s">
        <v>407</v>
      </c>
      <c r="BZ15" t="s">
        <v>80</v>
      </c>
      <c r="CA15" t="s">
        <v>407</v>
      </c>
      <c r="CB15" t="s">
        <v>408</v>
      </c>
      <c r="CC15" t="s">
        <v>597</v>
      </c>
      <c r="CD15" t="s">
        <v>346</v>
      </c>
      <c r="CE15" t="s">
        <v>538</v>
      </c>
      <c r="CF15" t="s">
        <v>596</v>
      </c>
      <c r="CG15" s="32" t="s">
        <v>407</v>
      </c>
      <c r="CH15" t="s">
        <v>411</v>
      </c>
      <c r="CI15" t="s">
        <v>407</v>
      </c>
      <c r="CJ15" t="s">
        <v>408</v>
      </c>
      <c r="CK15" s="32" t="s">
        <v>407</v>
      </c>
      <c r="CL15" t="s">
        <v>29</v>
      </c>
      <c r="CM15" t="s">
        <v>407</v>
      </c>
      <c r="CN15" t="s">
        <v>408</v>
      </c>
      <c r="CO15" t="s">
        <v>597</v>
      </c>
      <c r="CP15" t="s">
        <v>346</v>
      </c>
      <c r="CQ15" t="s">
        <v>538</v>
      </c>
      <c r="CR15" t="s">
        <v>596</v>
      </c>
      <c r="CS15" s="32" t="s">
        <v>407</v>
      </c>
      <c r="CT15" t="s">
        <v>475</v>
      </c>
      <c r="CU15" t="s">
        <v>407</v>
      </c>
      <c r="CV15" t="s">
        <v>408</v>
      </c>
      <c r="CW15" s="32" t="s">
        <v>407</v>
      </c>
      <c r="CX15" t="s">
        <v>83</v>
      </c>
      <c r="CY15" t="s">
        <v>407</v>
      </c>
      <c r="CZ15" t="s">
        <v>408</v>
      </c>
      <c r="DA15" t="s">
        <v>407</v>
      </c>
      <c r="DB15" t="s">
        <v>598</v>
      </c>
      <c r="DC15" t="s">
        <v>407</v>
      </c>
      <c r="DD15" t="s">
        <v>599</v>
      </c>
      <c r="DE15" t="str">
        <f t="shared" si="1"/>
        <v>%IF(K21%"Poplar","PAINT",IF(K21%"Red Oak","SGO",IF(K21%"Maple","SM","SPPN")))</v>
      </c>
    </row>
    <row r="16" spans="6:109" x14ac:dyDescent="0.25">
      <c r="F16" t="s">
        <v>161</v>
      </c>
      <c r="H16" t="s">
        <v>221</v>
      </c>
      <c r="M16" t="s">
        <v>283</v>
      </c>
      <c r="O16" t="s">
        <v>342</v>
      </c>
      <c r="T16" t="s">
        <v>344</v>
      </c>
      <c r="U16" t="s">
        <v>345</v>
      </c>
      <c r="V16" t="s">
        <v>346</v>
      </c>
      <c r="W16" t="s">
        <v>349</v>
      </c>
      <c r="X16" t="s">
        <v>344</v>
      </c>
      <c r="Y16" t="s">
        <v>407</v>
      </c>
      <c r="Z16" t="s">
        <v>27</v>
      </c>
      <c r="AA16" t="s">
        <v>407</v>
      </c>
      <c r="AB16" t="s">
        <v>408</v>
      </c>
      <c r="AC16" t="s">
        <v>407</v>
      </c>
      <c r="AD16" t="s">
        <v>27</v>
      </c>
      <c r="AE16" t="s">
        <v>407</v>
      </c>
      <c r="AF16" t="s">
        <v>408</v>
      </c>
      <c r="AG16" t="s">
        <v>345</v>
      </c>
      <c r="AH16" t="s">
        <v>346</v>
      </c>
      <c r="AI16" t="s">
        <v>349</v>
      </c>
      <c r="AJ16" t="s">
        <v>344</v>
      </c>
      <c r="AK16" t="s">
        <v>407</v>
      </c>
      <c r="AL16" t="s">
        <v>279</v>
      </c>
      <c r="AM16" t="s">
        <v>407</v>
      </c>
      <c r="AN16" t="s">
        <v>408</v>
      </c>
      <c r="AO16" t="s">
        <v>407</v>
      </c>
      <c r="AP16" t="s">
        <v>53</v>
      </c>
      <c r="AQ16" t="s">
        <v>407</v>
      </c>
      <c r="AR16" t="s">
        <v>408</v>
      </c>
      <c r="AS16" t="s">
        <v>407</v>
      </c>
      <c r="AT16" t="s">
        <v>407</v>
      </c>
      <c r="AU16" t="s">
        <v>409</v>
      </c>
      <c r="AV16" t="s">
        <v>409</v>
      </c>
      <c r="AW16" t="str">
        <f t="shared" si="0"/>
        <v>#if(J21#"JE","JE",if(J21#"Drilled","JC",""))</v>
      </c>
      <c r="BC16" t="s">
        <v>415</v>
      </c>
      <c r="BJ16" t="s">
        <v>478</v>
      </c>
      <c r="BQ16" t="s">
        <v>600</v>
      </c>
      <c r="BR16" t="s">
        <v>346</v>
      </c>
      <c r="BS16" t="s">
        <v>538</v>
      </c>
      <c r="BT16" t="s">
        <v>596</v>
      </c>
      <c r="BU16" t="s">
        <v>407</v>
      </c>
      <c r="BV16" t="s">
        <v>157</v>
      </c>
      <c r="BW16" t="s">
        <v>407</v>
      </c>
      <c r="BX16" t="s">
        <v>408</v>
      </c>
      <c r="BY16" t="s">
        <v>407</v>
      </c>
      <c r="BZ16" t="s">
        <v>80</v>
      </c>
      <c r="CA16" t="s">
        <v>407</v>
      </c>
      <c r="CB16" t="s">
        <v>408</v>
      </c>
      <c r="CC16" t="s">
        <v>597</v>
      </c>
      <c r="CD16" t="s">
        <v>346</v>
      </c>
      <c r="CE16" t="s">
        <v>538</v>
      </c>
      <c r="CF16" t="s">
        <v>596</v>
      </c>
      <c r="CG16" s="32" t="s">
        <v>407</v>
      </c>
      <c r="CH16" t="s">
        <v>411</v>
      </c>
      <c r="CI16" t="s">
        <v>407</v>
      </c>
      <c r="CJ16" t="s">
        <v>408</v>
      </c>
      <c r="CK16" s="32" t="s">
        <v>407</v>
      </c>
      <c r="CL16" t="s">
        <v>29</v>
      </c>
      <c r="CM16" t="s">
        <v>407</v>
      </c>
      <c r="CN16" t="s">
        <v>408</v>
      </c>
      <c r="CO16" t="s">
        <v>597</v>
      </c>
      <c r="CP16" t="s">
        <v>346</v>
      </c>
      <c r="CQ16" t="s">
        <v>538</v>
      </c>
      <c r="CR16" t="s">
        <v>596</v>
      </c>
      <c r="CS16" s="32" t="s">
        <v>407</v>
      </c>
      <c r="CT16" t="s">
        <v>475</v>
      </c>
      <c r="CU16" t="s">
        <v>407</v>
      </c>
      <c r="CV16" t="s">
        <v>408</v>
      </c>
      <c r="CW16" s="32" t="s">
        <v>407</v>
      </c>
      <c r="CX16" t="s">
        <v>83</v>
      </c>
      <c r="CY16" t="s">
        <v>407</v>
      </c>
      <c r="CZ16" t="s">
        <v>408</v>
      </c>
      <c r="DA16" t="s">
        <v>407</v>
      </c>
      <c r="DB16" t="s">
        <v>598</v>
      </c>
      <c r="DC16" t="s">
        <v>407</v>
      </c>
      <c r="DD16" t="s">
        <v>599</v>
      </c>
      <c r="DE16" t="str">
        <f t="shared" si="1"/>
        <v>%IF(K21%"Poplar","PAINT",IF(K21%"Red Oak","SGO",IF(K21%"Maple","SM","SPPN")))</v>
      </c>
    </row>
    <row r="17" spans="6:119" x14ac:dyDescent="0.25">
      <c r="F17" t="s">
        <v>162</v>
      </c>
      <c r="H17" t="s">
        <v>222</v>
      </c>
      <c r="M17" t="s">
        <v>284</v>
      </c>
      <c r="O17" t="s">
        <v>342</v>
      </c>
      <c r="T17" t="s">
        <v>344</v>
      </c>
      <c r="U17" t="s">
        <v>345</v>
      </c>
      <c r="V17" t="s">
        <v>346</v>
      </c>
      <c r="W17" t="s">
        <v>350</v>
      </c>
      <c r="X17" t="s">
        <v>344</v>
      </c>
      <c r="Y17" t="s">
        <v>407</v>
      </c>
      <c r="Z17" t="s">
        <v>27</v>
      </c>
      <c r="AA17" t="s">
        <v>407</v>
      </c>
      <c r="AB17" t="s">
        <v>408</v>
      </c>
      <c r="AC17" t="s">
        <v>407</v>
      </c>
      <c r="AD17" t="s">
        <v>27</v>
      </c>
      <c r="AE17" t="s">
        <v>407</v>
      </c>
      <c r="AF17" t="s">
        <v>408</v>
      </c>
      <c r="AG17" t="s">
        <v>345</v>
      </c>
      <c r="AH17" t="s">
        <v>346</v>
      </c>
      <c r="AI17" t="s">
        <v>350</v>
      </c>
      <c r="AJ17" t="s">
        <v>344</v>
      </c>
      <c r="AK17" t="s">
        <v>407</v>
      </c>
      <c r="AL17" t="s">
        <v>279</v>
      </c>
      <c r="AM17" t="s">
        <v>407</v>
      </c>
      <c r="AN17" t="s">
        <v>408</v>
      </c>
      <c r="AO17" t="s">
        <v>407</v>
      </c>
      <c r="AP17" t="s">
        <v>53</v>
      </c>
      <c r="AQ17" t="s">
        <v>407</v>
      </c>
      <c r="AR17" t="s">
        <v>408</v>
      </c>
      <c r="AS17" t="s">
        <v>407</v>
      </c>
      <c r="AT17" t="s">
        <v>407</v>
      </c>
      <c r="AU17" t="s">
        <v>409</v>
      </c>
      <c r="AV17" t="s">
        <v>409</v>
      </c>
      <c r="AW17" t="str">
        <f t="shared" si="0"/>
        <v>#if(J22#"JE","JE",if(J22#"Drilled","JC",""))</v>
      </c>
      <c r="BC17" t="s">
        <v>416</v>
      </c>
      <c r="BJ17" t="s">
        <v>479</v>
      </c>
      <c r="BQ17" t="s">
        <v>600</v>
      </c>
      <c r="BR17" t="s">
        <v>346</v>
      </c>
      <c r="BS17" t="s">
        <v>539</v>
      </c>
      <c r="BT17" t="s">
        <v>596</v>
      </c>
      <c r="BU17" t="s">
        <v>407</v>
      </c>
      <c r="BV17" t="s">
        <v>157</v>
      </c>
      <c r="BW17" t="s">
        <v>407</v>
      </c>
      <c r="BX17" t="s">
        <v>408</v>
      </c>
      <c r="BY17" t="s">
        <v>407</v>
      </c>
      <c r="BZ17" t="s">
        <v>80</v>
      </c>
      <c r="CA17" t="s">
        <v>407</v>
      </c>
      <c r="CB17" t="s">
        <v>408</v>
      </c>
      <c r="CC17" t="s">
        <v>597</v>
      </c>
      <c r="CD17" t="s">
        <v>346</v>
      </c>
      <c r="CE17" t="s">
        <v>539</v>
      </c>
      <c r="CF17" t="s">
        <v>596</v>
      </c>
      <c r="CG17" s="32" t="s">
        <v>407</v>
      </c>
      <c r="CH17" t="s">
        <v>411</v>
      </c>
      <c r="CI17" t="s">
        <v>407</v>
      </c>
      <c r="CJ17" t="s">
        <v>408</v>
      </c>
      <c r="CK17" s="32" t="s">
        <v>407</v>
      </c>
      <c r="CL17" t="s">
        <v>29</v>
      </c>
      <c r="CM17" t="s">
        <v>407</v>
      </c>
      <c r="CN17" t="s">
        <v>408</v>
      </c>
      <c r="CO17" t="s">
        <v>597</v>
      </c>
      <c r="CP17" t="s">
        <v>346</v>
      </c>
      <c r="CQ17" t="s">
        <v>539</v>
      </c>
      <c r="CR17" t="s">
        <v>596</v>
      </c>
      <c r="CS17" s="32" t="s">
        <v>407</v>
      </c>
      <c r="CT17" t="s">
        <v>475</v>
      </c>
      <c r="CU17" t="s">
        <v>407</v>
      </c>
      <c r="CV17" t="s">
        <v>408</v>
      </c>
      <c r="CW17" s="32" t="s">
        <v>407</v>
      </c>
      <c r="CX17" t="s">
        <v>83</v>
      </c>
      <c r="CY17" t="s">
        <v>407</v>
      </c>
      <c r="CZ17" t="s">
        <v>408</v>
      </c>
      <c r="DA17" t="s">
        <v>407</v>
      </c>
      <c r="DB17" t="s">
        <v>598</v>
      </c>
      <c r="DC17" t="s">
        <v>407</v>
      </c>
      <c r="DD17" t="s">
        <v>599</v>
      </c>
      <c r="DE17" t="str">
        <f t="shared" si="1"/>
        <v>%IF(K22%"Poplar","PAINT",IF(K22%"Red Oak","SGO",IF(K22%"Maple","SM","SPPN")))</v>
      </c>
    </row>
    <row r="18" spans="6:119" x14ac:dyDescent="0.25">
      <c r="F18" t="s">
        <v>162</v>
      </c>
      <c r="H18" t="s">
        <v>222</v>
      </c>
      <c r="M18" t="s">
        <v>284</v>
      </c>
      <c r="O18" t="s">
        <v>342</v>
      </c>
      <c r="T18" t="s">
        <v>344</v>
      </c>
      <c r="U18" t="s">
        <v>345</v>
      </c>
      <c r="V18" t="s">
        <v>346</v>
      </c>
      <c r="W18" t="s">
        <v>350</v>
      </c>
      <c r="X18" t="s">
        <v>344</v>
      </c>
      <c r="Y18" t="s">
        <v>407</v>
      </c>
      <c r="Z18" t="s">
        <v>27</v>
      </c>
      <c r="AA18" t="s">
        <v>407</v>
      </c>
      <c r="AB18" t="s">
        <v>408</v>
      </c>
      <c r="AC18" t="s">
        <v>407</v>
      </c>
      <c r="AD18" t="s">
        <v>27</v>
      </c>
      <c r="AE18" t="s">
        <v>407</v>
      </c>
      <c r="AF18" t="s">
        <v>408</v>
      </c>
      <c r="AG18" t="s">
        <v>345</v>
      </c>
      <c r="AH18" t="s">
        <v>346</v>
      </c>
      <c r="AI18" t="s">
        <v>350</v>
      </c>
      <c r="AJ18" t="s">
        <v>344</v>
      </c>
      <c r="AK18" t="s">
        <v>407</v>
      </c>
      <c r="AL18" t="s">
        <v>279</v>
      </c>
      <c r="AM18" t="s">
        <v>407</v>
      </c>
      <c r="AN18" t="s">
        <v>408</v>
      </c>
      <c r="AO18" t="s">
        <v>407</v>
      </c>
      <c r="AP18" t="s">
        <v>53</v>
      </c>
      <c r="AQ18" t="s">
        <v>407</v>
      </c>
      <c r="AR18" t="s">
        <v>408</v>
      </c>
      <c r="AS18" t="s">
        <v>407</v>
      </c>
      <c r="AT18" t="s">
        <v>407</v>
      </c>
      <c r="AU18" t="s">
        <v>409</v>
      </c>
      <c r="AV18" t="s">
        <v>409</v>
      </c>
      <c r="AW18" t="str">
        <f t="shared" si="0"/>
        <v>#if(J22#"JE","JE",if(J22#"Drilled","JC",""))</v>
      </c>
      <c r="BC18" t="s">
        <v>416</v>
      </c>
      <c r="BJ18" t="s">
        <v>479</v>
      </c>
      <c r="BQ18" t="s">
        <v>600</v>
      </c>
      <c r="BR18" t="s">
        <v>346</v>
      </c>
      <c r="BS18" t="s">
        <v>539</v>
      </c>
      <c r="BT18" t="s">
        <v>596</v>
      </c>
      <c r="BU18" t="s">
        <v>407</v>
      </c>
      <c r="BV18" t="s">
        <v>157</v>
      </c>
      <c r="BW18" t="s">
        <v>407</v>
      </c>
      <c r="BX18" t="s">
        <v>408</v>
      </c>
      <c r="BY18" t="s">
        <v>407</v>
      </c>
      <c r="BZ18" t="s">
        <v>80</v>
      </c>
      <c r="CA18" t="s">
        <v>407</v>
      </c>
      <c r="CB18" t="s">
        <v>408</v>
      </c>
      <c r="CC18" t="s">
        <v>597</v>
      </c>
      <c r="CD18" t="s">
        <v>346</v>
      </c>
      <c r="CE18" t="s">
        <v>539</v>
      </c>
      <c r="CF18" t="s">
        <v>596</v>
      </c>
      <c r="CG18" s="32" t="s">
        <v>407</v>
      </c>
      <c r="CH18" t="s">
        <v>411</v>
      </c>
      <c r="CI18" t="s">
        <v>407</v>
      </c>
      <c r="CJ18" t="s">
        <v>408</v>
      </c>
      <c r="CK18" s="32" t="s">
        <v>407</v>
      </c>
      <c r="CL18" t="s">
        <v>29</v>
      </c>
      <c r="CM18" t="s">
        <v>407</v>
      </c>
      <c r="CN18" t="s">
        <v>408</v>
      </c>
      <c r="CO18" t="s">
        <v>597</v>
      </c>
      <c r="CP18" t="s">
        <v>346</v>
      </c>
      <c r="CQ18" t="s">
        <v>539</v>
      </c>
      <c r="CR18" t="s">
        <v>596</v>
      </c>
      <c r="CS18" s="32" t="s">
        <v>407</v>
      </c>
      <c r="CT18" t="s">
        <v>475</v>
      </c>
      <c r="CU18" t="s">
        <v>407</v>
      </c>
      <c r="CV18" t="s">
        <v>408</v>
      </c>
      <c r="CW18" s="32" t="s">
        <v>407</v>
      </c>
      <c r="CX18" t="s">
        <v>83</v>
      </c>
      <c r="CY18" t="s">
        <v>407</v>
      </c>
      <c r="CZ18" t="s">
        <v>408</v>
      </c>
      <c r="DA18" t="s">
        <v>407</v>
      </c>
      <c r="DB18" t="s">
        <v>598</v>
      </c>
      <c r="DC18" t="s">
        <v>407</v>
      </c>
      <c r="DD18" t="s">
        <v>599</v>
      </c>
      <c r="DE18" t="str">
        <f t="shared" si="1"/>
        <v>%IF(K22%"Poplar","PAINT",IF(K22%"Red Oak","SGO",IF(K22%"Maple","SM","SPPN")))</v>
      </c>
      <c r="DO18" s="16" t="s">
        <v>7</v>
      </c>
    </row>
    <row r="19" spans="6:119" x14ac:dyDescent="0.25">
      <c r="F19" t="s">
        <v>162</v>
      </c>
      <c r="H19" t="s">
        <v>222</v>
      </c>
      <c r="M19" t="s">
        <v>284</v>
      </c>
      <c r="O19" t="s">
        <v>341</v>
      </c>
      <c r="T19" t="s">
        <v>344</v>
      </c>
      <c r="U19" t="s">
        <v>345</v>
      </c>
      <c r="V19" t="s">
        <v>346</v>
      </c>
      <c r="W19" t="s">
        <v>350</v>
      </c>
      <c r="X19" t="s">
        <v>344</v>
      </c>
      <c r="Y19" t="s">
        <v>407</v>
      </c>
      <c r="Z19" t="s">
        <v>27</v>
      </c>
      <c r="AA19" t="s">
        <v>407</v>
      </c>
      <c r="AB19" t="s">
        <v>408</v>
      </c>
      <c r="AC19" t="s">
        <v>407</v>
      </c>
      <c r="AD19" t="s">
        <v>27</v>
      </c>
      <c r="AE19" t="s">
        <v>407</v>
      </c>
      <c r="AF19" t="s">
        <v>408</v>
      </c>
      <c r="AG19" t="s">
        <v>345</v>
      </c>
      <c r="AH19" t="s">
        <v>346</v>
      </c>
      <c r="AI19" t="s">
        <v>350</v>
      </c>
      <c r="AJ19" t="s">
        <v>344</v>
      </c>
      <c r="AK19" t="s">
        <v>407</v>
      </c>
      <c r="AL19" t="s">
        <v>279</v>
      </c>
      <c r="AM19" t="s">
        <v>407</v>
      </c>
      <c r="AN19" t="s">
        <v>408</v>
      </c>
      <c r="AO19" t="s">
        <v>407</v>
      </c>
      <c r="AP19" t="s">
        <v>53</v>
      </c>
      <c r="AQ19" t="s">
        <v>407</v>
      </c>
      <c r="AR19" t="s">
        <v>408</v>
      </c>
      <c r="AS19" t="s">
        <v>407</v>
      </c>
      <c r="AT19" t="s">
        <v>407</v>
      </c>
      <c r="AU19" t="s">
        <v>409</v>
      </c>
      <c r="AV19" t="s">
        <v>409</v>
      </c>
      <c r="AW19" t="str">
        <f t="shared" si="0"/>
        <v>#if(J22#"JE","JE",if(J22#"Drilled","JC",""))</v>
      </c>
      <c r="BC19" t="s">
        <v>416</v>
      </c>
      <c r="BJ19" t="s">
        <v>479</v>
      </c>
      <c r="BQ19" t="s">
        <v>600</v>
      </c>
      <c r="BR19" t="s">
        <v>346</v>
      </c>
      <c r="BS19" t="s">
        <v>539</v>
      </c>
      <c r="BT19" t="s">
        <v>596</v>
      </c>
      <c r="BU19" t="s">
        <v>407</v>
      </c>
      <c r="BV19" t="s">
        <v>157</v>
      </c>
      <c r="BW19" t="s">
        <v>407</v>
      </c>
      <c r="BX19" t="s">
        <v>408</v>
      </c>
      <c r="BY19" t="s">
        <v>407</v>
      </c>
      <c r="BZ19" t="s">
        <v>80</v>
      </c>
      <c r="CA19" t="s">
        <v>407</v>
      </c>
      <c r="CB19" t="s">
        <v>408</v>
      </c>
      <c r="CC19" t="s">
        <v>597</v>
      </c>
      <c r="CD19" t="s">
        <v>346</v>
      </c>
      <c r="CE19" t="s">
        <v>539</v>
      </c>
      <c r="CF19" t="s">
        <v>596</v>
      </c>
      <c r="CG19" s="32" t="s">
        <v>407</v>
      </c>
      <c r="CH19" t="s">
        <v>411</v>
      </c>
      <c r="CI19" t="s">
        <v>407</v>
      </c>
      <c r="CJ19" t="s">
        <v>408</v>
      </c>
      <c r="CK19" s="32" t="s">
        <v>407</v>
      </c>
      <c r="CL19" t="s">
        <v>29</v>
      </c>
      <c r="CM19" t="s">
        <v>407</v>
      </c>
      <c r="CN19" t="s">
        <v>408</v>
      </c>
      <c r="CO19" t="s">
        <v>597</v>
      </c>
      <c r="CP19" t="s">
        <v>346</v>
      </c>
      <c r="CQ19" t="s">
        <v>539</v>
      </c>
      <c r="CR19" t="s">
        <v>596</v>
      </c>
      <c r="CS19" s="32" t="s">
        <v>407</v>
      </c>
      <c r="CT19" t="s">
        <v>475</v>
      </c>
      <c r="CU19" t="s">
        <v>407</v>
      </c>
      <c r="CV19" t="s">
        <v>408</v>
      </c>
      <c r="CW19" s="32" t="s">
        <v>407</v>
      </c>
      <c r="CX19" t="s">
        <v>83</v>
      </c>
      <c r="CY19" t="s">
        <v>407</v>
      </c>
      <c r="CZ19" t="s">
        <v>408</v>
      </c>
      <c r="DA19" t="s">
        <v>407</v>
      </c>
      <c r="DB19" t="s">
        <v>598</v>
      </c>
      <c r="DC19" t="s">
        <v>407</v>
      </c>
      <c r="DD19" t="s">
        <v>599</v>
      </c>
      <c r="DE19" t="str">
        <f t="shared" si="1"/>
        <v>%IF(K22%"Poplar","PAINT",IF(K22%"Red Oak","SGO",IF(K22%"Maple","SM","SPPN")))</v>
      </c>
      <c r="DO19" t="s">
        <v>476</v>
      </c>
    </row>
    <row r="20" spans="6:119" x14ac:dyDescent="0.25">
      <c r="F20" t="s">
        <v>162</v>
      </c>
      <c r="H20" t="s">
        <v>222</v>
      </c>
      <c r="M20" t="s">
        <v>284</v>
      </c>
      <c r="O20" t="s">
        <v>341</v>
      </c>
      <c r="T20" t="s">
        <v>344</v>
      </c>
      <c r="U20" t="s">
        <v>345</v>
      </c>
      <c r="V20" t="s">
        <v>346</v>
      </c>
      <c r="W20" t="s">
        <v>350</v>
      </c>
      <c r="X20" t="s">
        <v>344</v>
      </c>
      <c r="Y20" t="s">
        <v>407</v>
      </c>
      <c r="Z20" t="s">
        <v>27</v>
      </c>
      <c r="AA20" t="s">
        <v>407</v>
      </c>
      <c r="AB20" t="s">
        <v>408</v>
      </c>
      <c r="AC20" t="s">
        <v>407</v>
      </c>
      <c r="AD20" t="s">
        <v>27</v>
      </c>
      <c r="AE20" t="s">
        <v>407</v>
      </c>
      <c r="AF20" t="s">
        <v>408</v>
      </c>
      <c r="AG20" t="s">
        <v>345</v>
      </c>
      <c r="AH20" t="s">
        <v>346</v>
      </c>
      <c r="AI20" t="s">
        <v>350</v>
      </c>
      <c r="AJ20" t="s">
        <v>344</v>
      </c>
      <c r="AK20" t="s">
        <v>407</v>
      </c>
      <c r="AL20" t="s">
        <v>279</v>
      </c>
      <c r="AM20" t="s">
        <v>407</v>
      </c>
      <c r="AN20" t="s">
        <v>408</v>
      </c>
      <c r="AO20" t="s">
        <v>407</v>
      </c>
      <c r="AP20" t="s">
        <v>53</v>
      </c>
      <c r="AQ20" t="s">
        <v>407</v>
      </c>
      <c r="AR20" t="s">
        <v>408</v>
      </c>
      <c r="AS20" t="s">
        <v>407</v>
      </c>
      <c r="AT20" t="s">
        <v>407</v>
      </c>
      <c r="AU20" t="s">
        <v>409</v>
      </c>
      <c r="AV20" t="s">
        <v>409</v>
      </c>
      <c r="AW20" t="str">
        <f t="shared" si="0"/>
        <v>#if(J22#"JE","JE",if(J22#"Drilled","JC",""))</v>
      </c>
      <c r="BC20" t="s">
        <v>416</v>
      </c>
      <c r="BJ20" t="s">
        <v>479</v>
      </c>
      <c r="BQ20" t="s">
        <v>600</v>
      </c>
      <c r="BR20" t="s">
        <v>346</v>
      </c>
      <c r="BS20" t="s">
        <v>539</v>
      </c>
      <c r="BT20" t="s">
        <v>596</v>
      </c>
      <c r="BU20" t="s">
        <v>407</v>
      </c>
      <c r="BV20" t="s">
        <v>157</v>
      </c>
      <c r="BW20" t="s">
        <v>407</v>
      </c>
      <c r="BX20" t="s">
        <v>408</v>
      </c>
      <c r="BY20" t="s">
        <v>407</v>
      </c>
      <c r="BZ20" t="s">
        <v>80</v>
      </c>
      <c r="CA20" t="s">
        <v>407</v>
      </c>
      <c r="CB20" t="s">
        <v>408</v>
      </c>
      <c r="CC20" t="s">
        <v>597</v>
      </c>
      <c r="CD20" t="s">
        <v>346</v>
      </c>
      <c r="CE20" t="s">
        <v>539</v>
      </c>
      <c r="CF20" t="s">
        <v>596</v>
      </c>
      <c r="CG20" s="32" t="s">
        <v>407</v>
      </c>
      <c r="CH20" t="s">
        <v>411</v>
      </c>
      <c r="CI20" t="s">
        <v>407</v>
      </c>
      <c r="CJ20" t="s">
        <v>408</v>
      </c>
      <c r="CK20" s="32" t="s">
        <v>407</v>
      </c>
      <c r="CL20" t="s">
        <v>29</v>
      </c>
      <c r="CM20" t="s">
        <v>407</v>
      </c>
      <c r="CN20" t="s">
        <v>408</v>
      </c>
      <c r="CO20" t="s">
        <v>597</v>
      </c>
      <c r="CP20" t="s">
        <v>346</v>
      </c>
      <c r="CQ20" t="s">
        <v>539</v>
      </c>
      <c r="CR20" t="s">
        <v>596</v>
      </c>
      <c r="CS20" s="32" t="s">
        <v>407</v>
      </c>
      <c r="CT20" t="s">
        <v>475</v>
      </c>
      <c r="CU20" t="s">
        <v>407</v>
      </c>
      <c r="CV20" t="s">
        <v>408</v>
      </c>
      <c r="CW20" s="32" t="s">
        <v>407</v>
      </c>
      <c r="CX20" t="s">
        <v>83</v>
      </c>
      <c r="CY20" t="s">
        <v>407</v>
      </c>
      <c r="CZ20" t="s">
        <v>408</v>
      </c>
      <c r="DA20" t="s">
        <v>407</v>
      </c>
      <c r="DB20" t="s">
        <v>598</v>
      </c>
      <c r="DC20" t="s">
        <v>407</v>
      </c>
      <c r="DD20" t="s">
        <v>599</v>
      </c>
      <c r="DE20" t="str">
        <f t="shared" si="1"/>
        <v>%IF(K22%"Poplar","PAINT",IF(K22%"Red Oak","SGO",IF(K22%"Maple","SM","SPPN")))</v>
      </c>
      <c r="DO20" t="s">
        <v>476</v>
      </c>
    </row>
    <row r="21" spans="6:119" x14ac:dyDescent="0.25">
      <c r="F21" t="s">
        <v>163</v>
      </c>
      <c r="H21" t="s">
        <v>223</v>
      </c>
      <c r="M21" t="s">
        <v>285</v>
      </c>
      <c r="O21" t="s">
        <v>341</v>
      </c>
      <c r="T21" t="s">
        <v>344</v>
      </c>
      <c r="U21" t="s">
        <v>345</v>
      </c>
      <c r="V21" t="s">
        <v>346</v>
      </c>
      <c r="W21" t="s">
        <v>351</v>
      </c>
      <c r="X21" t="s">
        <v>344</v>
      </c>
      <c r="Y21" t="s">
        <v>407</v>
      </c>
      <c r="Z21" t="s">
        <v>27</v>
      </c>
      <c r="AA21" t="s">
        <v>407</v>
      </c>
      <c r="AB21" t="s">
        <v>408</v>
      </c>
      <c r="AC21" t="s">
        <v>407</v>
      </c>
      <c r="AD21" t="s">
        <v>27</v>
      </c>
      <c r="AE21" t="s">
        <v>407</v>
      </c>
      <c r="AF21" t="s">
        <v>408</v>
      </c>
      <c r="AG21" t="s">
        <v>345</v>
      </c>
      <c r="AH21" t="s">
        <v>346</v>
      </c>
      <c r="AI21" t="s">
        <v>351</v>
      </c>
      <c r="AJ21" t="s">
        <v>344</v>
      </c>
      <c r="AK21" t="s">
        <v>407</v>
      </c>
      <c r="AL21" t="s">
        <v>279</v>
      </c>
      <c r="AM21" t="s">
        <v>407</v>
      </c>
      <c r="AN21" t="s">
        <v>408</v>
      </c>
      <c r="AO21" t="s">
        <v>407</v>
      </c>
      <c r="AP21" t="s">
        <v>53</v>
      </c>
      <c r="AQ21" t="s">
        <v>407</v>
      </c>
      <c r="AR21" t="s">
        <v>408</v>
      </c>
      <c r="AS21" t="s">
        <v>407</v>
      </c>
      <c r="AT21" t="s">
        <v>407</v>
      </c>
      <c r="AU21" t="s">
        <v>409</v>
      </c>
      <c r="AV21" t="s">
        <v>409</v>
      </c>
      <c r="AW21" t="str">
        <f t="shared" si="0"/>
        <v>#if(J23#"JE","JE",if(J23#"Drilled","JC",""))</v>
      </c>
      <c r="BC21" t="s">
        <v>417</v>
      </c>
      <c r="BJ21" t="s">
        <v>480</v>
      </c>
      <c r="BQ21" t="s">
        <v>600</v>
      </c>
      <c r="BR21" t="s">
        <v>346</v>
      </c>
      <c r="BS21" t="s">
        <v>540</v>
      </c>
      <c r="BT21" t="s">
        <v>596</v>
      </c>
      <c r="BU21" t="s">
        <v>407</v>
      </c>
      <c r="BV21" t="s">
        <v>157</v>
      </c>
      <c r="BW21" t="s">
        <v>407</v>
      </c>
      <c r="BX21" t="s">
        <v>408</v>
      </c>
      <c r="BY21" t="s">
        <v>407</v>
      </c>
      <c r="BZ21" t="s">
        <v>80</v>
      </c>
      <c r="CA21" t="s">
        <v>407</v>
      </c>
      <c r="CB21" t="s">
        <v>408</v>
      </c>
      <c r="CC21" t="s">
        <v>597</v>
      </c>
      <c r="CD21" t="s">
        <v>346</v>
      </c>
      <c r="CE21" t="s">
        <v>540</v>
      </c>
      <c r="CF21" t="s">
        <v>596</v>
      </c>
      <c r="CG21" s="32" t="s">
        <v>407</v>
      </c>
      <c r="CH21" t="s">
        <v>411</v>
      </c>
      <c r="CI21" t="s">
        <v>407</v>
      </c>
      <c r="CJ21" t="s">
        <v>408</v>
      </c>
      <c r="CK21" s="32" t="s">
        <v>407</v>
      </c>
      <c r="CL21" t="s">
        <v>29</v>
      </c>
      <c r="CM21" t="s">
        <v>407</v>
      </c>
      <c r="CN21" t="s">
        <v>408</v>
      </c>
      <c r="CO21" t="s">
        <v>597</v>
      </c>
      <c r="CP21" t="s">
        <v>346</v>
      </c>
      <c r="CQ21" t="s">
        <v>540</v>
      </c>
      <c r="CR21" t="s">
        <v>596</v>
      </c>
      <c r="CS21" s="32" t="s">
        <v>407</v>
      </c>
      <c r="CT21" t="s">
        <v>475</v>
      </c>
      <c r="CU21" t="s">
        <v>407</v>
      </c>
      <c r="CV21" t="s">
        <v>408</v>
      </c>
      <c r="CW21" s="32" t="s">
        <v>407</v>
      </c>
      <c r="CX21" t="s">
        <v>83</v>
      </c>
      <c r="CY21" t="s">
        <v>407</v>
      </c>
      <c r="CZ21" t="s">
        <v>408</v>
      </c>
      <c r="DA21" t="s">
        <v>407</v>
      </c>
      <c r="DB21" t="s">
        <v>598</v>
      </c>
      <c r="DC21" t="s">
        <v>407</v>
      </c>
      <c r="DD21" t="s">
        <v>599</v>
      </c>
      <c r="DE21" t="str">
        <f t="shared" si="1"/>
        <v>%IF(K23%"Poplar","PAINT",IF(K23%"Red Oak","SGO",IF(K23%"Maple","SM","SPPN")))</v>
      </c>
      <c r="DO21" t="s">
        <v>476</v>
      </c>
    </row>
    <row r="22" spans="6:119" x14ac:dyDescent="0.25">
      <c r="F22" t="s">
        <v>163</v>
      </c>
      <c r="H22" t="s">
        <v>223</v>
      </c>
      <c r="M22" t="s">
        <v>285</v>
      </c>
      <c r="O22" t="s">
        <v>341</v>
      </c>
      <c r="T22" t="s">
        <v>344</v>
      </c>
      <c r="U22" t="s">
        <v>345</v>
      </c>
      <c r="V22" t="s">
        <v>346</v>
      </c>
      <c r="W22" t="s">
        <v>351</v>
      </c>
      <c r="X22" t="s">
        <v>344</v>
      </c>
      <c r="Y22" t="s">
        <v>407</v>
      </c>
      <c r="Z22" t="s">
        <v>27</v>
      </c>
      <c r="AA22" t="s">
        <v>407</v>
      </c>
      <c r="AB22" t="s">
        <v>408</v>
      </c>
      <c r="AC22" t="s">
        <v>407</v>
      </c>
      <c r="AD22" t="s">
        <v>27</v>
      </c>
      <c r="AE22" t="s">
        <v>407</v>
      </c>
      <c r="AF22" t="s">
        <v>408</v>
      </c>
      <c r="AG22" t="s">
        <v>345</v>
      </c>
      <c r="AH22" t="s">
        <v>346</v>
      </c>
      <c r="AI22" t="s">
        <v>351</v>
      </c>
      <c r="AJ22" t="s">
        <v>344</v>
      </c>
      <c r="AK22" t="s">
        <v>407</v>
      </c>
      <c r="AL22" t="s">
        <v>279</v>
      </c>
      <c r="AM22" t="s">
        <v>407</v>
      </c>
      <c r="AN22" t="s">
        <v>408</v>
      </c>
      <c r="AO22" t="s">
        <v>407</v>
      </c>
      <c r="AP22" t="s">
        <v>53</v>
      </c>
      <c r="AQ22" t="s">
        <v>407</v>
      </c>
      <c r="AR22" t="s">
        <v>408</v>
      </c>
      <c r="AS22" t="s">
        <v>407</v>
      </c>
      <c r="AT22" t="s">
        <v>407</v>
      </c>
      <c r="AU22" t="s">
        <v>409</v>
      </c>
      <c r="AV22" t="s">
        <v>409</v>
      </c>
      <c r="AW22" t="str">
        <f t="shared" si="0"/>
        <v>#if(J23#"JE","JE",if(J23#"Drilled","JC",""))</v>
      </c>
      <c r="BC22" t="s">
        <v>417</v>
      </c>
      <c r="BJ22" t="s">
        <v>480</v>
      </c>
      <c r="BQ22" t="s">
        <v>600</v>
      </c>
      <c r="BR22" t="s">
        <v>346</v>
      </c>
      <c r="BS22" t="s">
        <v>540</v>
      </c>
      <c r="BT22" t="s">
        <v>596</v>
      </c>
      <c r="BU22" t="s">
        <v>407</v>
      </c>
      <c r="BV22" t="s">
        <v>157</v>
      </c>
      <c r="BW22" t="s">
        <v>407</v>
      </c>
      <c r="BX22" t="s">
        <v>408</v>
      </c>
      <c r="BY22" t="s">
        <v>407</v>
      </c>
      <c r="BZ22" t="s">
        <v>80</v>
      </c>
      <c r="CA22" t="s">
        <v>407</v>
      </c>
      <c r="CB22" t="s">
        <v>408</v>
      </c>
      <c r="CC22" t="s">
        <v>597</v>
      </c>
      <c r="CD22" t="s">
        <v>346</v>
      </c>
      <c r="CE22" t="s">
        <v>540</v>
      </c>
      <c r="CF22" t="s">
        <v>596</v>
      </c>
      <c r="CG22" s="32" t="s">
        <v>407</v>
      </c>
      <c r="CH22" t="s">
        <v>411</v>
      </c>
      <c r="CI22" t="s">
        <v>407</v>
      </c>
      <c r="CJ22" t="s">
        <v>408</v>
      </c>
      <c r="CK22" s="32" t="s">
        <v>407</v>
      </c>
      <c r="CL22" t="s">
        <v>29</v>
      </c>
      <c r="CM22" t="s">
        <v>407</v>
      </c>
      <c r="CN22" t="s">
        <v>408</v>
      </c>
      <c r="CO22" t="s">
        <v>597</v>
      </c>
      <c r="CP22" t="s">
        <v>346</v>
      </c>
      <c r="CQ22" t="s">
        <v>540</v>
      </c>
      <c r="CR22" t="s">
        <v>596</v>
      </c>
      <c r="CS22" s="32" t="s">
        <v>407</v>
      </c>
      <c r="CT22" t="s">
        <v>475</v>
      </c>
      <c r="CU22" t="s">
        <v>407</v>
      </c>
      <c r="CV22" t="s">
        <v>408</v>
      </c>
      <c r="CW22" s="32" t="s">
        <v>407</v>
      </c>
      <c r="CX22" t="s">
        <v>83</v>
      </c>
      <c r="CY22" t="s">
        <v>407</v>
      </c>
      <c r="CZ22" t="s">
        <v>408</v>
      </c>
      <c r="DA22" t="s">
        <v>407</v>
      </c>
      <c r="DB22" t="s">
        <v>598</v>
      </c>
      <c r="DC22" t="s">
        <v>407</v>
      </c>
      <c r="DD22" t="s">
        <v>599</v>
      </c>
      <c r="DE22" t="str">
        <f t="shared" si="1"/>
        <v>%IF(K23%"Poplar","PAINT",IF(K23%"Red Oak","SGO",IF(K23%"Maple","SM","SPPN")))</v>
      </c>
      <c r="DO22" t="s">
        <v>476</v>
      </c>
    </row>
    <row r="23" spans="6:119" x14ac:dyDescent="0.25">
      <c r="F23" t="s">
        <v>163</v>
      </c>
      <c r="H23" t="s">
        <v>223</v>
      </c>
      <c r="M23" t="s">
        <v>285</v>
      </c>
      <c r="O23" t="s">
        <v>341</v>
      </c>
      <c r="T23" t="s">
        <v>344</v>
      </c>
      <c r="U23" t="s">
        <v>345</v>
      </c>
      <c r="V23" t="s">
        <v>346</v>
      </c>
      <c r="W23" t="s">
        <v>351</v>
      </c>
      <c r="X23" t="s">
        <v>344</v>
      </c>
      <c r="Y23" t="s">
        <v>407</v>
      </c>
      <c r="Z23" t="s">
        <v>27</v>
      </c>
      <c r="AA23" t="s">
        <v>407</v>
      </c>
      <c r="AB23" t="s">
        <v>408</v>
      </c>
      <c r="AC23" t="s">
        <v>407</v>
      </c>
      <c r="AD23" t="s">
        <v>27</v>
      </c>
      <c r="AE23" t="s">
        <v>407</v>
      </c>
      <c r="AF23" t="s">
        <v>408</v>
      </c>
      <c r="AG23" t="s">
        <v>345</v>
      </c>
      <c r="AH23" t="s">
        <v>346</v>
      </c>
      <c r="AI23" t="s">
        <v>351</v>
      </c>
      <c r="AJ23" t="s">
        <v>344</v>
      </c>
      <c r="AK23" t="s">
        <v>407</v>
      </c>
      <c r="AL23" t="s">
        <v>279</v>
      </c>
      <c r="AM23" t="s">
        <v>407</v>
      </c>
      <c r="AN23" t="s">
        <v>408</v>
      </c>
      <c r="AO23" t="s">
        <v>407</v>
      </c>
      <c r="AP23" t="s">
        <v>53</v>
      </c>
      <c r="AQ23" t="s">
        <v>407</v>
      </c>
      <c r="AR23" t="s">
        <v>408</v>
      </c>
      <c r="AS23" t="s">
        <v>407</v>
      </c>
      <c r="AT23" t="s">
        <v>407</v>
      </c>
      <c r="AU23" t="s">
        <v>409</v>
      </c>
      <c r="AV23" t="s">
        <v>409</v>
      </c>
      <c r="AW23" t="str">
        <f t="shared" si="0"/>
        <v>#if(J23#"JE","JE",if(J23#"Drilled","JC",""))</v>
      </c>
      <c r="BC23" t="s">
        <v>417</v>
      </c>
      <c r="BJ23" t="s">
        <v>480</v>
      </c>
      <c r="BQ23" t="s">
        <v>600</v>
      </c>
      <c r="BR23" t="s">
        <v>346</v>
      </c>
      <c r="BS23" t="s">
        <v>540</v>
      </c>
      <c r="BT23" t="s">
        <v>596</v>
      </c>
      <c r="BU23" t="s">
        <v>407</v>
      </c>
      <c r="BV23" t="s">
        <v>157</v>
      </c>
      <c r="BW23" t="s">
        <v>407</v>
      </c>
      <c r="BX23" t="s">
        <v>408</v>
      </c>
      <c r="BY23" t="s">
        <v>407</v>
      </c>
      <c r="BZ23" t="s">
        <v>80</v>
      </c>
      <c r="CA23" t="s">
        <v>407</v>
      </c>
      <c r="CB23" t="s">
        <v>408</v>
      </c>
      <c r="CC23" t="s">
        <v>597</v>
      </c>
      <c r="CD23" t="s">
        <v>346</v>
      </c>
      <c r="CE23" t="s">
        <v>540</v>
      </c>
      <c r="CF23" t="s">
        <v>596</v>
      </c>
      <c r="CG23" s="32" t="s">
        <v>407</v>
      </c>
      <c r="CH23" t="s">
        <v>411</v>
      </c>
      <c r="CI23" t="s">
        <v>407</v>
      </c>
      <c r="CJ23" t="s">
        <v>408</v>
      </c>
      <c r="CK23" s="32" t="s">
        <v>407</v>
      </c>
      <c r="CL23" t="s">
        <v>29</v>
      </c>
      <c r="CM23" t="s">
        <v>407</v>
      </c>
      <c r="CN23" t="s">
        <v>408</v>
      </c>
      <c r="CO23" t="s">
        <v>597</v>
      </c>
      <c r="CP23" t="s">
        <v>346</v>
      </c>
      <c r="CQ23" t="s">
        <v>540</v>
      </c>
      <c r="CR23" t="s">
        <v>596</v>
      </c>
      <c r="CS23" s="32" t="s">
        <v>407</v>
      </c>
      <c r="CT23" t="s">
        <v>475</v>
      </c>
      <c r="CU23" t="s">
        <v>407</v>
      </c>
      <c r="CV23" t="s">
        <v>408</v>
      </c>
      <c r="CW23" s="32" t="s">
        <v>407</v>
      </c>
      <c r="CX23" t="s">
        <v>83</v>
      </c>
      <c r="CY23" t="s">
        <v>407</v>
      </c>
      <c r="CZ23" t="s">
        <v>408</v>
      </c>
      <c r="DA23" t="s">
        <v>407</v>
      </c>
      <c r="DB23" t="s">
        <v>598</v>
      </c>
      <c r="DC23" t="s">
        <v>407</v>
      </c>
      <c r="DD23" t="s">
        <v>599</v>
      </c>
      <c r="DE23" t="str">
        <f t="shared" si="1"/>
        <v>%IF(K23%"Poplar","PAINT",IF(K23%"Red Oak","SGO",IF(K23%"Maple","SM","SPPN")))</v>
      </c>
      <c r="DO23" t="s">
        <v>477</v>
      </c>
    </row>
    <row r="24" spans="6:119" x14ac:dyDescent="0.25">
      <c r="F24" t="s">
        <v>163</v>
      </c>
      <c r="H24" t="s">
        <v>223</v>
      </c>
      <c r="M24" t="s">
        <v>285</v>
      </c>
      <c r="O24" t="s">
        <v>341</v>
      </c>
      <c r="T24" t="s">
        <v>344</v>
      </c>
      <c r="U24" t="s">
        <v>345</v>
      </c>
      <c r="V24" t="s">
        <v>346</v>
      </c>
      <c r="W24" t="s">
        <v>351</v>
      </c>
      <c r="X24" t="s">
        <v>344</v>
      </c>
      <c r="Y24" t="s">
        <v>407</v>
      </c>
      <c r="Z24" t="s">
        <v>27</v>
      </c>
      <c r="AA24" t="s">
        <v>407</v>
      </c>
      <c r="AB24" t="s">
        <v>408</v>
      </c>
      <c r="AC24" t="s">
        <v>407</v>
      </c>
      <c r="AD24" t="s">
        <v>27</v>
      </c>
      <c r="AE24" t="s">
        <v>407</v>
      </c>
      <c r="AF24" t="s">
        <v>408</v>
      </c>
      <c r="AG24" t="s">
        <v>345</v>
      </c>
      <c r="AH24" t="s">
        <v>346</v>
      </c>
      <c r="AI24" t="s">
        <v>351</v>
      </c>
      <c r="AJ24" t="s">
        <v>344</v>
      </c>
      <c r="AK24" t="s">
        <v>407</v>
      </c>
      <c r="AL24" t="s">
        <v>279</v>
      </c>
      <c r="AM24" t="s">
        <v>407</v>
      </c>
      <c r="AN24" t="s">
        <v>408</v>
      </c>
      <c r="AO24" t="s">
        <v>407</v>
      </c>
      <c r="AP24" t="s">
        <v>53</v>
      </c>
      <c r="AQ24" t="s">
        <v>407</v>
      </c>
      <c r="AR24" t="s">
        <v>408</v>
      </c>
      <c r="AS24" t="s">
        <v>407</v>
      </c>
      <c r="AT24" t="s">
        <v>407</v>
      </c>
      <c r="AU24" t="s">
        <v>409</v>
      </c>
      <c r="AV24" t="s">
        <v>409</v>
      </c>
      <c r="AW24" t="str">
        <f t="shared" si="0"/>
        <v>#if(J23#"JE","JE",if(J23#"Drilled","JC",""))</v>
      </c>
      <c r="BC24" t="s">
        <v>417</v>
      </c>
      <c r="BJ24" t="s">
        <v>480</v>
      </c>
      <c r="BQ24" t="s">
        <v>600</v>
      </c>
      <c r="BR24" t="s">
        <v>346</v>
      </c>
      <c r="BS24" t="s">
        <v>540</v>
      </c>
      <c r="BT24" t="s">
        <v>596</v>
      </c>
      <c r="BU24" t="s">
        <v>407</v>
      </c>
      <c r="BV24" t="s">
        <v>157</v>
      </c>
      <c r="BW24" t="s">
        <v>407</v>
      </c>
      <c r="BX24" t="s">
        <v>408</v>
      </c>
      <c r="BY24" t="s">
        <v>407</v>
      </c>
      <c r="BZ24" t="s">
        <v>80</v>
      </c>
      <c r="CA24" t="s">
        <v>407</v>
      </c>
      <c r="CB24" t="s">
        <v>408</v>
      </c>
      <c r="CC24" t="s">
        <v>597</v>
      </c>
      <c r="CD24" t="s">
        <v>346</v>
      </c>
      <c r="CE24" t="s">
        <v>540</v>
      </c>
      <c r="CF24" t="s">
        <v>596</v>
      </c>
      <c r="CG24" s="32" t="s">
        <v>407</v>
      </c>
      <c r="CH24" t="s">
        <v>411</v>
      </c>
      <c r="CI24" t="s">
        <v>407</v>
      </c>
      <c r="CJ24" t="s">
        <v>408</v>
      </c>
      <c r="CK24" s="32" t="s">
        <v>407</v>
      </c>
      <c r="CL24" t="s">
        <v>29</v>
      </c>
      <c r="CM24" t="s">
        <v>407</v>
      </c>
      <c r="CN24" t="s">
        <v>408</v>
      </c>
      <c r="CO24" t="s">
        <v>597</v>
      </c>
      <c r="CP24" t="s">
        <v>346</v>
      </c>
      <c r="CQ24" t="s">
        <v>540</v>
      </c>
      <c r="CR24" t="s">
        <v>596</v>
      </c>
      <c r="CS24" s="32" t="s">
        <v>407</v>
      </c>
      <c r="CT24" t="s">
        <v>475</v>
      </c>
      <c r="CU24" t="s">
        <v>407</v>
      </c>
      <c r="CV24" t="s">
        <v>408</v>
      </c>
      <c r="CW24" s="32" t="s">
        <v>407</v>
      </c>
      <c r="CX24" t="s">
        <v>83</v>
      </c>
      <c r="CY24" t="s">
        <v>407</v>
      </c>
      <c r="CZ24" t="s">
        <v>408</v>
      </c>
      <c r="DA24" t="s">
        <v>407</v>
      </c>
      <c r="DB24" t="s">
        <v>598</v>
      </c>
      <c r="DC24" t="s">
        <v>407</v>
      </c>
      <c r="DD24" t="s">
        <v>599</v>
      </c>
      <c r="DE24" t="str">
        <f t="shared" si="1"/>
        <v>%IF(K23%"Poplar","PAINT",IF(K23%"Red Oak","SGO",IF(K23%"Maple","SM","SPPN")))</v>
      </c>
      <c r="DO24" t="s">
        <v>477</v>
      </c>
    </row>
    <row r="25" spans="6:119" x14ac:dyDescent="0.25">
      <c r="F25" t="s">
        <v>164</v>
      </c>
      <c r="H25" t="s">
        <v>224</v>
      </c>
      <c r="M25" t="s">
        <v>286</v>
      </c>
      <c r="O25" t="s">
        <v>341</v>
      </c>
      <c r="T25" t="s">
        <v>344</v>
      </c>
      <c r="U25" t="s">
        <v>345</v>
      </c>
      <c r="V25" t="s">
        <v>346</v>
      </c>
      <c r="W25" t="s">
        <v>352</v>
      </c>
      <c r="X25" t="s">
        <v>344</v>
      </c>
      <c r="Y25" t="s">
        <v>407</v>
      </c>
      <c r="Z25" t="s">
        <v>27</v>
      </c>
      <c r="AA25" t="s">
        <v>407</v>
      </c>
      <c r="AB25" t="s">
        <v>408</v>
      </c>
      <c r="AC25" t="s">
        <v>407</v>
      </c>
      <c r="AD25" t="s">
        <v>27</v>
      </c>
      <c r="AE25" t="s">
        <v>407</v>
      </c>
      <c r="AF25" t="s">
        <v>408</v>
      </c>
      <c r="AG25" t="s">
        <v>345</v>
      </c>
      <c r="AH25" t="s">
        <v>346</v>
      </c>
      <c r="AI25" t="s">
        <v>352</v>
      </c>
      <c r="AJ25" t="s">
        <v>344</v>
      </c>
      <c r="AK25" t="s">
        <v>407</v>
      </c>
      <c r="AL25" t="s">
        <v>279</v>
      </c>
      <c r="AM25" t="s">
        <v>407</v>
      </c>
      <c r="AN25" t="s">
        <v>408</v>
      </c>
      <c r="AO25" t="s">
        <v>407</v>
      </c>
      <c r="AP25" t="s">
        <v>53</v>
      </c>
      <c r="AQ25" t="s">
        <v>407</v>
      </c>
      <c r="AR25" t="s">
        <v>408</v>
      </c>
      <c r="AS25" t="s">
        <v>407</v>
      </c>
      <c r="AT25" t="s">
        <v>407</v>
      </c>
      <c r="AU25" t="s">
        <v>409</v>
      </c>
      <c r="AV25" t="s">
        <v>409</v>
      </c>
      <c r="AW25" t="str">
        <f t="shared" si="0"/>
        <v>#if(J24#"JE","JE",if(J24#"Drilled","JC",""))</v>
      </c>
      <c r="BC25" t="s">
        <v>418</v>
      </c>
      <c r="BJ25" t="s">
        <v>481</v>
      </c>
      <c r="BQ25" t="s">
        <v>600</v>
      </c>
      <c r="BR25" t="s">
        <v>346</v>
      </c>
      <c r="BS25" t="s">
        <v>541</v>
      </c>
      <c r="BT25" t="s">
        <v>596</v>
      </c>
      <c r="BU25" t="s">
        <v>407</v>
      </c>
      <c r="BV25" t="s">
        <v>157</v>
      </c>
      <c r="BW25" t="s">
        <v>407</v>
      </c>
      <c r="BX25" t="s">
        <v>408</v>
      </c>
      <c r="BY25" t="s">
        <v>407</v>
      </c>
      <c r="BZ25" t="s">
        <v>80</v>
      </c>
      <c r="CA25" t="s">
        <v>407</v>
      </c>
      <c r="CB25" t="s">
        <v>408</v>
      </c>
      <c r="CC25" t="s">
        <v>597</v>
      </c>
      <c r="CD25" t="s">
        <v>346</v>
      </c>
      <c r="CE25" t="s">
        <v>541</v>
      </c>
      <c r="CF25" t="s">
        <v>596</v>
      </c>
      <c r="CG25" s="32" t="s">
        <v>407</v>
      </c>
      <c r="CH25" t="s">
        <v>411</v>
      </c>
      <c r="CI25" t="s">
        <v>407</v>
      </c>
      <c r="CJ25" t="s">
        <v>408</v>
      </c>
      <c r="CK25" s="32" t="s">
        <v>407</v>
      </c>
      <c r="CL25" t="s">
        <v>29</v>
      </c>
      <c r="CM25" t="s">
        <v>407</v>
      </c>
      <c r="CN25" t="s">
        <v>408</v>
      </c>
      <c r="CO25" t="s">
        <v>597</v>
      </c>
      <c r="CP25" t="s">
        <v>346</v>
      </c>
      <c r="CQ25" t="s">
        <v>541</v>
      </c>
      <c r="CR25" t="s">
        <v>596</v>
      </c>
      <c r="CS25" s="32" t="s">
        <v>407</v>
      </c>
      <c r="CT25" t="s">
        <v>475</v>
      </c>
      <c r="CU25" t="s">
        <v>407</v>
      </c>
      <c r="CV25" t="s">
        <v>408</v>
      </c>
      <c r="CW25" s="32" t="s">
        <v>407</v>
      </c>
      <c r="CX25" t="s">
        <v>83</v>
      </c>
      <c r="CY25" t="s">
        <v>407</v>
      </c>
      <c r="CZ25" t="s">
        <v>408</v>
      </c>
      <c r="DA25" t="s">
        <v>407</v>
      </c>
      <c r="DB25" t="s">
        <v>598</v>
      </c>
      <c r="DC25" t="s">
        <v>407</v>
      </c>
      <c r="DD25" t="s">
        <v>599</v>
      </c>
      <c r="DE25" t="str">
        <f t="shared" si="1"/>
        <v>%IF(K24%"Poplar","PAINT",IF(K24%"Red Oak","SGO",IF(K24%"Maple","SM","SPPN")))</v>
      </c>
      <c r="DO25" t="s">
        <v>477</v>
      </c>
    </row>
    <row r="26" spans="6:119" x14ac:dyDescent="0.25">
      <c r="F26" t="s">
        <v>164</v>
      </c>
      <c r="H26" t="s">
        <v>224</v>
      </c>
      <c r="M26" t="s">
        <v>286</v>
      </c>
      <c r="O26" t="s">
        <v>341</v>
      </c>
      <c r="T26" t="s">
        <v>344</v>
      </c>
      <c r="U26" t="s">
        <v>345</v>
      </c>
      <c r="V26" t="s">
        <v>346</v>
      </c>
      <c r="W26" t="s">
        <v>352</v>
      </c>
      <c r="X26" t="s">
        <v>344</v>
      </c>
      <c r="Y26" t="s">
        <v>407</v>
      </c>
      <c r="Z26" t="s">
        <v>27</v>
      </c>
      <c r="AA26" t="s">
        <v>407</v>
      </c>
      <c r="AB26" t="s">
        <v>408</v>
      </c>
      <c r="AC26" t="s">
        <v>407</v>
      </c>
      <c r="AD26" t="s">
        <v>27</v>
      </c>
      <c r="AE26" t="s">
        <v>407</v>
      </c>
      <c r="AF26" t="s">
        <v>408</v>
      </c>
      <c r="AG26" t="s">
        <v>345</v>
      </c>
      <c r="AH26" t="s">
        <v>346</v>
      </c>
      <c r="AI26" t="s">
        <v>352</v>
      </c>
      <c r="AJ26" t="s">
        <v>344</v>
      </c>
      <c r="AK26" t="s">
        <v>407</v>
      </c>
      <c r="AL26" t="s">
        <v>279</v>
      </c>
      <c r="AM26" t="s">
        <v>407</v>
      </c>
      <c r="AN26" t="s">
        <v>408</v>
      </c>
      <c r="AO26" t="s">
        <v>407</v>
      </c>
      <c r="AP26" t="s">
        <v>53</v>
      </c>
      <c r="AQ26" t="s">
        <v>407</v>
      </c>
      <c r="AR26" t="s">
        <v>408</v>
      </c>
      <c r="AS26" t="s">
        <v>407</v>
      </c>
      <c r="AT26" t="s">
        <v>407</v>
      </c>
      <c r="AU26" t="s">
        <v>409</v>
      </c>
      <c r="AV26" t="s">
        <v>409</v>
      </c>
      <c r="AW26" t="str">
        <f t="shared" si="0"/>
        <v>#if(J24#"JE","JE",if(J24#"Drilled","JC",""))</v>
      </c>
      <c r="BC26" t="s">
        <v>418</v>
      </c>
      <c r="BJ26" t="s">
        <v>481</v>
      </c>
      <c r="BQ26" t="s">
        <v>600</v>
      </c>
      <c r="BR26" t="s">
        <v>346</v>
      </c>
      <c r="BS26" t="s">
        <v>541</v>
      </c>
      <c r="BT26" t="s">
        <v>596</v>
      </c>
      <c r="BU26" t="s">
        <v>407</v>
      </c>
      <c r="BV26" t="s">
        <v>157</v>
      </c>
      <c r="BW26" t="s">
        <v>407</v>
      </c>
      <c r="BX26" t="s">
        <v>408</v>
      </c>
      <c r="BY26" t="s">
        <v>407</v>
      </c>
      <c r="BZ26" t="s">
        <v>80</v>
      </c>
      <c r="CA26" t="s">
        <v>407</v>
      </c>
      <c r="CB26" t="s">
        <v>408</v>
      </c>
      <c r="CC26" t="s">
        <v>597</v>
      </c>
      <c r="CD26" t="s">
        <v>346</v>
      </c>
      <c r="CE26" t="s">
        <v>541</v>
      </c>
      <c r="CF26" t="s">
        <v>596</v>
      </c>
      <c r="CG26" s="32" t="s">
        <v>407</v>
      </c>
      <c r="CH26" t="s">
        <v>411</v>
      </c>
      <c r="CI26" t="s">
        <v>407</v>
      </c>
      <c r="CJ26" t="s">
        <v>408</v>
      </c>
      <c r="CK26" s="32" t="s">
        <v>407</v>
      </c>
      <c r="CL26" t="s">
        <v>29</v>
      </c>
      <c r="CM26" t="s">
        <v>407</v>
      </c>
      <c r="CN26" t="s">
        <v>408</v>
      </c>
      <c r="CO26" t="s">
        <v>597</v>
      </c>
      <c r="CP26" t="s">
        <v>346</v>
      </c>
      <c r="CQ26" t="s">
        <v>541</v>
      </c>
      <c r="CR26" t="s">
        <v>596</v>
      </c>
      <c r="CS26" s="32" t="s">
        <v>407</v>
      </c>
      <c r="CT26" t="s">
        <v>475</v>
      </c>
      <c r="CU26" t="s">
        <v>407</v>
      </c>
      <c r="CV26" t="s">
        <v>408</v>
      </c>
      <c r="CW26" s="32" t="s">
        <v>407</v>
      </c>
      <c r="CX26" t="s">
        <v>83</v>
      </c>
      <c r="CY26" t="s">
        <v>407</v>
      </c>
      <c r="CZ26" t="s">
        <v>408</v>
      </c>
      <c r="DA26" t="s">
        <v>407</v>
      </c>
      <c r="DB26" t="s">
        <v>598</v>
      </c>
      <c r="DC26" t="s">
        <v>407</v>
      </c>
      <c r="DD26" t="s">
        <v>599</v>
      </c>
      <c r="DE26" t="str">
        <f t="shared" si="1"/>
        <v>%IF(K24%"Poplar","PAINT",IF(K24%"Red Oak","SGO",IF(K24%"Maple","SM","SPPN")))</v>
      </c>
      <c r="DO26" t="s">
        <v>477</v>
      </c>
    </row>
    <row r="27" spans="6:119" x14ac:dyDescent="0.25">
      <c r="F27" t="s">
        <v>164</v>
      </c>
      <c r="H27" t="s">
        <v>224</v>
      </c>
      <c r="M27" t="s">
        <v>286</v>
      </c>
      <c r="O27" t="s">
        <v>341</v>
      </c>
      <c r="T27" t="s">
        <v>344</v>
      </c>
      <c r="U27" t="s">
        <v>345</v>
      </c>
      <c r="V27" t="s">
        <v>346</v>
      </c>
      <c r="W27" t="s">
        <v>352</v>
      </c>
      <c r="X27" t="s">
        <v>344</v>
      </c>
      <c r="Y27" t="s">
        <v>407</v>
      </c>
      <c r="Z27" t="s">
        <v>27</v>
      </c>
      <c r="AA27" t="s">
        <v>407</v>
      </c>
      <c r="AB27" t="s">
        <v>408</v>
      </c>
      <c r="AC27" t="s">
        <v>407</v>
      </c>
      <c r="AD27" t="s">
        <v>27</v>
      </c>
      <c r="AE27" t="s">
        <v>407</v>
      </c>
      <c r="AF27" t="s">
        <v>408</v>
      </c>
      <c r="AG27" t="s">
        <v>345</v>
      </c>
      <c r="AH27" t="s">
        <v>346</v>
      </c>
      <c r="AI27" t="s">
        <v>352</v>
      </c>
      <c r="AJ27" t="s">
        <v>344</v>
      </c>
      <c r="AK27" t="s">
        <v>407</v>
      </c>
      <c r="AL27" t="s">
        <v>279</v>
      </c>
      <c r="AM27" t="s">
        <v>407</v>
      </c>
      <c r="AN27" t="s">
        <v>408</v>
      </c>
      <c r="AO27" t="s">
        <v>407</v>
      </c>
      <c r="AP27" t="s">
        <v>53</v>
      </c>
      <c r="AQ27" t="s">
        <v>407</v>
      </c>
      <c r="AR27" t="s">
        <v>408</v>
      </c>
      <c r="AS27" t="s">
        <v>407</v>
      </c>
      <c r="AT27" t="s">
        <v>407</v>
      </c>
      <c r="AU27" t="s">
        <v>409</v>
      </c>
      <c r="AV27" t="s">
        <v>409</v>
      </c>
      <c r="AW27" t="str">
        <f t="shared" si="0"/>
        <v>#if(J24#"JE","JE",if(J24#"Drilled","JC",""))</v>
      </c>
      <c r="BC27" t="s">
        <v>418</v>
      </c>
      <c r="BJ27" t="s">
        <v>481</v>
      </c>
      <c r="BQ27" t="s">
        <v>600</v>
      </c>
      <c r="BR27" t="s">
        <v>346</v>
      </c>
      <c r="BS27" t="s">
        <v>541</v>
      </c>
      <c r="BT27" t="s">
        <v>596</v>
      </c>
      <c r="BU27" t="s">
        <v>407</v>
      </c>
      <c r="BV27" t="s">
        <v>157</v>
      </c>
      <c r="BW27" t="s">
        <v>407</v>
      </c>
      <c r="BX27" t="s">
        <v>408</v>
      </c>
      <c r="BY27" t="s">
        <v>407</v>
      </c>
      <c r="BZ27" t="s">
        <v>80</v>
      </c>
      <c r="CA27" t="s">
        <v>407</v>
      </c>
      <c r="CB27" t="s">
        <v>408</v>
      </c>
      <c r="CC27" t="s">
        <v>597</v>
      </c>
      <c r="CD27" t="s">
        <v>346</v>
      </c>
      <c r="CE27" t="s">
        <v>541</v>
      </c>
      <c r="CF27" t="s">
        <v>596</v>
      </c>
      <c r="CG27" s="32" t="s">
        <v>407</v>
      </c>
      <c r="CH27" t="s">
        <v>411</v>
      </c>
      <c r="CI27" t="s">
        <v>407</v>
      </c>
      <c r="CJ27" t="s">
        <v>408</v>
      </c>
      <c r="CK27" s="32" t="s">
        <v>407</v>
      </c>
      <c r="CL27" t="s">
        <v>29</v>
      </c>
      <c r="CM27" t="s">
        <v>407</v>
      </c>
      <c r="CN27" t="s">
        <v>408</v>
      </c>
      <c r="CO27" t="s">
        <v>597</v>
      </c>
      <c r="CP27" t="s">
        <v>346</v>
      </c>
      <c r="CQ27" t="s">
        <v>541</v>
      </c>
      <c r="CR27" t="s">
        <v>596</v>
      </c>
      <c r="CS27" s="32" t="s">
        <v>407</v>
      </c>
      <c r="CT27" t="s">
        <v>475</v>
      </c>
      <c r="CU27" t="s">
        <v>407</v>
      </c>
      <c r="CV27" t="s">
        <v>408</v>
      </c>
      <c r="CW27" s="32" t="s">
        <v>407</v>
      </c>
      <c r="CX27" t="s">
        <v>83</v>
      </c>
      <c r="CY27" t="s">
        <v>407</v>
      </c>
      <c r="CZ27" t="s">
        <v>408</v>
      </c>
      <c r="DA27" t="s">
        <v>407</v>
      </c>
      <c r="DB27" t="s">
        <v>598</v>
      </c>
      <c r="DC27" t="s">
        <v>407</v>
      </c>
      <c r="DD27" t="s">
        <v>599</v>
      </c>
      <c r="DE27" t="str">
        <f t="shared" si="1"/>
        <v>%IF(K24%"Poplar","PAINT",IF(K24%"Red Oak","SGO",IF(K24%"Maple","SM","SPPN")))</v>
      </c>
      <c r="DO27" t="s">
        <v>478</v>
      </c>
    </row>
    <row r="28" spans="6:119" x14ac:dyDescent="0.25">
      <c r="F28" t="s">
        <v>164</v>
      </c>
      <c r="H28" t="s">
        <v>224</v>
      </c>
      <c r="M28" t="s">
        <v>286</v>
      </c>
      <c r="O28" t="s">
        <v>341</v>
      </c>
      <c r="T28" t="s">
        <v>344</v>
      </c>
      <c r="U28" t="s">
        <v>345</v>
      </c>
      <c r="V28" t="s">
        <v>346</v>
      </c>
      <c r="W28" t="s">
        <v>352</v>
      </c>
      <c r="X28" t="s">
        <v>344</v>
      </c>
      <c r="Y28" t="s">
        <v>407</v>
      </c>
      <c r="Z28" t="s">
        <v>27</v>
      </c>
      <c r="AA28" t="s">
        <v>407</v>
      </c>
      <c r="AB28" t="s">
        <v>408</v>
      </c>
      <c r="AC28" t="s">
        <v>407</v>
      </c>
      <c r="AD28" t="s">
        <v>27</v>
      </c>
      <c r="AE28" t="s">
        <v>407</v>
      </c>
      <c r="AF28" t="s">
        <v>408</v>
      </c>
      <c r="AG28" t="s">
        <v>345</v>
      </c>
      <c r="AH28" t="s">
        <v>346</v>
      </c>
      <c r="AI28" t="s">
        <v>352</v>
      </c>
      <c r="AJ28" t="s">
        <v>344</v>
      </c>
      <c r="AK28" t="s">
        <v>407</v>
      </c>
      <c r="AL28" t="s">
        <v>279</v>
      </c>
      <c r="AM28" t="s">
        <v>407</v>
      </c>
      <c r="AN28" t="s">
        <v>408</v>
      </c>
      <c r="AO28" t="s">
        <v>407</v>
      </c>
      <c r="AP28" t="s">
        <v>53</v>
      </c>
      <c r="AQ28" t="s">
        <v>407</v>
      </c>
      <c r="AR28" t="s">
        <v>408</v>
      </c>
      <c r="AS28" t="s">
        <v>407</v>
      </c>
      <c r="AT28" t="s">
        <v>407</v>
      </c>
      <c r="AU28" t="s">
        <v>409</v>
      </c>
      <c r="AV28" t="s">
        <v>409</v>
      </c>
      <c r="AW28" t="str">
        <f t="shared" si="0"/>
        <v>#if(J24#"JE","JE",if(J24#"Drilled","JC",""))</v>
      </c>
      <c r="BC28" t="s">
        <v>418</v>
      </c>
      <c r="BJ28" t="s">
        <v>481</v>
      </c>
      <c r="BQ28" t="s">
        <v>600</v>
      </c>
      <c r="BR28" t="s">
        <v>346</v>
      </c>
      <c r="BS28" t="s">
        <v>541</v>
      </c>
      <c r="BT28" t="s">
        <v>596</v>
      </c>
      <c r="BU28" t="s">
        <v>407</v>
      </c>
      <c r="BV28" t="s">
        <v>157</v>
      </c>
      <c r="BW28" t="s">
        <v>407</v>
      </c>
      <c r="BX28" t="s">
        <v>408</v>
      </c>
      <c r="BY28" t="s">
        <v>407</v>
      </c>
      <c r="BZ28" t="s">
        <v>80</v>
      </c>
      <c r="CA28" t="s">
        <v>407</v>
      </c>
      <c r="CB28" t="s">
        <v>408</v>
      </c>
      <c r="CC28" t="s">
        <v>597</v>
      </c>
      <c r="CD28" t="s">
        <v>346</v>
      </c>
      <c r="CE28" t="s">
        <v>541</v>
      </c>
      <c r="CF28" t="s">
        <v>596</v>
      </c>
      <c r="CG28" s="32" t="s">
        <v>407</v>
      </c>
      <c r="CH28" t="s">
        <v>411</v>
      </c>
      <c r="CI28" t="s">
        <v>407</v>
      </c>
      <c r="CJ28" t="s">
        <v>408</v>
      </c>
      <c r="CK28" s="32" t="s">
        <v>407</v>
      </c>
      <c r="CL28" t="s">
        <v>29</v>
      </c>
      <c r="CM28" t="s">
        <v>407</v>
      </c>
      <c r="CN28" t="s">
        <v>408</v>
      </c>
      <c r="CO28" t="s">
        <v>597</v>
      </c>
      <c r="CP28" t="s">
        <v>346</v>
      </c>
      <c r="CQ28" t="s">
        <v>541</v>
      </c>
      <c r="CR28" t="s">
        <v>596</v>
      </c>
      <c r="CS28" s="32" t="s">
        <v>407</v>
      </c>
      <c r="CT28" t="s">
        <v>475</v>
      </c>
      <c r="CU28" t="s">
        <v>407</v>
      </c>
      <c r="CV28" t="s">
        <v>408</v>
      </c>
      <c r="CW28" s="32" t="s">
        <v>407</v>
      </c>
      <c r="CX28" t="s">
        <v>83</v>
      </c>
      <c r="CY28" t="s">
        <v>407</v>
      </c>
      <c r="CZ28" t="s">
        <v>408</v>
      </c>
      <c r="DA28" t="s">
        <v>407</v>
      </c>
      <c r="DB28" t="s">
        <v>598</v>
      </c>
      <c r="DC28" t="s">
        <v>407</v>
      </c>
      <c r="DD28" t="s">
        <v>599</v>
      </c>
      <c r="DE28" t="str">
        <f t="shared" si="1"/>
        <v>%IF(K24%"Poplar","PAINT",IF(K24%"Red Oak","SGO",IF(K24%"Maple","SM","SPPN")))</v>
      </c>
      <c r="DO28" t="s">
        <v>478</v>
      </c>
    </row>
    <row r="29" spans="6:119" x14ac:dyDescent="0.25">
      <c r="F29" t="s">
        <v>165</v>
      </c>
      <c r="H29" t="s">
        <v>225</v>
      </c>
      <c r="M29" t="s">
        <v>287</v>
      </c>
      <c r="O29" t="s">
        <v>341</v>
      </c>
      <c r="T29" t="s">
        <v>344</v>
      </c>
      <c r="U29" t="s">
        <v>345</v>
      </c>
      <c r="V29" t="s">
        <v>346</v>
      </c>
      <c r="W29" t="s">
        <v>353</v>
      </c>
      <c r="X29" t="s">
        <v>344</v>
      </c>
      <c r="Y29" t="s">
        <v>407</v>
      </c>
      <c r="Z29" t="s">
        <v>27</v>
      </c>
      <c r="AA29" t="s">
        <v>407</v>
      </c>
      <c r="AB29" t="s">
        <v>408</v>
      </c>
      <c r="AC29" t="s">
        <v>407</v>
      </c>
      <c r="AD29" t="s">
        <v>27</v>
      </c>
      <c r="AE29" t="s">
        <v>407</v>
      </c>
      <c r="AF29" t="s">
        <v>408</v>
      </c>
      <c r="AG29" t="s">
        <v>345</v>
      </c>
      <c r="AH29" t="s">
        <v>346</v>
      </c>
      <c r="AI29" t="s">
        <v>353</v>
      </c>
      <c r="AJ29" t="s">
        <v>344</v>
      </c>
      <c r="AK29" t="s">
        <v>407</v>
      </c>
      <c r="AL29" t="s">
        <v>279</v>
      </c>
      <c r="AM29" t="s">
        <v>407</v>
      </c>
      <c r="AN29" t="s">
        <v>408</v>
      </c>
      <c r="AO29" t="s">
        <v>407</v>
      </c>
      <c r="AP29" t="s">
        <v>53</v>
      </c>
      <c r="AQ29" t="s">
        <v>407</v>
      </c>
      <c r="AR29" t="s">
        <v>408</v>
      </c>
      <c r="AS29" t="s">
        <v>407</v>
      </c>
      <c r="AT29" t="s">
        <v>407</v>
      </c>
      <c r="AU29" t="s">
        <v>409</v>
      </c>
      <c r="AV29" t="s">
        <v>409</v>
      </c>
      <c r="AW29" t="str">
        <f t="shared" si="0"/>
        <v>#if(J25#"JE","JE",if(J25#"Drilled","JC",""))</v>
      </c>
      <c r="BC29" t="s">
        <v>419</v>
      </c>
      <c r="BJ29" t="s">
        <v>482</v>
      </c>
      <c r="BQ29" t="s">
        <v>600</v>
      </c>
      <c r="BR29" t="s">
        <v>346</v>
      </c>
      <c r="BS29" t="s">
        <v>542</v>
      </c>
      <c r="BT29" t="s">
        <v>596</v>
      </c>
      <c r="BU29" t="s">
        <v>407</v>
      </c>
      <c r="BV29" t="s">
        <v>157</v>
      </c>
      <c r="BW29" t="s">
        <v>407</v>
      </c>
      <c r="BX29" t="s">
        <v>408</v>
      </c>
      <c r="BY29" t="s">
        <v>407</v>
      </c>
      <c r="BZ29" t="s">
        <v>80</v>
      </c>
      <c r="CA29" t="s">
        <v>407</v>
      </c>
      <c r="CB29" t="s">
        <v>408</v>
      </c>
      <c r="CC29" t="s">
        <v>597</v>
      </c>
      <c r="CD29" t="s">
        <v>346</v>
      </c>
      <c r="CE29" t="s">
        <v>542</v>
      </c>
      <c r="CF29" t="s">
        <v>596</v>
      </c>
      <c r="CG29" s="32" t="s">
        <v>407</v>
      </c>
      <c r="CH29" t="s">
        <v>411</v>
      </c>
      <c r="CI29" t="s">
        <v>407</v>
      </c>
      <c r="CJ29" t="s">
        <v>408</v>
      </c>
      <c r="CK29" s="32" t="s">
        <v>407</v>
      </c>
      <c r="CL29" t="s">
        <v>29</v>
      </c>
      <c r="CM29" t="s">
        <v>407</v>
      </c>
      <c r="CN29" t="s">
        <v>408</v>
      </c>
      <c r="CO29" t="s">
        <v>597</v>
      </c>
      <c r="CP29" t="s">
        <v>346</v>
      </c>
      <c r="CQ29" t="s">
        <v>542</v>
      </c>
      <c r="CR29" t="s">
        <v>596</v>
      </c>
      <c r="CS29" s="32" t="s">
        <v>407</v>
      </c>
      <c r="CT29" t="s">
        <v>475</v>
      </c>
      <c r="CU29" t="s">
        <v>407</v>
      </c>
      <c r="CV29" t="s">
        <v>408</v>
      </c>
      <c r="CW29" s="32" t="s">
        <v>407</v>
      </c>
      <c r="CX29" t="s">
        <v>83</v>
      </c>
      <c r="CY29" t="s">
        <v>407</v>
      </c>
      <c r="CZ29" t="s">
        <v>408</v>
      </c>
      <c r="DA29" t="s">
        <v>407</v>
      </c>
      <c r="DB29" t="s">
        <v>598</v>
      </c>
      <c r="DC29" t="s">
        <v>407</v>
      </c>
      <c r="DD29" t="s">
        <v>599</v>
      </c>
      <c r="DE29" t="str">
        <f t="shared" si="1"/>
        <v>%IF(K25%"Poplar","PAINT",IF(K25%"Red Oak","SGO",IF(K25%"Maple","SM","SPPN")))</v>
      </c>
      <c r="DO29" t="s">
        <v>478</v>
      </c>
    </row>
    <row r="30" spans="6:119" x14ac:dyDescent="0.25">
      <c r="F30" t="s">
        <v>165</v>
      </c>
      <c r="H30" t="s">
        <v>225</v>
      </c>
      <c r="M30" t="s">
        <v>287</v>
      </c>
      <c r="O30" t="s">
        <v>341</v>
      </c>
      <c r="T30" t="s">
        <v>344</v>
      </c>
      <c r="U30" t="s">
        <v>345</v>
      </c>
      <c r="V30" t="s">
        <v>346</v>
      </c>
      <c r="W30" t="s">
        <v>353</v>
      </c>
      <c r="X30" t="s">
        <v>344</v>
      </c>
      <c r="Y30" t="s">
        <v>407</v>
      </c>
      <c r="Z30" t="s">
        <v>27</v>
      </c>
      <c r="AA30" t="s">
        <v>407</v>
      </c>
      <c r="AB30" t="s">
        <v>408</v>
      </c>
      <c r="AC30" t="s">
        <v>407</v>
      </c>
      <c r="AD30" t="s">
        <v>27</v>
      </c>
      <c r="AE30" t="s">
        <v>407</v>
      </c>
      <c r="AF30" t="s">
        <v>408</v>
      </c>
      <c r="AG30" t="s">
        <v>345</v>
      </c>
      <c r="AH30" t="s">
        <v>346</v>
      </c>
      <c r="AI30" t="s">
        <v>353</v>
      </c>
      <c r="AJ30" t="s">
        <v>344</v>
      </c>
      <c r="AK30" t="s">
        <v>407</v>
      </c>
      <c r="AL30" t="s">
        <v>279</v>
      </c>
      <c r="AM30" t="s">
        <v>407</v>
      </c>
      <c r="AN30" t="s">
        <v>408</v>
      </c>
      <c r="AO30" t="s">
        <v>407</v>
      </c>
      <c r="AP30" t="s">
        <v>53</v>
      </c>
      <c r="AQ30" t="s">
        <v>407</v>
      </c>
      <c r="AR30" t="s">
        <v>408</v>
      </c>
      <c r="AS30" t="s">
        <v>407</v>
      </c>
      <c r="AT30" t="s">
        <v>407</v>
      </c>
      <c r="AU30" t="s">
        <v>409</v>
      </c>
      <c r="AV30" t="s">
        <v>409</v>
      </c>
      <c r="AW30" t="str">
        <f t="shared" si="0"/>
        <v>#if(J25#"JE","JE",if(J25#"Drilled","JC",""))</v>
      </c>
      <c r="BC30" t="s">
        <v>419</v>
      </c>
      <c r="BJ30" t="s">
        <v>482</v>
      </c>
      <c r="BQ30" t="s">
        <v>600</v>
      </c>
      <c r="BR30" t="s">
        <v>346</v>
      </c>
      <c r="BS30" t="s">
        <v>542</v>
      </c>
      <c r="BT30" t="s">
        <v>596</v>
      </c>
      <c r="BU30" t="s">
        <v>407</v>
      </c>
      <c r="BV30" t="s">
        <v>157</v>
      </c>
      <c r="BW30" t="s">
        <v>407</v>
      </c>
      <c r="BX30" t="s">
        <v>408</v>
      </c>
      <c r="BY30" t="s">
        <v>407</v>
      </c>
      <c r="BZ30" t="s">
        <v>80</v>
      </c>
      <c r="CA30" t="s">
        <v>407</v>
      </c>
      <c r="CB30" t="s">
        <v>408</v>
      </c>
      <c r="CC30" t="s">
        <v>597</v>
      </c>
      <c r="CD30" t="s">
        <v>346</v>
      </c>
      <c r="CE30" t="s">
        <v>542</v>
      </c>
      <c r="CF30" t="s">
        <v>596</v>
      </c>
      <c r="CG30" s="32" t="s">
        <v>407</v>
      </c>
      <c r="CH30" t="s">
        <v>411</v>
      </c>
      <c r="CI30" t="s">
        <v>407</v>
      </c>
      <c r="CJ30" t="s">
        <v>408</v>
      </c>
      <c r="CK30" s="32" t="s">
        <v>407</v>
      </c>
      <c r="CL30" t="s">
        <v>29</v>
      </c>
      <c r="CM30" t="s">
        <v>407</v>
      </c>
      <c r="CN30" t="s">
        <v>408</v>
      </c>
      <c r="CO30" t="s">
        <v>597</v>
      </c>
      <c r="CP30" t="s">
        <v>346</v>
      </c>
      <c r="CQ30" t="s">
        <v>542</v>
      </c>
      <c r="CR30" t="s">
        <v>596</v>
      </c>
      <c r="CS30" s="32" t="s">
        <v>407</v>
      </c>
      <c r="CT30" t="s">
        <v>475</v>
      </c>
      <c r="CU30" t="s">
        <v>407</v>
      </c>
      <c r="CV30" t="s">
        <v>408</v>
      </c>
      <c r="CW30" s="32" t="s">
        <v>407</v>
      </c>
      <c r="CX30" t="s">
        <v>83</v>
      </c>
      <c r="CY30" t="s">
        <v>407</v>
      </c>
      <c r="CZ30" t="s">
        <v>408</v>
      </c>
      <c r="DA30" t="s">
        <v>407</v>
      </c>
      <c r="DB30" t="s">
        <v>598</v>
      </c>
      <c r="DC30" t="s">
        <v>407</v>
      </c>
      <c r="DD30" t="s">
        <v>599</v>
      </c>
      <c r="DE30" t="str">
        <f t="shared" si="1"/>
        <v>%IF(K25%"Poplar","PAINT",IF(K25%"Red Oak","SGO",IF(K25%"Maple","SM","SPPN")))</v>
      </c>
      <c r="DO30" t="s">
        <v>478</v>
      </c>
    </row>
    <row r="31" spans="6:119" x14ac:dyDescent="0.25">
      <c r="F31" t="s">
        <v>165</v>
      </c>
      <c r="H31" t="s">
        <v>225</v>
      </c>
      <c r="M31" t="s">
        <v>287</v>
      </c>
      <c r="O31" t="s">
        <v>341</v>
      </c>
      <c r="T31" t="s">
        <v>344</v>
      </c>
      <c r="U31" t="s">
        <v>345</v>
      </c>
      <c r="V31" t="s">
        <v>346</v>
      </c>
      <c r="W31" t="s">
        <v>353</v>
      </c>
      <c r="X31" t="s">
        <v>344</v>
      </c>
      <c r="Y31" t="s">
        <v>407</v>
      </c>
      <c r="Z31" t="s">
        <v>27</v>
      </c>
      <c r="AA31" t="s">
        <v>407</v>
      </c>
      <c r="AB31" t="s">
        <v>408</v>
      </c>
      <c r="AC31" t="s">
        <v>407</v>
      </c>
      <c r="AD31" t="s">
        <v>27</v>
      </c>
      <c r="AE31" t="s">
        <v>407</v>
      </c>
      <c r="AF31" t="s">
        <v>408</v>
      </c>
      <c r="AG31" t="s">
        <v>345</v>
      </c>
      <c r="AH31" t="s">
        <v>346</v>
      </c>
      <c r="AI31" t="s">
        <v>353</v>
      </c>
      <c r="AJ31" t="s">
        <v>344</v>
      </c>
      <c r="AK31" t="s">
        <v>407</v>
      </c>
      <c r="AL31" t="s">
        <v>279</v>
      </c>
      <c r="AM31" t="s">
        <v>407</v>
      </c>
      <c r="AN31" t="s">
        <v>408</v>
      </c>
      <c r="AO31" t="s">
        <v>407</v>
      </c>
      <c r="AP31" t="s">
        <v>53</v>
      </c>
      <c r="AQ31" t="s">
        <v>407</v>
      </c>
      <c r="AR31" t="s">
        <v>408</v>
      </c>
      <c r="AS31" t="s">
        <v>407</v>
      </c>
      <c r="AT31" t="s">
        <v>407</v>
      </c>
      <c r="AU31" t="s">
        <v>409</v>
      </c>
      <c r="AV31" t="s">
        <v>409</v>
      </c>
      <c r="AW31" t="str">
        <f t="shared" si="0"/>
        <v>#if(J25#"JE","JE",if(J25#"Drilled","JC",""))</v>
      </c>
      <c r="BC31" t="s">
        <v>419</v>
      </c>
      <c r="BJ31" t="s">
        <v>482</v>
      </c>
      <c r="BQ31" t="s">
        <v>600</v>
      </c>
      <c r="BR31" t="s">
        <v>346</v>
      </c>
      <c r="BS31" t="s">
        <v>542</v>
      </c>
      <c r="BT31" t="s">
        <v>596</v>
      </c>
      <c r="BU31" t="s">
        <v>407</v>
      </c>
      <c r="BV31" t="s">
        <v>157</v>
      </c>
      <c r="BW31" t="s">
        <v>407</v>
      </c>
      <c r="BX31" t="s">
        <v>408</v>
      </c>
      <c r="BY31" t="s">
        <v>407</v>
      </c>
      <c r="BZ31" t="s">
        <v>80</v>
      </c>
      <c r="CA31" t="s">
        <v>407</v>
      </c>
      <c r="CB31" t="s">
        <v>408</v>
      </c>
      <c r="CC31" t="s">
        <v>597</v>
      </c>
      <c r="CD31" t="s">
        <v>346</v>
      </c>
      <c r="CE31" t="s">
        <v>542</v>
      </c>
      <c r="CF31" t="s">
        <v>596</v>
      </c>
      <c r="CG31" s="32" t="s">
        <v>407</v>
      </c>
      <c r="CH31" t="s">
        <v>411</v>
      </c>
      <c r="CI31" t="s">
        <v>407</v>
      </c>
      <c r="CJ31" t="s">
        <v>408</v>
      </c>
      <c r="CK31" s="32" t="s">
        <v>407</v>
      </c>
      <c r="CL31" t="s">
        <v>29</v>
      </c>
      <c r="CM31" t="s">
        <v>407</v>
      </c>
      <c r="CN31" t="s">
        <v>408</v>
      </c>
      <c r="CO31" t="s">
        <v>597</v>
      </c>
      <c r="CP31" t="s">
        <v>346</v>
      </c>
      <c r="CQ31" t="s">
        <v>542</v>
      </c>
      <c r="CR31" t="s">
        <v>596</v>
      </c>
      <c r="CS31" s="32" t="s">
        <v>407</v>
      </c>
      <c r="CT31" t="s">
        <v>475</v>
      </c>
      <c r="CU31" t="s">
        <v>407</v>
      </c>
      <c r="CV31" t="s">
        <v>408</v>
      </c>
      <c r="CW31" s="32" t="s">
        <v>407</v>
      </c>
      <c r="CX31" t="s">
        <v>83</v>
      </c>
      <c r="CY31" t="s">
        <v>407</v>
      </c>
      <c r="CZ31" t="s">
        <v>408</v>
      </c>
      <c r="DA31" t="s">
        <v>407</v>
      </c>
      <c r="DB31" t="s">
        <v>598</v>
      </c>
      <c r="DC31" t="s">
        <v>407</v>
      </c>
      <c r="DD31" t="s">
        <v>599</v>
      </c>
      <c r="DE31" t="str">
        <f t="shared" si="1"/>
        <v>%IF(K25%"Poplar","PAINT",IF(K25%"Red Oak","SGO",IF(K25%"Maple","SM","SPPN")))</v>
      </c>
      <c r="DO31" t="s">
        <v>479</v>
      </c>
    </row>
    <row r="32" spans="6:119" x14ac:dyDescent="0.25">
      <c r="F32" t="s">
        <v>165</v>
      </c>
      <c r="H32" t="s">
        <v>225</v>
      </c>
      <c r="M32" t="s">
        <v>287</v>
      </c>
      <c r="O32" t="s">
        <v>341</v>
      </c>
      <c r="T32" t="s">
        <v>344</v>
      </c>
      <c r="U32" t="s">
        <v>345</v>
      </c>
      <c r="V32" t="s">
        <v>346</v>
      </c>
      <c r="W32" t="s">
        <v>353</v>
      </c>
      <c r="X32" t="s">
        <v>344</v>
      </c>
      <c r="Y32" t="s">
        <v>407</v>
      </c>
      <c r="Z32" t="s">
        <v>27</v>
      </c>
      <c r="AA32" t="s">
        <v>407</v>
      </c>
      <c r="AB32" t="s">
        <v>408</v>
      </c>
      <c r="AC32" t="s">
        <v>407</v>
      </c>
      <c r="AD32" t="s">
        <v>27</v>
      </c>
      <c r="AE32" t="s">
        <v>407</v>
      </c>
      <c r="AF32" t="s">
        <v>408</v>
      </c>
      <c r="AG32" t="s">
        <v>345</v>
      </c>
      <c r="AH32" t="s">
        <v>346</v>
      </c>
      <c r="AI32" t="s">
        <v>353</v>
      </c>
      <c r="AJ32" t="s">
        <v>344</v>
      </c>
      <c r="AK32" t="s">
        <v>407</v>
      </c>
      <c r="AL32" t="s">
        <v>279</v>
      </c>
      <c r="AM32" t="s">
        <v>407</v>
      </c>
      <c r="AN32" t="s">
        <v>408</v>
      </c>
      <c r="AO32" t="s">
        <v>407</v>
      </c>
      <c r="AP32" t="s">
        <v>53</v>
      </c>
      <c r="AQ32" t="s">
        <v>407</v>
      </c>
      <c r="AR32" t="s">
        <v>408</v>
      </c>
      <c r="AS32" t="s">
        <v>407</v>
      </c>
      <c r="AT32" t="s">
        <v>407</v>
      </c>
      <c r="AU32" t="s">
        <v>409</v>
      </c>
      <c r="AV32" t="s">
        <v>409</v>
      </c>
      <c r="AW32" t="str">
        <f t="shared" si="0"/>
        <v>#if(J25#"JE","JE",if(J25#"Drilled","JC",""))</v>
      </c>
      <c r="BC32" t="s">
        <v>419</v>
      </c>
      <c r="BJ32" t="s">
        <v>482</v>
      </c>
      <c r="BQ32" t="s">
        <v>600</v>
      </c>
      <c r="BR32" t="s">
        <v>346</v>
      </c>
      <c r="BS32" t="s">
        <v>542</v>
      </c>
      <c r="BT32" t="s">
        <v>596</v>
      </c>
      <c r="BU32" t="s">
        <v>407</v>
      </c>
      <c r="BV32" t="s">
        <v>157</v>
      </c>
      <c r="BW32" t="s">
        <v>407</v>
      </c>
      <c r="BX32" t="s">
        <v>408</v>
      </c>
      <c r="BY32" t="s">
        <v>407</v>
      </c>
      <c r="BZ32" t="s">
        <v>80</v>
      </c>
      <c r="CA32" t="s">
        <v>407</v>
      </c>
      <c r="CB32" t="s">
        <v>408</v>
      </c>
      <c r="CC32" t="s">
        <v>597</v>
      </c>
      <c r="CD32" t="s">
        <v>346</v>
      </c>
      <c r="CE32" t="s">
        <v>542</v>
      </c>
      <c r="CF32" t="s">
        <v>596</v>
      </c>
      <c r="CG32" s="32" t="s">
        <v>407</v>
      </c>
      <c r="CH32" t="s">
        <v>411</v>
      </c>
      <c r="CI32" t="s">
        <v>407</v>
      </c>
      <c r="CJ32" t="s">
        <v>408</v>
      </c>
      <c r="CK32" s="32" t="s">
        <v>407</v>
      </c>
      <c r="CL32" t="s">
        <v>29</v>
      </c>
      <c r="CM32" t="s">
        <v>407</v>
      </c>
      <c r="CN32" t="s">
        <v>408</v>
      </c>
      <c r="CO32" t="s">
        <v>597</v>
      </c>
      <c r="CP32" t="s">
        <v>346</v>
      </c>
      <c r="CQ32" t="s">
        <v>542</v>
      </c>
      <c r="CR32" t="s">
        <v>596</v>
      </c>
      <c r="CS32" s="32" t="s">
        <v>407</v>
      </c>
      <c r="CT32" t="s">
        <v>475</v>
      </c>
      <c r="CU32" t="s">
        <v>407</v>
      </c>
      <c r="CV32" t="s">
        <v>408</v>
      </c>
      <c r="CW32" s="32" t="s">
        <v>407</v>
      </c>
      <c r="CX32" t="s">
        <v>83</v>
      </c>
      <c r="CY32" t="s">
        <v>407</v>
      </c>
      <c r="CZ32" t="s">
        <v>408</v>
      </c>
      <c r="DA32" t="s">
        <v>407</v>
      </c>
      <c r="DB32" t="s">
        <v>598</v>
      </c>
      <c r="DC32" t="s">
        <v>407</v>
      </c>
      <c r="DD32" t="s">
        <v>599</v>
      </c>
      <c r="DE32" t="str">
        <f t="shared" si="1"/>
        <v>%IF(K25%"Poplar","PAINT",IF(K25%"Red Oak","SGO",IF(K25%"Maple","SM","SPPN")))</v>
      </c>
      <c r="DO32" t="s">
        <v>479</v>
      </c>
    </row>
    <row r="33" spans="6:119" x14ac:dyDescent="0.25">
      <c r="F33" t="s">
        <v>166</v>
      </c>
      <c r="H33" t="s">
        <v>226</v>
      </c>
      <c r="M33" t="s">
        <v>288</v>
      </c>
      <c r="O33" t="s">
        <v>341</v>
      </c>
      <c r="T33" t="s">
        <v>344</v>
      </c>
      <c r="U33" t="s">
        <v>345</v>
      </c>
      <c r="V33" t="s">
        <v>346</v>
      </c>
      <c r="W33" t="s">
        <v>354</v>
      </c>
      <c r="X33" t="s">
        <v>344</v>
      </c>
      <c r="Y33" t="s">
        <v>407</v>
      </c>
      <c r="Z33" t="s">
        <v>27</v>
      </c>
      <c r="AA33" t="s">
        <v>407</v>
      </c>
      <c r="AB33" t="s">
        <v>408</v>
      </c>
      <c r="AC33" t="s">
        <v>407</v>
      </c>
      <c r="AD33" t="s">
        <v>27</v>
      </c>
      <c r="AE33" t="s">
        <v>407</v>
      </c>
      <c r="AF33" t="s">
        <v>408</v>
      </c>
      <c r="AG33" t="s">
        <v>345</v>
      </c>
      <c r="AH33" t="s">
        <v>346</v>
      </c>
      <c r="AI33" t="s">
        <v>354</v>
      </c>
      <c r="AJ33" t="s">
        <v>344</v>
      </c>
      <c r="AK33" t="s">
        <v>407</v>
      </c>
      <c r="AL33" t="s">
        <v>279</v>
      </c>
      <c r="AM33" t="s">
        <v>407</v>
      </c>
      <c r="AN33" t="s">
        <v>408</v>
      </c>
      <c r="AO33" t="s">
        <v>407</v>
      </c>
      <c r="AP33" t="s">
        <v>53</v>
      </c>
      <c r="AQ33" t="s">
        <v>407</v>
      </c>
      <c r="AR33" t="s">
        <v>408</v>
      </c>
      <c r="AS33" t="s">
        <v>407</v>
      </c>
      <c r="AT33" t="s">
        <v>407</v>
      </c>
      <c r="AU33" t="s">
        <v>409</v>
      </c>
      <c r="AV33" t="s">
        <v>409</v>
      </c>
      <c r="AW33" t="str">
        <f t="shared" si="0"/>
        <v>#if(J26#"JE","JE",if(J26#"Drilled","JC",""))</v>
      </c>
      <c r="BC33" t="s">
        <v>420</v>
      </c>
      <c r="BJ33" t="s">
        <v>483</v>
      </c>
      <c r="BQ33" t="s">
        <v>600</v>
      </c>
      <c r="BR33" t="s">
        <v>346</v>
      </c>
      <c r="BS33" t="s">
        <v>543</v>
      </c>
      <c r="BT33" t="s">
        <v>596</v>
      </c>
      <c r="BU33" t="s">
        <v>407</v>
      </c>
      <c r="BV33" t="s">
        <v>157</v>
      </c>
      <c r="BW33" t="s">
        <v>407</v>
      </c>
      <c r="BX33" t="s">
        <v>408</v>
      </c>
      <c r="BY33" t="s">
        <v>407</v>
      </c>
      <c r="BZ33" t="s">
        <v>80</v>
      </c>
      <c r="CA33" t="s">
        <v>407</v>
      </c>
      <c r="CB33" t="s">
        <v>408</v>
      </c>
      <c r="CC33" t="s">
        <v>597</v>
      </c>
      <c r="CD33" t="s">
        <v>346</v>
      </c>
      <c r="CE33" t="s">
        <v>543</v>
      </c>
      <c r="CF33" t="s">
        <v>596</v>
      </c>
      <c r="CG33" s="32" t="s">
        <v>407</v>
      </c>
      <c r="CH33" t="s">
        <v>411</v>
      </c>
      <c r="CI33" t="s">
        <v>407</v>
      </c>
      <c r="CJ33" t="s">
        <v>408</v>
      </c>
      <c r="CK33" s="32" t="s">
        <v>407</v>
      </c>
      <c r="CL33" t="s">
        <v>29</v>
      </c>
      <c r="CM33" t="s">
        <v>407</v>
      </c>
      <c r="CN33" t="s">
        <v>408</v>
      </c>
      <c r="CO33" t="s">
        <v>597</v>
      </c>
      <c r="CP33" t="s">
        <v>346</v>
      </c>
      <c r="CQ33" t="s">
        <v>543</v>
      </c>
      <c r="CR33" t="s">
        <v>596</v>
      </c>
      <c r="CS33" s="32" t="s">
        <v>407</v>
      </c>
      <c r="CT33" t="s">
        <v>475</v>
      </c>
      <c r="CU33" t="s">
        <v>407</v>
      </c>
      <c r="CV33" t="s">
        <v>408</v>
      </c>
      <c r="CW33" s="32" t="s">
        <v>407</v>
      </c>
      <c r="CX33" t="s">
        <v>83</v>
      </c>
      <c r="CY33" t="s">
        <v>407</v>
      </c>
      <c r="CZ33" t="s">
        <v>408</v>
      </c>
      <c r="DA33" t="s">
        <v>407</v>
      </c>
      <c r="DB33" t="s">
        <v>598</v>
      </c>
      <c r="DC33" t="s">
        <v>407</v>
      </c>
      <c r="DD33" t="s">
        <v>599</v>
      </c>
      <c r="DE33" t="str">
        <f t="shared" si="1"/>
        <v>%IF(K26%"Poplar","PAINT",IF(K26%"Red Oak","SGO",IF(K26%"Maple","SM","SPPN")))</v>
      </c>
      <c r="DO33" t="s">
        <v>479</v>
      </c>
    </row>
    <row r="34" spans="6:119" x14ac:dyDescent="0.25">
      <c r="F34" t="s">
        <v>166</v>
      </c>
      <c r="H34" t="s">
        <v>226</v>
      </c>
      <c r="M34" t="s">
        <v>288</v>
      </c>
      <c r="O34" t="s">
        <v>341</v>
      </c>
      <c r="T34" t="s">
        <v>344</v>
      </c>
      <c r="U34" t="s">
        <v>345</v>
      </c>
      <c r="V34" t="s">
        <v>346</v>
      </c>
      <c r="W34" t="s">
        <v>354</v>
      </c>
      <c r="X34" t="s">
        <v>344</v>
      </c>
      <c r="Y34" t="s">
        <v>407</v>
      </c>
      <c r="Z34" t="s">
        <v>27</v>
      </c>
      <c r="AA34" t="s">
        <v>407</v>
      </c>
      <c r="AB34" t="s">
        <v>408</v>
      </c>
      <c r="AC34" t="s">
        <v>407</v>
      </c>
      <c r="AD34" t="s">
        <v>27</v>
      </c>
      <c r="AE34" t="s">
        <v>407</v>
      </c>
      <c r="AF34" t="s">
        <v>408</v>
      </c>
      <c r="AG34" t="s">
        <v>345</v>
      </c>
      <c r="AH34" t="s">
        <v>346</v>
      </c>
      <c r="AI34" t="s">
        <v>354</v>
      </c>
      <c r="AJ34" t="s">
        <v>344</v>
      </c>
      <c r="AK34" t="s">
        <v>407</v>
      </c>
      <c r="AL34" t="s">
        <v>279</v>
      </c>
      <c r="AM34" t="s">
        <v>407</v>
      </c>
      <c r="AN34" t="s">
        <v>408</v>
      </c>
      <c r="AO34" t="s">
        <v>407</v>
      </c>
      <c r="AP34" t="s">
        <v>53</v>
      </c>
      <c r="AQ34" t="s">
        <v>407</v>
      </c>
      <c r="AR34" t="s">
        <v>408</v>
      </c>
      <c r="AS34" t="s">
        <v>407</v>
      </c>
      <c r="AT34" t="s">
        <v>407</v>
      </c>
      <c r="AU34" t="s">
        <v>409</v>
      </c>
      <c r="AV34" t="s">
        <v>409</v>
      </c>
      <c r="AW34" t="str">
        <f t="shared" si="0"/>
        <v>#if(J26#"JE","JE",if(J26#"Drilled","JC",""))</v>
      </c>
      <c r="BC34" t="s">
        <v>420</v>
      </c>
      <c r="BJ34" t="s">
        <v>483</v>
      </c>
      <c r="BQ34" t="s">
        <v>600</v>
      </c>
      <c r="BR34" t="s">
        <v>346</v>
      </c>
      <c r="BS34" t="s">
        <v>543</v>
      </c>
      <c r="BT34" t="s">
        <v>596</v>
      </c>
      <c r="BU34" t="s">
        <v>407</v>
      </c>
      <c r="BV34" t="s">
        <v>157</v>
      </c>
      <c r="BW34" t="s">
        <v>407</v>
      </c>
      <c r="BX34" t="s">
        <v>408</v>
      </c>
      <c r="BY34" t="s">
        <v>407</v>
      </c>
      <c r="BZ34" t="s">
        <v>80</v>
      </c>
      <c r="CA34" t="s">
        <v>407</v>
      </c>
      <c r="CB34" t="s">
        <v>408</v>
      </c>
      <c r="CC34" t="s">
        <v>597</v>
      </c>
      <c r="CD34" t="s">
        <v>346</v>
      </c>
      <c r="CE34" t="s">
        <v>543</v>
      </c>
      <c r="CF34" t="s">
        <v>596</v>
      </c>
      <c r="CG34" s="32" t="s">
        <v>407</v>
      </c>
      <c r="CH34" t="s">
        <v>411</v>
      </c>
      <c r="CI34" t="s">
        <v>407</v>
      </c>
      <c r="CJ34" t="s">
        <v>408</v>
      </c>
      <c r="CK34" s="32" t="s">
        <v>407</v>
      </c>
      <c r="CL34" t="s">
        <v>29</v>
      </c>
      <c r="CM34" t="s">
        <v>407</v>
      </c>
      <c r="CN34" t="s">
        <v>408</v>
      </c>
      <c r="CO34" t="s">
        <v>597</v>
      </c>
      <c r="CP34" t="s">
        <v>346</v>
      </c>
      <c r="CQ34" t="s">
        <v>543</v>
      </c>
      <c r="CR34" t="s">
        <v>596</v>
      </c>
      <c r="CS34" s="32" t="s">
        <v>407</v>
      </c>
      <c r="CT34" t="s">
        <v>475</v>
      </c>
      <c r="CU34" t="s">
        <v>407</v>
      </c>
      <c r="CV34" t="s">
        <v>408</v>
      </c>
      <c r="CW34" s="32" t="s">
        <v>407</v>
      </c>
      <c r="CX34" t="s">
        <v>83</v>
      </c>
      <c r="CY34" t="s">
        <v>407</v>
      </c>
      <c r="CZ34" t="s">
        <v>408</v>
      </c>
      <c r="DA34" t="s">
        <v>407</v>
      </c>
      <c r="DB34" t="s">
        <v>598</v>
      </c>
      <c r="DC34" t="s">
        <v>407</v>
      </c>
      <c r="DD34" t="s">
        <v>599</v>
      </c>
      <c r="DE34" t="str">
        <f t="shared" si="1"/>
        <v>%IF(K26%"Poplar","PAINT",IF(K26%"Red Oak","SGO",IF(K26%"Maple","SM","SPPN")))</v>
      </c>
      <c r="DO34" t="s">
        <v>479</v>
      </c>
    </row>
    <row r="35" spans="6:119" x14ac:dyDescent="0.25">
      <c r="F35" t="s">
        <v>166</v>
      </c>
      <c r="H35" t="s">
        <v>226</v>
      </c>
      <c r="M35" t="s">
        <v>288</v>
      </c>
      <c r="O35" t="s">
        <v>341</v>
      </c>
      <c r="T35" t="s">
        <v>344</v>
      </c>
      <c r="U35" t="s">
        <v>345</v>
      </c>
      <c r="V35" t="s">
        <v>346</v>
      </c>
      <c r="W35" t="s">
        <v>354</v>
      </c>
      <c r="X35" t="s">
        <v>344</v>
      </c>
      <c r="Y35" t="s">
        <v>407</v>
      </c>
      <c r="Z35" t="s">
        <v>27</v>
      </c>
      <c r="AA35" t="s">
        <v>407</v>
      </c>
      <c r="AB35" t="s">
        <v>408</v>
      </c>
      <c r="AC35" t="s">
        <v>407</v>
      </c>
      <c r="AD35" t="s">
        <v>27</v>
      </c>
      <c r="AE35" t="s">
        <v>407</v>
      </c>
      <c r="AF35" t="s">
        <v>408</v>
      </c>
      <c r="AG35" t="s">
        <v>345</v>
      </c>
      <c r="AH35" t="s">
        <v>346</v>
      </c>
      <c r="AI35" t="s">
        <v>354</v>
      </c>
      <c r="AJ35" t="s">
        <v>344</v>
      </c>
      <c r="AK35" t="s">
        <v>407</v>
      </c>
      <c r="AL35" t="s">
        <v>279</v>
      </c>
      <c r="AM35" t="s">
        <v>407</v>
      </c>
      <c r="AN35" t="s">
        <v>408</v>
      </c>
      <c r="AO35" t="s">
        <v>407</v>
      </c>
      <c r="AP35" t="s">
        <v>53</v>
      </c>
      <c r="AQ35" t="s">
        <v>407</v>
      </c>
      <c r="AR35" t="s">
        <v>408</v>
      </c>
      <c r="AS35" t="s">
        <v>407</v>
      </c>
      <c r="AT35" t="s">
        <v>407</v>
      </c>
      <c r="AU35" t="s">
        <v>409</v>
      </c>
      <c r="AV35" t="s">
        <v>409</v>
      </c>
      <c r="AW35" t="str">
        <f t="shared" si="0"/>
        <v>#if(J26#"JE","JE",if(J26#"Drilled","JC",""))</v>
      </c>
      <c r="BC35" t="s">
        <v>420</v>
      </c>
      <c r="BJ35" t="s">
        <v>483</v>
      </c>
      <c r="BQ35" t="s">
        <v>600</v>
      </c>
      <c r="BR35" t="s">
        <v>346</v>
      </c>
      <c r="BS35" t="s">
        <v>543</v>
      </c>
      <c r="BT35" t="s">
        <v>596</v>
      </c>
      <c r="BU35" t="s">
        <v>407</v>
      </c>
      <c r="BV35" t="s">
        <v>157</v>
      </c>
      <c r="BW35" t="s">
        <v>407</v>
      </c>
      <c r="BX35" t="s">
        <v>408</v>
      </c>
      <c r="BY35" t="s">
        <v>407</v>
      </c>
      <c r="BZ35" t="s">
        <v>80</v>
      </c>
      <c r="CA35" t="s">
        <v>407</v>
      </c>
      <c r="CB35" t="s">
        <v>408</v>
      </c>
      <c r="CC35" t="s">
        <v>597</v>
      </c>
      <c r="CD35" t="s">
        <v>346</v>
      </c>
      <c r="CE35" t="s">
        <v>543</v>
      </c>
      <c r="CF35" t="s">
        <v>596</v>
      </c>
      <c r="CG35" s="32" t="s">
        <v>407</v>
      </c>
      <c r="CH35" t="s">
        <v>411</v>
      </c>
      <c r="CI35" t="s">
        <v>407</v>
      </c>
      <c r="CJ35" t="s">
        <v>408</v>
      </c>
      <c r="CK35" s="32" t="s">
        <v>407</v>
      </c>
      <c r="CL35" t="s">
        <v>29</v>
      </c>
      <c r="CM35" t="s">
        <v>407</v>
      </c>
      <c r="CN35" t="s">
        <v>408</v>
      </c>
      <c r="CO35" t="s">
        <v>597</v>
      </c>
      <c r="CP35" t="s">
        <v>346</v>
      </c>
      <c r="CQ35" t="s">
        <v>543</v>
      </c>
      <c r="CR35" t="s">
        <v>596</v>
      </c>
      <c r="CS35" s="32" t="s">
        <v>407</v>
      </c>
      <c r="CT35" t="s">
        <v>475</v>
      </c>
      <c r="CU35" t="s">
        <v>407</v>
      </c>
      <c r="CV35" t="s">
        <v>408</v>
      </c>
      <c r="CW35" s="32" t="s">
        <v>407</v>
      </c>
      <c r="CX35" t="s">
        <v>83</v>
      </c>
      <c r="CY35" t="s">
        <v>407</v>
      </c>
      <c r="CZ35" t="s">
        <v>408</v>
      </c>
      <c r="DA35" t="s">
        <v>407</v>
      </c>
      <c r="DB35" t="s">
        <v>598</v>
      </c>
      <c r="DC35" t="s">
        <v>407</v>
      </c>
      <c r="DD35" t="s">
        <v>599</v>
      </c>
      <c r="DE35" t="str">
        <f t="shared" si="1"/>
        <v>%IF(K26%"Poplar","PAINT",IF(K26%"Red Oak","SGO",IF(K26%"Maple","SM","SPPN")))</v>
      </c>
      <c r="DO35" t="s">
        <v>480</v>
      </c>
    </row>
    <row r="36" spans="6:119" x14ac:dyDescent="0.25">
      <c r="F36" t="s">
        <v>166</v>
      </c>
      <c r="H36" t="s">
        <v>226</v>
      </c>
      <c r="M36" t="s">
        <v>288</v>
      </c>
      <c r="O36" t="s">
        <v>341</v>
      </c>
      <c r="T36" t="s">
        <v>344</v>
      </c>
      <c r="U36" t="s">
        <v>345</v>
      </c>
      <c r="V36" t="s">
        <v>346</v>
      </c>
      <c r="W36" t="s">
        <v>354</v>
      </c>
      <c r="X36" t="s">
        <v>344</v>
      </c>
      <c r="Y36" t="s">
        <v>407</v>
      </c>
      <c r="Z36" t="s">
        <v>27</v>
      </c>
      <c r="AA36" t="s">
        <v>407</v>
      </c>
      <c r="AB36" t="s">
        <v>408</v>
      </c>
      <c r="AC36" t="s">
        <v>407</v>
      </c>
      <c r="AD36" t="s">
        <v>27</v>
      </c>
      <c r="AE36" t="s">
        <v>407</v>
      </c>
      <c r="AF36" t="s">
        <v>408</v>
      </c>
      <c r="AG36" t="s">
        <v>345</v>
      </c>
      <c r="AH36" t="s">
        <v>346</v>
      </c>
      <c r="AI36" t="s">
        <v>354</v>
      </c>
      <c r="AJ36" t="s">
        <v>344</v>
      </c>
      <c r="AK36" t="s">
        <v>407</v>
      </c>
      <c r="AL36" t="s">
        <v>279</v>
      </c>
      <c r="AM36" t="s">
        <v>407</v>
      </c>
      <c r="AN36" t="s">
        <v>408</v>
      </c>
      <c r="AO36" t="s">
        <v>407</v>
      </c>
      <c r="AP36" t="s">
        <v>53</v>
      </c>
      <c r="AQ36" t="s">
        <v>407</v>
      </c>
      <c r="AR36" t="s">
        <v>408</v>
      </c>
      <c r="AS36" t="s">
        <v>407</v>
      </c>
      <c r="AT36" t="s">
        <v>407</v>
      </c>
      <c r="AU36" t="s">
        <v>409</v>
      </c>
      <c r="AV36" t="s">
        <v>409</v>
      </c>
      <c r="AW36" t="str">
        <f t="shared" si="0"/>
        <v>#if(J26#"JE","JE",if(J26#"Drilled","JC",""))</v>
      </c>
      <c r="BC36" t="s">
        <v>420</v>
      </c>
      <c r="BJ36" t="s">
        <v>483</v>
      </c>
      <c r="BQ36" t="s">
        <v>600</v>
      </c>
      <c r="BR36" t="s">
        <v>346</v>
      </c>
      <c r="BS36" t="s">
        <v>543</v>
      </c>
      <c r="BT36" t="s">
        <v>596</v>
      </c>
      <c r="BU36" t="s">
        <v>407</v>
      </c>
      <c r="BV36" t="s">
        <v>157</v>
      </c>
      <c r="BW36" t="s">
        <v>407</v>
      </c>
      <c r="BX36" t="s">
        <v>408</v>
      </c>
      <c r="BY36" t="s">
        <v>407</v>
      </c>
      <c r="BZ36" t="s">
        <v>80</v>
      </c>
      <c r="CA36" t="s">
        <v>407</v>
      </c>
      <c r="CB36" t="s">
        <v>408</v>
      </c>
      <c r="CC36" t="s">
        <v>597</v>
      </c>
      <c r="CD36" t="s">
        <v>346</v>
      </c>
      <c r="CE36" t="s">
        <v>543</v>
      </c>
      <c r="CF36" t="s">
        <v>596</v>
      </c>
      <c r="CG36" s="32" t="s">
        <v>407</v>
      </c>
      <c r="CH36" t="s">
        <v>411</v>
      </c>
      <c r="CI36" t="s">
        <v>407</v>
      </c>
      <c r="CJ36" t="s">
        <v>408</v>
      </c>
      <c r="CK36" s="32" t="s">
        <v>407</v>
      </c>
      <c r="CL36" t="s">
        <v>29</v>
      </c>
      <c r="CM36" t="s">
        <v>407</v>
      </c>
      <c r="CN36" t="s">
        <v>408</v>
      </c>
      <c r="CO36" t="s">
        <v>597</v>
      </c>
      <c r="CP36" t="s">
        <v>346</v>
      </c>
      <c r="CQ36" t="s">
        <v>543</v>
      </c>
      <c r="CR36" t="s">
        <v>596</v>
      </c>
      <c r="CS36" s="32" t="s">
        <v>407</v>
      </c>
      <c r="CT36" t="s">
        <v>475</v>
      </c>
      <c r="CU36" t="s">
        <v>407</v>
      </c>
      <c r="CV36" t="s">
        <v>408</v>
      </c>
      <c r="CW36" s="32" t="s">
        <v>407</v>
      </c>
      <c r="CX36" t="s">
        <v>83</v>
      </c>
      <c r="CY36" t="s">
        <v>407</v>
      </c>
      <c r="CZ36" t="s">
        <v>408</v>
      </c>
      <c r="DA36" t="s">
        <v>407</v>
      </c>
      <c r="DB36" t="s">
        <v>598</v>
      </c>
      <c r="DC36" t="s">
        <v>407</v>
      </c>
      <c r="DD36" t="s">
        <v>599</v>
      </c>
      <c r="DE36" t="str">
        <f t="shared" si="1"/>
        <v>%IF(K26%"Poplar","PAINT",IF(K26%"Red Oak","SGO",IF(K26%"Maple","SM","SPPN")))</v>
      </c>
      <c r="DO36" t="s">
        <v>480</v>
      </c>
    </row>
    <row r="37" spans="6:119" x14ac:dyDescent="0.25">
      <c r="F37" t="s">
        <v>167</v>
      </c>
      <c r="H37" t="s">
        <v>227</v>
      </c>
      <c r="M37" t="s">
        <v>289</v>
      </c>
      <c r="O37" t="s">
        <v>341</v>
      </c>
      <c r="T37" t="s">
        <v>344</v>
      </c>
      <c r="U37" t="s">
        <v>345</v>
      </c>
      <c r="V37" t="s">
        <v>346</v>
      </c>
      <c r="W37" t="s">
        <v>355</v>
      </c>
      <c r="X37" t="s">
        <v>344</v>
      </c>
      <c r="Y37" t="s">
        <v>407</v>
      </c>
      <c r="Z37" t="s">
        <v>27</v>
      </c>
      <c r="AA37" t="s">
        <v>407</v>
      </c>
      <c r="AB37" t="s">
        <v>408</v>
      </c>
      <c r="AC37" t="s">
        <v>407</v>
      </c>
      <c r="AD37" t="s">
        <v>27</v>
      </c>
      <c r="AE37" t="s">
        <v>407</v>
      </c>
      <c r="AF37" t="s">
        <v>408</v>
      </c>
      <c r="AG37" t="s">
        <v>345</v>
      </c>
      <c r="AH37" t="s">
        <v>346</v>
      </c>
      <c r="AI37" t="s">
        <v>355</v>
      </c>
      <c r="AJ37" t="s">
        <v>344</v>
      </c>
      <c r="AK37" t="s">
        <v>407</v>
      </c>
      <c r="AL37" t="s">
        <v>279</v>
      </c>
      <c r="AM37" t="s">
        <v>407</v>
      </c>
      <c r="AN37" t="s">
        <v>408</v>
      </c>
      <c r="AO37" t="s">
        <v>407</v>
      </c>
      <c r="AP37" t="s">
        <v>53</v>
      </c>
      <c r="AQ37" t="s">
        <v>407</v>
      </c>
      <c r="AR37" t="s">
        <v>408</v>
      </c>
      <c r="AS37" t="s">
        <v>407</v>
      </c>
      <c r="AT37" t="s">
        <v>407</v>
      </c>
      <c r="AU37" t="s">
        <v>409</v>
      </c>
      <c r="AV37" t="s">
        <v>409</v>
      </c>
      <c r="AW37" t="str">
        <f t="shared" si="0"/>
        <v>#if(J27#"JE","JE",if(J27#"Drilled","JC",""))</v>
      </c>
      <c r="BC37" t="s">
        <v>421</v>
      </c>
      <c r="BJ37" t="s">
        <v>484</v>
      </c>
      <c r="BQ37" t="s">
        <v>600</v>
      </c>
      <c r="BR37" t="s">
        <v>346</v>
      </c>
      <c r="BS37" t="s">
        <v>544</v>
      </c>
      <c r="BT37" t="s">
        <v>596</v>
      </c>
      <c r="BU37" t="s">
        <v>407</v>
      </c>
      <c r="BV37" t="s">
        <v>157</v>
      </c>
      <c r="BW37" t="s">
        <v>407</v>
      </c>
      <c r="BX37" t="s">
        <v>408</v>
      </c>
      <c r="BY37" t="s">
        <v>407</v>
      </c>
      <c r="BZ37" t="s">
        <v>80</v>
      </c>
      <c r="CA37" t="s">
        <v>407</v>
      </c>
      <c r="CB37" t="s">
        <v>408</v>
      </c>
      <c r="CC37" t="s">
        <v>597</v>
      </c>
      <c r="CD37" t="s">
        <v>346</v>
      </c>
      <c r="CE37" t="s">
        <v>544</v>
      </c>
      <c r="CF37" t="s">
        <v>596</v>
      </c>
      <c r="CG37" s="32" t="s">
        <v>407</v>
      </c>
      <c r="CH37" t="s">
        <v>411</v>
      </c>
      <c r="CI37" t="s">
        <v>407</v>
      </c>
      <c r="CJ37" t="s">
        <v>408</v>
      </c>
      <c r="CK37" s="32" t="s">
        <v>407</v>
      </c>
      <c r="CL37" t="s">
        <v>29</v>
      </c>
      <c r="CM37" t="s">
        <v>407</v>
      </c>
      <c r="CN37" t="s">
        <v>408</v>
      </c>
      <c r="CO37" t="s">
        <v>597</v>
      </c>
      <c r="CP37" t="s">
        <v>346</v>
      </c>
      <c r="CQ37" t="s">
        <v>544</v>
      </c>
      <c r="CR37" t="s">
        <v>596</v>
      </c>
      <c r="CS37" s="32" t="s">
        <v>407</v>
      </c>
      <c r="CT37" t="s">
        <v>475</v>
      </c>
      <c r="CU37" t="s">
        <v>407</v>
      </c>
      <c r="CV37" t="s">
        <v>408</v>
      </c>
      <c r="CW37" s="32" t="s">
        <v>407</v>
      </c>
      <c r="CX37" t="s">
        <v>83</v>
      </c>
      <c r="CY37" t="s">
        <v>407</v>
      </c>
      <c r="CZ37" t="s">
        <v>408</v>
      </c>
      <c r="DA37" t="s">
        <v>407</v>
      </c>
      <c r="DB37" t="s">
        <v>598</v>
      </c>
      <c r="DC37" t="s">
        <v>407</v>
      </c>
      <c r="DD37" t="s">
        <v>599</v>
      </c>
      <c r="DE37" t="str">
        <f t="shared" si="1"/>
        <v>%IF(K27%"Poplar","PAINT",IF(K27%"Red Oak","SGO",IF(K27%"Maple","SM","SPPN")))</v>
      </c>
      <c r="DO37" t="s">
        <v>480</v>
      </c>
    </row>
    <row r="38" spans="6:119" x14ac:dyDescent="0.25">
      <c r="F38" t="s">
        <v>167</v>
      </c>
      <c r="H38" t="s">
        <v>227</v>
      </c>
      <c r="M38" t="s">
        <v>289</v>
      </c>
      <c r="O38" t="s">
        <v>341</v>
      </c>
      <c r="T38" t="s">
        <v>344</v>
      </c>
      <c r="U38" t="s">
        <v>345</v>
      </c>
      <c r="V38" t="s">
        <v>346</v>
      </c>
      <c r="W38" t="s">
        <v>355</v>
      </c>
      <c r="X38" t="s">
        <v>344</v>
      </c>
      <c r="Y38" t="s">
        <v>407</v>
      </c>
      <c r="Z38" t="s">
        <v>27</v>
      </c>
      <c r="AA38" t="s">
        <v>407</v>
      </c>
      <c r="AB38" t="s">
        <v>408</v>
      </c>
      <c r="AC38" t="s">
        <v>407</v>
      </c>
      <c r="AD38" t="s">
        <v>27</v>
      </c>
      <c r="AE38" t="s">
        <v>407</v>
      </c>
      <c r="AF38" t="s">
        <v>408</v>
      </c>
      <c r="AG38" t="s">
        <v>345</v>
      </c>
      <c r="AH38" t="s">
        <v>346</v>
      </c>
      <c r="AI38" t="s">
        <v>355</v>
      </c>
      <c r="AJ38" t="s">
        <v>344</v>
      </c>
      <c r="AK38" t="s">
        <v>407</v>
      </c>
      <c r="AL38" t="s">
        <v>279</v>
      </c>
      <c r="AM38" t="s">
        <v>407</v>
      </c>
      <c r="AN38" t="s">
        <v>408</v>
      </c>
      <c r="AO38" t="s">
        <v>407</v>
      </c>
      <c r="AP38" t="s">
        <v>53</v>
      </c>
      <c r="AQ38" t="s">
        <v>407</v>
      </c>
      <c r="AR38" t="s">
        <v>408</v>
      </c>
      <c r="AS38" t="s">
        <v>407</v>
      </c>
      <c r="AT38" t="s">
        <v>407</v>
      </c>
      <c r="AU38" t="s">
        <v>409</v>
      </c>
      <c r="AV38" t="s">
        <v>409</v>
      </c>
      <c r="AW38" t="str">
        <f t="shared" si="0"/>
        <v>#if(J27#"JE","JE",if(J27#"Drilled","JC",""))</v>
      </c>
      <c r="BC38" t="s">
        <v>421</v>
      </c>
      <c r="BJ38" t="s">
        <v>484</v>
      </c>
      <c r="BQ38" t="s">
        <v>600</v>
      </c>
      <c r="BR38" t="s">
        <v>346</v>
      </c>
      <c r="BS38" t="s">
        <v>544</v>
      </c>
      <c r="BT38" t="s">
        <v>596</v>
      </c>
      <c r="BU38" t="s">
        <v>407</v>
      </c>
      <c r="BV38" t="s">
        <v>157</v>
      </c>
      <c r="BW38" t="s">
        <v>407</v>
      </c>
      <c r="BX38" t="s">
        <v>408</v>
      </c>
      <c r="BY38" t="s">
        <v>407</v>
      </c>
      <c r="BZ38" t="s">
        <v>80</v>
      </c>
      <c r="CA38" t="s">
        <v>407</v>
      </c>
      <c r="CB38" t="s">
        <v>408</v>
      </c>
      <c r="CC38" t="s">
        <v>597</v>
      </c>
      <c r="CD38" t="s">
        <v>346</v>
      </c>
      <c r="CE38" t="s">
        <v>544</v>
      </c>
      <c r="CF38" t="s">
        <v>596</v>
      </c>
      <c r="CG38" s="32" t="s">
        <v>407</v>
      </c>
      <c r="CH38" t="s">
        <v>411</v>
      </c>
      <c r="CI38" t="s">
        <v>407</v>
      </c>
      <c r="CJ38" t="s">
        <v>408</v>
      </c>
      <c r="CK38" s="32" t="s">
        <v>407</v>
      </c>
      <c r="CL38" t="s">
        <v>29</v>
      </c>
      <c r="CM38" t="s">
        <v>407</v>
      </c>
      <c r="CN38" t="s">
        <v>408</v>
      </c>
      <c r="CO38" t="s">
        <v>597</v>
      </c>
      <c r="CP38" t="s">
        <v>346</v>
      </c>
      <c r="CQ38" t="s">
        <v>544</v>
      </c>
      <c r="CR38" t="s">
        <v>596</v>
      </c>
      <c r="CS38" s="32" t="s">
        <v>407</v>
      </c>
      <c r="CT38" t="s">
        <v>475</v>
      </c>
      <c r="CU38" t="s">
        <v>407</v>
      </c>
      <c r="CV38" t="s">
        <v>408</v>
      </c>
      <c r="CW38" s="32" t="s">
        <v>407</v>
      </c>
      <c r="CX38" t="s">
        <v>83</v>
      </c>
      <c r="CY38" t="s">
        <v>407</v>
      </c>
      <c r="CZ38" t="s">
        <v>408</v>
      </c>
      <c r="DA38" t="s">
        <v>407</v>
      </c>
      <c r="DB38" t="s">
        <v>598</v>
      </c>
      <c r="DC38" t="s">
        <v>407</v>
      </c>
      <c r="DD38" t="s">
        <v>599</v>
      </c>
      <c r="DE38" t="str">
        <f t="shared" si="1"/>
        <v>%IF(K27%"Poplar","PAINT",IF(K27%"Red Oak","SGO",IF(K27%"Maple","SM","SPPN")))</v>
      </c>
      <c r="DO38" t="s">
        <v>480</v>
      </c>
    </row>
    <row r="39" spans="6:119" x14ac:dyDescent="0.25">
      <c r="F39" t="s">
        <v>167</v>
      </c>
      <c r="H39" t="s">
        <v>227</v>
      </c>
      <c r="M39" t="s">
        <v>289</v>
      </c>
      <c r="O39" t="s">
        <v>341</v>
      </c>
      <c r="T39" t="s">
        <v>344</v>
      </c>
      <c r="U39" t="s">
        <v>345</v>
      </c>
      <c r="V39" t="s">
        <v>346</v>
      </c>
      <c r="W39" t="s">
        <v>355</v>
      </c>
      <c r="X39" t="s">
        <v>344</v>
      </c>
      <c r="Y39" t="s">
        <v>407</v>
      </c>
      <c r="Z39" t="s">
        <v>27</v>
      </c>
      <c r="AA39" t="s">
        <v>407</v>
      </c>
      <c r="AB39" t="s">
        <v>408</v>
      </c>
      <c r="AC39" t="s">
        <v>407</v>
      </c>
      <c r="AD39" t="s">
        <v>27</v>
      </c>
      <c r="AE39" t="s">
        <v>407</v>
      </c>
      <c r="AF39" t="s">
        <v>408</v>
      </c>
      <c r="AG39" t="s">
        <v>345</v>
      </c>
      <c r="AH39" t="s">
        <v>346</v>
      </c>
      <c r="AI39" t="s">
        <v>355</v>
      </c>
      <c r="AJ39" t="s">
        <v>344</v>
      </c>
      <c r="AK39" t="s">
        <v>407</v>
      </c>
      <c r="AL39" t="s">
        <v>279</v>
      </c>
      <c r="AM39" t="s">
        <v>407</v>
      </c>
      <c r="AN39" t="s">
        <v>408</v>
      </c>
      <c r="AO39" t="s">
        <v>407</v>
      </c>
      <c r="AP39" t="s">
        <v>53</v>
      </c>
      <c r="AQ39" t="s">
        <v>407</v>
      </c>
      <c r="AR39" t="s">
        <v>408</v>
      </c>
      <c r="AS39" t="s">
        <v>407</v>
      </c>
      <c r="AT39" t="s">
        <v>407</v>
      </c>
      <c r="AU39" t="s">
        <v>409</v>
      </c>
      <c r="AV39" t="s">
        <v>409</v>
      </c>
      <c r="AW39" t="str">
        <f t="shared" si="0"/>
        <v>#if(J27#"JE","JE",if(J27#"Drilled","JC",""))</v>
      </c>
      <c r="BC39" t="s">
        <v>421</v>
      </c>
      <c r="BJ39" t="s">
        <v>484</v>
      </c>
      <c r="BQ39" t="s">
        <v>600</v>
      </c>
      <c r="BR39" t="s">
        <v>346</v>
      </c>
      <c r="BS39" t="s">
        <v>544</v>
      </c>
      <c r="BT39" t="s">
        <v>596</v>
      </c>
      <c r="BU39" t="s">
        <v>407</v>
      </c>
      <c r="BV39" t="s">
        <v>157</v>
      </c>
      <c r="BW39" t="s">
        <v>407</v>
      </c>
      <c r="BX39" t="s">
        <v>408</v>
      </c>
      <c r="BY39" t="s">
        <v>407</v>
      </c>
      <c r="BZ39" t="s">
        <v>80</v>
      </c>
      <c r="CA39" t="s">
        <v>407</v>
      </c>
      <c r="CB39" t="s">
        <v>408</v>
      </c>
      <c r="CC39" t="s">
        <v>597</v>
      </c>
      <c r="CD39" t="s">
        <v>346</v>
      </c>
      <c r="CE39" t="s">
        <v>544</v>
      </c>
      <c r="CF39" t="s">
        <v>596</v>
      </c>
      <c r="CG39" s="32" t="s">
        <v>407</v>
      </c>
      <c r="CH39" t="s">
        <v>411</v>
      </c>
      <c r="CI39" t="s">
        <v>407</v>
      </c>
      <c r="CJ39" t="s">
        <v>408</v>
      </c>
      <c r="CK39" s="32" t="s">
        <v>407</v>
      </c>
      <c r="CL39" t="s">
        <v>29</v>
      </c>
      <c r="CM39" t="s">
        <v>407</v>
      </c>
      <c r="CN39" t="s">
        <v>408</v>
      </c>
      <c r="CO39" t="s">
        <v>597</v>
      </c>
      <c r="CP39" t="s">
        <v>346</v>
      </c>
      <c r="CQ39" t="s">
        <v>544</v>
      </c>
      <c r="CR39" t="s">
        <v>596</v>
      </c>
      <c r="CS39" s="32" t="s">
        <v>407</v>
      </c>
      <c r="CT39" t="s">
        <v>475</v>
      </c>
      <c r="CU39" t="s">
        <v>407</v>
      </c>
      <c r="CV39" t="s">
        <v>408</v>
      </c>
      <c r="CW39" s="32" t="s">
        <v>407</v>
      </c>
      <c r="CX39" t="s">
        <v>83</v>
      </c>
      <c r="CY39" t="s">
        <v>407</v>
      </c>
      <c r="CZ39" t="s">
        <v>408</v>
      </c>
      <c r="DA39" t="s">
        <v>407</v>
      </c>
      <c r="DB39" t="s">
        <v>598</v>
      </c>
      <c r="DC39" t="s">
        <v>407</v>
      </c>
      <c r="DD39" t="s">
        <v>599</v>
      </c>
      <c r="DE39" t="str">
        <f t="shared" si="1"/>
        <v>%IF(K27%"Poplar","PAINT",IF(K27%"Red Oak","SGO",IF(K27%"Maple","SM","SPPN")))</v>
      </c>
      <c r="DO39" t="s">
        <v>481</v>
      </c>
    </row>
    <row r="40" spans="6:119" x14ac:dyDescent="0.25">
      <c r="F40" t="s">
        <v>167</v>
      </c>
      <c r="H40" t="s">
        <v>227</v>
      </c>
      <c r="M40" t="s">
        <v>289</v>
      </c>
      <c r="O40" t="s">
        <v>341</v>
      </c>
      <c r="T40" t="s">
        <v>344</v>
      </c>
      <c r="U40" t="s">
        <v>345</v>
      </c>
      <c r="V40" t="s">
        <v>346</v>
      </c>
      <c r="W40" t="s">
        <v>355</v>
      </c>
      <c r="X40" t="s">
        <v>344</v>
      </c>
      <c r="Y40" t="s">
        <v>407</v>
      </c>
      <c r="Z40" t="s">
        <v>27</v>
      </c>
      <c r="AA40" t="s">
        <v>407</v>
      </c>
      <c r="AB40" t="s">
        <v>408</v>
      </c>
      <c r="AC40" t="s">
        <v>407</v>
      </c>
      <c r="AD40" t="s">
        <v>27</v>
      </c>
      <c r="AE40" t="s">
        <v>407</v>
      </c>
      <c r="AF40" t="s">
        <v>408</v>
      </c>
      <c r="AG40" t="s">
        <v>345</v>
      </c>
      <c r="AH40" t="s">
        <v>346</v>
      </c>
      <c r="AI40" t="s">
        <v>355</v>
      </c>
      <c r="AJ40" t="s">
        <v>344</v>
      </c>
      <c r="AK40" t="s">
        <v>407</v>
      </c>
      <c r="AL40" t="s">
        <v>279</v>
      </c>
      <c r="AM40" t="s">
        <v>407</v>
      </c>
      <c r="AN40" t="s">
        <v>408</v>
      </c>
      <c r="AO40" t="s">
        <v>407</v>
      </c>
      <c r="AP40" t="s">
        <v>53</v>
      </c>
      <c r="AQ40" t="s">
        <v>407</v>
      </c>
      <c r="AR40" t="s">
        <v>408</v>
      </c>
      <c r="AS40" t="s">
        <v>407</v>
      </c>
      <c r="AT40" t="s">
        <v>407</v>
      </c>
      <c r="AU40" t="s">
        <v>409</v>
      </c>
      <c r="AV40" t="s">
        <v>409</v>
      </c>
      <c r="AW40" t="str">
        <f t="shared" si="0"/>
        <v>#if(J27#"JE","JE",if(J27#"Drilled","JC",""))</v>
      </c>
      <c r="BC40" t="s">
        <v>421</v>
      </c>
      <c r="BJ40" t="s">
        <v>484</v>
      </c>
      <c r="BQ40" t="s">
        <v>600</v>
      </c>
      <c r="BR40" t="s">
        <v>346</v>
      </c>
      <c r="BS40" t="s">
        <v>544</v>
      </c>
      <c r="BT40" t="s">
        <v>596</v>
      </c>
      <c r="BU40" t="s">
        <v>407</v>
      </c>
      <c r="BV40" t="s">
        <v>157</v>
      </c>
      <c r="BW40" t="s">
        <v>407</v>
      </c>
      <c r="BX40" t="s">
        <v>408</v>
      </c>
      <c r="BY40" t="s">
        <v>407</v>
      </c>
      <c r="BZ40" t="s">
        <v>80</v>
      </c>
      <c r="CA40" t="s">
        <v>407</v>
      </c>
      <c r="CB40" t="s">
        <v>408</v>
      </c>
      <c r="CC40" t="s">
        <v>597</v>
      </c>
      <c r="CD40" t="s">
        <v>346</v>
      </c>
      <c r="CE40" t="s">
        <v>544</v>
      </c>
      <c r="CF40" t="s">
        <v>596</v>
      </c>
      <c r="CG40" s="32" t="s">
        <v>407</v>
      </c>
      <c r="CH40" t="s">
        <v>411</v>
      </c>
      <c r="CI40" t="s">
        <v>407</v>
      </c>
      <c r="CJ40" t="s">
        <v>408</v>
      </c>
      <c r="CK40" s="32" t="s">
        <v>407</v>
      </c>
      <c r="CL40" t="s">
        <v>29</v>
      </c>
      <c r="CM40" t="s">
        <v>407</v>
      </c>
      <c r="CN40" t="s">
        <v>408</v>
      </c>
      <c r="CO40" t="s">
        <v>597</v>
      </c>
      <c r="CP40" t="s">
        <v>346</v>
      </c>
      <c r="CQ40" t="s">
        <v>544</v>
      </c>
      <c r="CR40" t="s">
        <v>596</v>
      </c>
      <c r="CS40" s="32" t="s">
        <v>407</v>
      </c>
      <c r="CT40" t="s">
        <v>475</v>
      </c>
      <c r="CU40" t="s">
        <v>407</v>
      </c>
      <c r="CV40" t="s">
        <v>408</v>
      </c>
      <c r="CW40" s="32" t="s">
        <v>407</v>
      </c>
      <c r="CX40" t="s">
        <v>83</v>
      </c>
      <c r="CY40" t="s">
        <v>407</v>
      </c>
      <c r="CZ40" t="s">
        <v>408</v>
      </c>
      <c r="DA40" t="s">
        <v>407</v>
      </c>
      <c r="DB40" t="s">
        <v>598</v>
      </c>
      <c r="DC40" t="s">
        <v>407</v>
      </c>
      <c r="DD40" t="s">
        <v>599</v>
      </c>
      <c r="DE40" t="str">
        <f t="shared" si="1"/>
        <v>%IF(K27%"Poplar","PAINT",IF(K27%"Red Oak","SGO",IF(K27%"Maple","SM","SPPN")))</v>
      </c>
      <c r="DO40" t="s">
        <v>481</v>
      </c>
    </row>
    <row r="41" spans="6:119" x14ac:dyDescent="0.25">
      <c r="F41" t="s">
        <v>168</v>
      </c>
      <c r="H41" t="s">
        <v>228</v>
      </c>
      <c r="M41" t="s">
        <v>290</v>
      </c>
      <c r="O41" t="s">
        <v>341</v>
      </c>
      <c r="T41" t="s">
        <v>344</v>
      </c>
      <c r="U41" t="s">
        <v>345</v>
      </c>
      <c r="V41" t="s">
        <v>346</v>
      </c>
      <c r="W41" t="s">
        <v>356</v>
      </c>
      <c r="X41" t="s">
        <v>344</v>
      </c>
      <c r="Y41" t="s">
        <v>407</v>
      </c>
      <c r="Z41" t="s">
        <v>27</v>
      </c>
      <c r="AA41" t="s">
        <v>407</v>
      </c>
      <c r="AB41" t="s">
        <v>408</v>
      </c>
      <c r="AC41" t="s">
        <v>407</v>
      </c>
      <c r="AD41" t="s">
        <v>27</v>
      </c>
      <c r="AE41" t="s">
        <v>407</v>
      </c>
      <c r="AF41" t="s">
        <v>408</v>
      </c>
      <c r="AG41" t="s">
        <v>345</v>
      </c>
      <c r="AH41" t="s">
        <v>346</v>
      </c>
      <c r="AI41" t="s">
        <v>356</v>
      </c>
      <c r="AJ41" t="s">
        <v>344</v>
      </c>
      <c r="AK41" t="s">
        <v>407</v>
      </c>
      <c r="AL41" t="s">
        <v>279</v>
      </c>
      <c r="AM41" t="s">
        <v>407</v>
      </c>
      <c r="AN41" t="s">
        <v>408</v>
      </c>
      <c r="AO41" t="s">
        <v>407</v>
      </c>
      <c r="AP41" t="s">
        <v>53</v>
      </c>
      <c r="AQ41" t="s">
        <v>407</v>
      </c>
      <c r="AR41" t="s">
        <v>408</v>
      </c>
      <c r="AS41" t="s">
        <v>407</v>
      </c>
      <c r="AT41" t="s">
        <v>407</v>
      </c>
      <c r="AU41" t="s">
        <v>409</v>
      </c>
      <c r="AV41" t="s">
        <v>409</v>
      </c>
      <c r="AW41" t="str">
        <f t="shared" si="0"/>
        <v>#if(J28#"JE","JE",if(J28#"Drilled","JC",""))</v>
      </c>
      <c r="BC41" t="s">
        <v>422</v>
      </c>
      <c r="BJ41" t="s">
        <v>485</v>
      </c>
      <c r="BQ41" t="s">
        <v>600</v>
      </c>
      <c r="BR41" t="s">
        <v>346</v>
      </c>
      <c r="BS41" t="s">
        <v>545</v>
      </c>
      <c r="BT41" t="s">
        <v>596</v>
      </c>
      <c r="BU41" t="s">
        <v>407</v>
      </c>
      <c r="BV41" t="s">
        <v>157</v>
      </c>
      <c r="BW41" t="s">
        <v>407</v>
      </c>
      <c r="BX41" t="s">
        <v>408</v>
      </c>
      <c r="BY41" t="s">
        <v>407</v>
      </c>
      <c r="BZ41" t="s">
        <v>80</v>
      </c>
      <c r="CA41" t="s">
        <v>407</v>
      </c>
      <c r="CB41" t="s">
        <v>408</v>
      </c>
      <c r="CC41" t="s">
        <v>597</v>
      </c>
      <c r="CD41" t="s">
        <v>346</v>
      </c>
      <c r="CE41" t="s">
        <v>545</v>
      </c>
      <c r="CF41" t="s">
        <v>596</v>
      </c>
      <c r="CG41" s="32" t="s">
        <v>407</v>
      </c>
      <c r="CH41" t="s">
        <v>411</v>
      </c>
      <c r="CI41" t="s">
        <v>407</v>
      </c>
      <c r="CJ41" t="s">
        <v>408</v>
      </c>
      <c r="CK41" s="32" t="s">
        <v>407</v>
      </c>
      <c r="CL41" t="s">
        <v>29</v>
      </c>
      <c r="CM41" t="s">
        <v>407</v>
      </c>
      <c r="CN41" t="s">
        <v>408</v>
      </c>
      <c r="CO41" t="s">
        <v>597</v>
      </c>
      <c r="CP41" t="s">
        <v>346</v>
      </c>
      <c r="CQ41" t="s">
        <v>545</v>
      </c>
      <c r="CR41" t="s">
        <v>596</v>
      </c>
      <c r="CS41" s="32" t="s">
        <v>407</v>
      </c>
      <c r="CT41" t="s">
        <v>475</v>
      </c>
      <c r="CU41" t="s">
        <v>407</v>
      </c>
      <c r="CV41" t="s">
        <v>408</v>
      </c>
      <c r="CW41" s="32" t="s">
        <v>407</v>
      </c>
      <c r="CX41" t="s">
        <v>83</v>
      </c>
      <c r="CY41" t="s">
        <v>407</v>
      </c>
      <c r="CZ41" t="s">
        <v>408</v>
      </c>
      <c r="DA41" t="s">
        <v>407</v>
      </c>
      <c r="DB41" t="s">
        <v>598</v>
      </c>
      <c r="DC41" t="s">
        <v>407</v>
      </c>
      <c r="DD41" t="s">
        <v>599</v>
      </c>
      <c r="DE41" t="str">
        <f t="shared" si="1"/>
        <v>%IF(K28%"Poplar","PAINT",IF(K28%"Red Oak","SGO",IF(K28%"Maple","SM","SPPN")))</v>
      </c>
      <c r="DO41" t="s">
        <v>481</v>
      </c>
    </row>
    <row r="42" spans="6:119" x14ac:dyDescent="0.25">
      <c r="F42" t="s">
        <v>168</v>
      </c>
      <c r="H42" t="s">
        <v>228</v>
      </c>
      <c r="M42" t="s">
        <v>290</v>
      </c>
      <c r="O42" t="s">
        <v>341</v>
      </c>
      <c r="T42" t="s">
        <v>344</v>
      </c>
      <c r="U42" t="s">
        <v>345</v>
      </c>
      <c r="V42" t="s">
        <v>346</v>
      </c>
      <c r="W42" t="s">
        <v>356</v>
      </c>
      <c r="X42" t="s">
        <v>344</v>
      </c>
      <c r="Y42" t="s">
        <v>407</v>
      </c>
      <c r="Z42" t="s">
        <v>27</v>
      </c>
      <c r="AA42" t="s">
        <v>407</v>
      </c>
      <c r="AB42" t="s">
        <v>408</v>
      </c>
      <c r="AC42" t="s">
        <v>407</v>
      </c>
      <c r="AD42" t="s">
        <v>27</v>
      </c>
      <c r="AE42" t="s">
        <v>407</v>
      </c>
      <c r="AF42" t="s">
        <v>408</v>
      </c>
      <c r="AG42" t="s">
        <v>345</v>
      </c>
      <c r="AH42" t="s">
        <v>346</v>
      </c>
      <c r="AI42" t="s">
        <v>356</v>
      </c>
      <c r="AJ42" t="s">
        <v>344</v>
      </c>
      <c r="AK42" t="s">
        <v>407</v>
      </c>
      <c r="AL42" t="s">
        <v>279</v>
      </c>
      <c r="AM42" t="s">
        <v>407</v>
      </c>
      <c r="AN42" t="s">
        <v>408</v>
      </c>
      <c r="AO42" t="s">
        <v>407</v>
      </c>
      <c r="AP42" t="s">
        <v>53</v>
      </c>
      <c r="AQ42" t="s">
        <v>407</v>
      </c>
      <c r="AR42" t="s">
        <v>408</v>
      </c>
      <c r="AS42" t="s">
        <v>407</v>
      </c>
      <c r="AT42" t="s">
        <v>407</v>
      </c>
      <c r="AU42" t="s">
        <v>409</v>
      </c>
      <c r="AV42" t="s">
        <v>409</v>
      </c>
      <c r="AW42" t="str">
        <f t="shared" si="0"/>
        <v>#if(J28#"JE","JE",if(J28#"Drilled","JC",""))</v>
      </c>
      <c r="BC42" t="s">
        <v>422</v>
      </c>
      <c r="BJ42" t="s">
        <v>485</v>
      </c>
      <c r="BQ42" t="s">
        <v>600</v>
      </c>
      <c r="BR42" t="s">
        <v>346</v>
      </c>
      <c r="BS42" t="s">
        <v>545</v>
      </c>
      <c r="BT42" t="s">
        <v>596</v>
      </c>
      <c r="BU42" t="s">
        <v>407</v>
      </c>
      <c r="BV42" t="s">
        <v>157</v>
      </c>
      <c r="BW42" t="s">
        <v>407</v>
      </c>
      <c r="BX42" t="s">
        <v>408</v>
      </c>
      <c r="BY42" t="s">
        <v>407</v>
      </c>
      <c r="BZ42" t="s">
        <v>80</v>
      </c>
      <c r="CA42" t="s">
        <v>407</v>
      </c>
      <c r="CB42" t="s">
        <v>408</v>
      </c>
      <c r="CC42" t="s">
        <v>597</v>
      </c>
      <c r="CD42" t="s">
        <v>346</v>
      </c>
      <c r="CE42" t="s">
        <v>545</v>
      </c>
      <c r="CF42" t="s">
        <v>596</v>
      </c>
      <c r="CG42" s="32" t="s">
        <v>407</v>
      </c>
      <c r="CH42" t="s">
        <v>411</v>
      </c>
      <c r="CI42" t="s">
        <v>407</v>
      </c>
      <c r="CJ42" t="s">
        <v>408</v>
      </c>
      <c r="CK42" s="32" t="s">
        <v>407</v>
      </c>
      <c r="CL42" t="s">
        <v>29</v>
      </c>
      <c r="CM42" t="s">
        <v>407</v>
      </c>
      <c r="CN42" t="s">
        <v>408</v>
      </c>
      <c r="CO42" t="s">
        <v>597</v>
      </c>
      <c r="CP42" t="s">
        <v>346</v>
      </c>
      <c r="CQ42" t="s">
        <v>545</v>
      </c>
      <c r="CR42" t="s">
        <v>596</v>
      </c>
      <c r="CS42" s="32" t="s">
        <v>407</v>
      </c>
      <c r="CT42" t="s">
        <v>475</v>
      </c>
      <c r="CU42" t="s">
        <v>407</v>
      </c>
      <c r="CV42" t="s">
        <v>408</v>
      </c>
      <c r="CW42" s="32" t="s">
        <v>407</v>
      </c>
      <c r="CX42" t="s">
        <v>83</v>
      </c>
      <c r="CY42" t="s">
        <v>407</v>
      </c>
      <c r="CZ42" t="s">
        <v>408</v>
      </c>
      <c r="DA42" t="s">
        <v>407</v>
      </c>
      <c r="DB42" t="s">
        <v>598</v>
      </c>
      <c r="DC42" t="s">
        <v>407</v>
      </c>
      <c r="DD42" t="s">
        <v>599</v>
      </c>
      <c r="DE42" t="str">
        <f t="shared" si="1"/>
        <v>%IF(K28%"Poplar","PAINT",IF(K28%"Red Oak","SGO",IF(K28%"Maple","SM","SPPN")))</v>
      </c>
      <c r="DO42" t="s">
        <v>481</v>
      </c>
    </row>
    <row r="43" spans="6:119" x14ac:dyDescent="0.25">
      <c r="F43" t="s">
        <v>168</v>
      </c>
      <c r="H43" t="s">
        <v>228</v>
      </c>
      <c r="M43" t="s">
        <v>290</v>
      </c>
      <c r="O43" t="s">
        <v>341</v>
      </c>
      <c r="T43" t="s">
        <v>344</v>
      </c>
      <c r="U43" t="s">
        <v>345</v>
      </c>
      <c r="V43" t="s">
        <v>346</v>
      </c>
      <c r="W43" t="s">
        <v>356</v>
      </c>
      <c r="X43" t="s">
        <v>344</v>
      </c>
      <c r="Y43" t="s">
        <v>407</v>
      </c>
      <c r="Z43" t="s">
        <v>27</v>
      </c>
      <c r="AA43" t="s">
        <v>407</v>
      </c>
      <c r="AB43" t="s">
        <v>408</v>
      </c>
      <c r="AC43" t="s">
        <v>407</v>
      </c>
      <c r="AD43" t="s">
        <v>27</v>
      </c>
      <c r="AE43" t="s">
        <v>407</v>
      </c>
      <c r="AF43" t="s">
        <v>408</v>
      </c>
      <c r="AG43" t="s">
        <v>345</v>
      </c>
      <c r="AH43" t="s">
        <v>346</v>
      </c>
      <c r="AI43" t="s">
        <v>356</v>
      </c>
      <c r="AJ43" t="s">
        <v>344</v>
      </c>
      <c r="AK43" t="s">
        <v>407</v>
      </c>
      <c r="AL43" t="s">
        <v>279</v>
      </c>
      <c r="AM43" t="s">
        <v>407</v>
      </c>
      <c r="AN43" t="s">
        <v>408</v>
      </c>
      <c r="AO43" t="s">
        <v>407</v>
      </c>
      <c r="AP43" t="s">
        <v>53</v>
      </c>
      <c r="AQ43" t="s">
        <v>407</v>
      </c>
      <c r="AR43" t="s">
        <v>408</v>
      </c>
      <c r="AS43" t="s">
        <v>407</v>
      </c>
      <c r="AT43" t="s">
        <v>407</v>
      </c>
      <c r="AU43" t="s">
        <v>409</v>
      </c>
      <c r="AV43" t="s">
        <v>409</v>
      </c>
      <c r="AW43" t="str">
        <f t="shared" si="0"/>
        <v>#if(J28#"JE","JE",if(J28#"Drilled","JC",""))</v>
      </c>
      <c r="BC43" t="s">
        <v>422</v>
      </c>
      <c r="BJ43" t="s">
        <v>485</v>
      </c>
      <c r="BQ43" t="s">
        <v>600</v>
      </c>
      <c r="BR43" t="s">
        <v>346</v>
      </c>
      <c r="BS43" t="s">
        <v>545</v>
      </c>
      <c r="BT43" t="s">
        <v>596</v>
      </c>
      <c r="BU43" t="s">
        <v>407</v>
      </c>
      <c r="BV43" t="s">
        <v>157</v>
      </c>
      <c r="BW43" t="s">
        <v>407</v>
      </c>
      <c r="BX43" t="s">
        <v>408</v>
      </c>
      <c r="BY43" t="s">
        <v>407</v>
      </c>
      <c r="BZ43" t="s">
        <v>80</v>
      </c>
      <c r="CA43" t="s">
        <v>407</v>
      </c>
      <c r="CB43" t="s">
        <v>408</v>
      </c>
      <c r="CC43" t="s">
        <v>597</v>
      </c>
      <c r="CD43" t="s">
        <v>346</v>
      </c>
      <c r="CE43" t="s">
        <v>545</v>
      </c>
      <c r="CF43" t="s">
        <v>596</v>
      </c>
      <c r="CG43" s="32" t="s">
        <v>407</v>
      </c>
      <c r="CH43" t="s">
        <v>411</v>
      </c>
      <c r="CI43" t="s">
        <v>407</v>
      </c>
      <c r="CJ43" t="s">
        <v>408</v>
      </c>
      <c r="CK43" s="32" t="s">
        <v>407</v>
      </c>
      <c r="CL43" t="s">
        <v>29</v>
      </c>
      <c r="CM43" t="s">
        <v>407</v>
      </c>
      <c r="CN43" t="s">
        <v>408</v>
      </c>
      <c r="CO43" t="s">
        <v>597</v>
      </c>
      <c r="CP43" t="s">
        <v>346</v>
      </c>
      <c r="CQ43" t="s">
        <v>545</v>
      </c>
      <c r="CR43" t="s">
        <v>596</v>
      </c>
      <c r="CS43" s="32" t="s">
        <v>407</v>
      </c>
      <c r="CT43" t="s">
        <v>475</v>
      </c>
      <c r="CU43" t="s">
        <v>407</v>
      </c>
      <c r="CV43" t="s">
        <v>408</v>
      </c>
      <c r="CW43" s="32" t="s">
        <v>407</v>
      </c>
      <c r="CX43" t="s">
        <v>83</v>
      </c>
      <c r="CY43" t="s">
        <v>407</v>
      </c>
      <c r="CZ43" t="s">
        <v>408</v>
      </c>
      <c r="DA43" t="s">
        <v>407</v>
      </c>
      <c r="DB43" t="s">
        <v>598</v>
      </c>
      <c r="DC43" t="s">
        <v>407</v>
      </c>
      <c r="DD43" t="s">
        <v>599</v>
      </c>
      <c r="DE43" t="str">
        <f t="shared" si="1"/>
        <v>%IF(K28%"Poplar","PAINT",IF(K28%"Red Oak","SGO",IF(K28%"Maple","SM","SPPN")))</v>
      </c>
      <c r="DO43" t="s">
        <v>482</v>
      </c>
    </row>
    <row r="44" spans="6:119" x14ac:dyDescent="0.25">
      <c r="F44" t="s">
        <v>168</v>
      </c>
      <c r="H44" t="s">
        <v>228</v>
      </c>
      <c r="M44" t="s">
        <v>290</v>
      </c>
      <c r="O44" t="s">
        <v>341</v>
      </c>
      <c r="T44" t="s">
        <v>344</v>
      </c>
      <c r="U44" t="s">
        <v>345</v>
      </c>
      <c r="V44" t="s">
        <v>346</v>
      </c>
      <c r="W44" t="s">
        <v>356</v>
      </c>
      <c r="X44" t="s">
        <v>344</v>
      </c>
      <c r="Y44" t="s">
        <v>407</v>
      </c>
      <c r="Z44" t="s">
        <v>27</v>
      </c>
      <c r="AA44" t="s">
        <v>407</v>
      </c>
      <c r="AB44" t="s">
        <v>408</v>
      </c>
      <c r="AC44" t="s">
        <v>407</v>
      </c>
      <c r="AD44" t="s">
        <v>27</v>
      </c>
      <c r="AE44" t="s">
        <v>407</v>
      </c>
      <c r="AF44" t="s">
        <v>408</v>
      </c>
      <c r="AG44" t="s">
        <v>345</v>
      </c>
      <c r="AH44" t="s">
        <v>346</v>
      </c>
      <c r="AI44" t="s">
        <v>356</v>
      </c>
      <c r="AJ44" t="s">
        <v>344</v>
      </c>
      <c r="AK44" t="s">
        <v>407</v>
      </c>
      <c r="AL44" t="s">
        <v>279</v>
      </c>
      <c r="AM44" t="s">
        <v>407</v>
      </c>
      <c r="AN44" t="s">
        <v>408</v>
      </c>
      <c r="AO44" t="s">
        <v>407</v>
      </c>
      <c r="AP44" t="s">
        <v>53</v>
      </c>
      <c r="AQ44" t="s">
        <v>407</v>
      </c>
      <c r="AR44" t="s">
        <v>408</v>
      </c>
      <c r="AS44" t="s">
        <v>407</v>
      </c>
      <c r="AT44" t="s">
        <v>407</v>
      </c>
      <c r="AU44" t="s">
        <v>409</v>
      </c>
      <c r="AV44" t="s">
        <v>409</v>
      </c>
      <c r="AW44" t="str">
        <f t="shared" si="0"/>
        <v>#if(J28#"JE","JE",if(J28#"Drilled","JC",""))</v>
      </c>
      <c r="BC44" t="s">
        <v>422</v>
      </c>
      <c r="BJ44" t="s">
        <v>485</v>
      </c>
      <c r="BQ44" t="s">
        <v>600</v>
      </c>
      <c r="BR44" t="s">
        <v>346</v>
      </c>
      <c r="BS44" t="s">
        <v>545</v>
      </c>
      <c r="BT44" t="s">
        <v>596</v>
      </c>
      <c r="BU44" t="s">
        <v>407</v>
      </c>
      <c r="BV44" t="s">
        <v>157</v>
      </c>
      <c r="BW44" t="s">
        <v>407</v>
      </c>
      <c r="BX44" t="s">
        <v>408</v>
      </c>
      <c r="BY44" t="s">
        <v>407</v>
      </c>
      <c r="BZ44" t="s">
        <v>80</v>
      </c>
      <c r="CA44" t="s">
        <v>407</v>
      </c>
      <c r="CB44" t="s">
        <v>408</v>
      </c>
      <c r="CC44" t="s">
        <v>597</v>
      </c>
      <c r="CD44" t="s">
        <v>346</v>
      </c>
      <c r="CE44" t="s">
        <v>545</v>
      </c>
      <c r="CF44" t="s">
        <v>596</v>
      </c>
      <c r="CG44" s="32" t="s">
        <v>407</v>
      </c>
      <c r="CH44" t="s">
        <v>411</v>
      </c>
      <c r="CI44" t="s">
        <v>407</v>
      </c>
      <c r="CJ44" t="s">
        <v>408</v>
      </c>
      <c r="CK44" s="32" t="s">
        <v>407</v>
      </c>
      <c r="CL44" t="s">
        <v>29</v>
      </c>
      <c r="CM44" t="s">
        <v>407</v>
      </c>
      <c r="CN44" t="s">
        <v>408</v>
      </c>
      <c r="CO44" t="s">
        <v>597</v>
      </c>
      <c r="CP44" t="s">
        <v>346</v>
      </c>
      <c r="CQ44" t="s">
        <v>545</v>
      </c>
      <c r="CR44" t="s">
        <v>596</v>
      </c>
      <c r="CS44" s="32" t="s">
        <v>407</v>
      </c>
      <c r="CT44" t="s">
        <v>475</v>
      </c>
      <c r="CU44" t="s">
        <v>407</v>
      </c>
      <c r="CV44" t="s">
        <v>408</v>
      </c>
      <c r="CW44" s="32" t="s">
        <v>407</v>
      </c>
      <c r="CX44" t="s">
        <v>83</v>
      </c>
      <c r="CY44" t="s">
        <v>407</v>
      </c>
      <c r="CZ44" t="s">
        <v>408</v>
      </c>
      <c r="DA44" t="s">
        <v>407</v>
      </c>
      <c r="DB44" t="s">
        <v>598</v>
      </c>
      <c r="DC44" t="s">
        <v>407</v>
      </c>
      <c r="DD44" t="s">
        <v>599</v>
      </c>
      <c r="DE44" t="str">
        <f t="shared" si="1"/>
        <v>%IF(K28%"Poplar","PAINT",IF(K28%"Red Oak","SGO",IF(K28%"Maple","SM","SPPN")))</v>
      </c>
      <c r="DO44" t="s">
        <v>482</v>
      </c>
    </row>
    <row r="45" spans="6:119" x14ac:dyDescent="0.25">
      <c r="F45" t="s">
        <v>169</v>
      </c>
      <c r="H45" t="s">
        <v>229</v>
      </c>
      <c r="M45" t="s">
        <v>291</v>
      </c>
      <c r="O45" t="s">
        <v>341</v>
      </c>
      <c r="T45" t="s">
        <v>344</v>
      </c>
      <c r="U45" t="s">
        <v>345</v>
      </c>
      <c r="V45" t="s">
        <v>346</v>
      </c>
      <c r="W45" t="s">
        <v>357</v>
      </c>
      <c r="X45" t="s">
        <v>344</v>
      </c>
      <c r="Y45" t="s">
        <v>407</v>
      </c>
      <c r="Z45" t="s">
        <v>27</v>
      </c>
      <c r="AA45" t="s">
        <v>407</v>
      </c>
      <c r="AB45" t="s">
        <v>408</v>
      </c>
      <c r="AC45" t="s">
        <v>407</v>
      </c>
      <c r="AD45" t="s">
        <v>27</v>
      </c>
      <c r="AE45" t="s">
        <v>407</v>
      </c>
      <c r="AF45" t="s">
        <v>408</v>
      </c>
      <c r="AG45" t="s">
        <v>345</v>
      </c>
      <c r="AH45" t="s">
        <v>346</v>
      </c>
      <c r="AI45" t="s">
        <v>357</v>
      </c>
      <c r="AJ45" t="s">
        <v>344</v>
      </c>
      <c r="AK45" t="s">
        <v>407</v>
      </c>
      <c r="AL45" t="s">
        <v>279</v>
      </c>
      <c r="AM45" t="s">
        <v>407</v>
      </c>
      <c r="AN45" t="s">
        <v>408</v>
      </c>
      <c r="AO45" t="s">
        <v>407</v>
      </c>
      <c r="AP45" t="s">
        <v>53</v>
      </c>
      <c r="AQ45" t="s">
        <v>407</v>
      </c>
      <c r="AR45" t="s">
        <v>408</v>
      </c>
      <c r="AS45" t="s">
        <v>407</v>
      </c>
      <c r="AT45" t="s">
        <v>407</v>
      </c>
      <c r="AU45" t="s">
        <v>409</v>
      </c>
      <c r="AV45" t="s">
        <v>409</v>
      </c>
      <c r="AW45" t="str">
        <f t="shared" si="0"/>
        <v>#if(J29#"JE","JE",if(J29#"Drilled","JC",""))</v>
      </c>
      <c r="BC45" t="s">
        <v>423</v>
      </c>
      <c r="BJ45" t="s">
        <v>486</v>
      </c>
      <c r="BQ45" t="s">
        <v>600</v>
      </c>
      <c r="BR45" t="s">
        <v>346</v>
      </c>
      <c r="BS45" t="s">
        <v>546</v>
      </c>
      <c r="BT45" t="s">
        <v>596</v>
      </c>
      <c r="BU45" t="s">
        <v>407</v>
      </c>
      <c r="BV45" t="s">
        <v>157</v>
      </c>
      <c r="BW45" t="s">
        <v>407</v>
      </c>
      <c r="BX45" t="s">
        <v>408</v>
      </c>
      <c r="BY45" t="s">
        <v>407</v>
      </c>
      <c r="BZ45" t="s">
        <v>80</v>
      </c>
      <c r="CA45" t="s">
        <v>407</v>
      </c>
      <c r="CB45" t="s">
        <v>408</v>
      </c>
      <c r="CC45" t="s">
        <v>597</v>
      </c>
      <c r="CD45" t="s">
        <v>346</v>
      </c>
      <c r="CE45" t="s">
        <v>546</v>
      </c>
      <c r="CF45" t="s">
        <v>596</v>
      </c>
      <c r="CG45" s="32" t="s">
        <v>407</v>
      </c>
      <c r="CH45" t="s">
        <v>411</v>
      </c>
      <c r="CI45" t="s">
        <v>407</v>
      </c>
      <c r="CJ45" t="s">
        <v>408</v>
      </c>
      <c r="CK45" s="32" t="s">
        <v>407</v>
      </c>
      <c r="CL45" t="s">
        <v>29</v>
      </c>
      <c r="CM45" t="s">
        <v>407</v>
      </c>
      <c r="CN45" t="s">
        <v>408</v>
      </c>
      <c r="CO45" t="s">
        <v>597</v>
      </c>
      <c r="CP45" t="s">
        <v>346</v>
      </c>
      <c r="CQ45" t="s">
        <v>546</v>
      </c>
      <c r="CR45" t="s">
        <v>596</v>
      </c>
      <c r="CS45" s="32" t="s">
        <v>407</v>
      </c>
      <c r="CT45" t="s">
        <v>475</v>
      </c>
      <c r="CU45" t="s">
        <v>407</v>
      </c>
      <c r="CV45" t="s">
        <v>408</v>
      </c>
      <c r="CW45" s="32" t="s">
        <v>407</v>
      </c>
      <c r="CX45" t="s">
        <v>83</v>
      </c>
      <c r="CY45" t="s">
        <v>407</v>
      </c>
      <c r="CZ45" t="s">
        <v>408</v>
      </c>
      <c r="DA45" t="s">
        <v>407</v>
      </c>
      <c r="DB45" t="s">
        <v>598</v>
      </c>
      <c r="DC45" t="s">
        <v>407</v>
      </c>
      <c r="DD45" t="s">
        <v>599</v>
      </c>
      <c r="DE45" t="str">
        <f t="shared" si="1"/>
        <v>%IF(K29%"Poplar","PAINT",IF(K29%"Red Oak","SGO",IF(K29%"Maple","SM","SPPN")))</v>
      </c>
      <c r="DO45" t="s">
        <v>482</v>
      </c>
    </row>
    <row r="46" spans="6:119" x14ac:dyDescent="0.25">
      <c r="F46" t="s">
        <v>169</v>
      </c>
      <c r="H46" t="s">
        <v>229</v>
      </c>
      <c r="M46" t="s">
        <v>291</v>
      </c>
      <c r="O46" t="s">
        <v>341</v>
      </c>
      <c r="T46" t="s">
        <v>344</v>
      </c>
      <c r="U46" t="s">
        <v>345</v>
      </c>
      <c r="V46" t="s">
        <v>346</v>
      </c>
      <c r="W46" t="s">
        <v>357</v>
      </c>
      <c r="X46" t="s">
        <v>344</v>
      </c>
      <c r="Y46" t="s">
        <v>407</v>
      </c>
      <c r="Z46" t="s">
        <v>27</v>
      </c>
      <c r="AA46" t="s">
        <v>407</v>
      </c>
      <c r="AB46" t="s">
        <v>408</v>
      </c>
      <c r="AC46" t="s">
        <v>407</v>
      </c>
      <c r="AD46" t="s">
        <v>27</v>
      </c>
      <c r="AE46" t="s">
        <v>407</v>
      </c>
      <c r="AF46" t="s">
        <v>408</v>
      </c>
      <c r="AG46" t="s">
        <v>345</v>
      </c>
      <c r="AH46" t="s">
        <v>346</v>
      </c>
      <c r="AI46" t="s">
        <v>357</v>
      </c>
      <c r="AJ46" t="s">
        <v>344</v>
      </c>
      <c r="AK46" t="s">
        <v>407</v>
      </c>
      <c r="AL46" t="s">
        <v>279</v>
      </c>
      <c r="AM46" t="s">
        <v>407</v>
      </c>
      <c r="AN46" t="s">
        <v>408</v>
      </c>
      <c r="AO46" t="s">
        <v>407</v>
      </c>
      <c r="AP46" t="s">
        <v>53</v>
      </c>
      <c r="AQ46" t="s">
        <v>407</v>
      </c>
      <c r="AR46" t="s">
        <v>408</v>
      </c>
      <c r="AS46" t="s">
        <v>407</v>
      </c>
      <c r="AT46" t="s">
        <v>407</v>
      </c>
      <c r="AU46" t="s">
        <v>409</v>
      </c>
      <c r="AV46" t="s">
        <v>409</v>
      </c>
      <c r="AW46" t="str">
        <f t="shared" si="0"/>
        <v>#if(J29#"JE","JE",if(J29#"Drilled","JC",""))</v>
      </c>
      <c r="BC46" t="s">
        <v>423</v>
      </c>
      <c r="BJ46" t="s">
        <v>486</v>
      </c>
      <c r="BQ46" t="s">
        <v>600</v>
      </c>
      <c r="BR46" t="s">
        <v>346</v>
      </c>
      <c r="BS46" t="s">
        <v>546</v>
      </c>
      <c r="BT46" t="s">
        <v>596</v>
      </c>
      <c r="BU46" t="s">
        <v>407</v>
      </c>
      <c r="BV46" t="s">
        <v>157</v>
      </c>
      <c r="BW46" t="s">
        <v>407</v>
      </c>
      <c r="BX46" t="s">
        <v>408</v>
      </c>
      <c r="BY46" t="s">
        <v>407</v>
      </c>
      <c r="BZ46" t="s">
        <v>80</v>
      </c>
      <c r="CA46" t="s">
        <v>407</v>
      </c>
      <c r="CB46" t="s">
        <v>408</v>
      </c>
      <c r="CC46" t="s">
        <v>597</v>
      </c>
      <c r="CD46" t="s">
        <v>346</v>
      </c>
      <c r="CE46" t="s">
        <v>546</v>
      </c>
      <c r="CF46" t="s">
        <v>596</v>
      </c>
      <c r="CG46" s="32" t="s">
        <v>407</v>
      </c>
      <c r="CH46" t="s">
        <v>411</v>
      </c>
      <c r="CI46" t="s">
        <v>407</v>
      </c>
      <c r="CJ46" t="s">
        <v>408</v>
      </c>
      <c r="CK46" s="32" t="s">
        <v>407</v>
      </c>
      <c r="CL46" t="s">
        <v>29</v>
      </c>
      <c r="CM46" t="s">
        <v>407</v>
      </c>
      <c r="CN46" t="s">
        <v>408</v>
      </c>
      <c r="CO46" t="s">
        <v>597</v>
      </c>
      <c r="CP46" t="s">
        <v>346</v>
      </c>
      <c r="CQ46" t="s">
        <v>546</v>
      </c>
      <c r="CR46" t="s">
        <v>596</v>
      </c>
      <c r="CS46" s="32" t="s">
        <v>407</v>
      </c>
      <c r="CT46" t="s">
        <v>475</v>
      </c>
      <c r="CU46" t="s">
        <v>407</v>
      </c>
      <c r="CV46" t="s">
        <v>408</v>
      </c>
      <c r="CW46" s="32" t="s">
        <v>407</v>
      </c>
      <c r="CX46" t="s">
        <v>83</v>
      </c>
      <c r="CY46" t="s">
        <v>407</v>
      </c>
      <c r="CZ46" t="s">
        <v>408</v>
      </c>
      <c r="DA46" t="s">
        <v>407</v>
      </c>
      <c r="DB46" t="s">
        <v>598</v>
      </c>
      <c r="DC46" t="s">
        <v>407</v>
      </c>
      <c r="DD46" t="s">
        <v>599</v>
      </c>
      <c r="DE46" t="str">
        <f t="shared" si="1"/>
        <v>%IF(K29%"Poplar","PAINT",IF(K29%"Red Oak","SGO",IF(K29%"Maple","SM","SPPN")))</v>
      </c>
      <c r="DO46" t="s">
        <v>482</v>
      </c>
    </row>
    <row r="47" spans="6:119" x14ac:dyDescent="0.25">
      <c r="F47" t="s">
        <v>169</v>
      </c>
      <c r="H47" t="s">
        <v>229</v>
      </c>
      <c r="M47" t="s">
        <v>291</v>
      </c>
      <c r="O47" t="s">
        <v>341</v>
      </c>
      <c r="T47" t="s">
        <v>344</v>
      </c>
      <c r="U47" t="s">
        <v>345</v>
      </c>
      <c r="V47" t="s">
        <v>346</v>
      </c>
      <c r="W47" t="s">
        <v>357</v>
      </c>
      <c r="X47" t="s">
        <v>344</v>
      </c>
      <c r="Y47" t="s">
        <v>407</v>
      </c>
      <c r="Z47" t="s">
        <v>27</v>
      </c>
      <c r="AA47" t="s">
        <v>407</v>
      </c>
      <c r="AB47" t="s">
        <v>408</v>
      </c>
      <c r="AC47" t="s">
        <v>407</v>
      </c>
      <c r="AD47" t="s">
        <v>27</v>
      </c>
      <c r="AE47" t="s">
        <v>407</v>
      </c>
      <c r="AF47" t="s">
        <v>408</v>
      </c>
      <c r="AG47" t="s">
        <v>345</v>
      </c>
      <c r="AH47" t="s">
        <v>346</v>
      </c>
      <c r="AI47" t="s">
        <v>357</v>
      </c>
      <c r="AJ47" t="s">
        <v>344</v>
      </c>
      <c r="AK47" t="s">
        <v>407</v>
      </c>
      <c r="AL47" t="s">
        <v>279</v>
      </c>
      <c r="AM47" t="s">
        <v>407</v>
      </c>
      <c r="AN47" t="s">
        <v>408</v>
      </c>
      <c r="AO47" t="s">
        <v>407</v>
      </c>
      <c r="AP47" t="s">
        <v>53</v>
      </c>
      <c r="AQ47" t="s">
        <v>407</v>
      </c>
      <c r="AR47" t="s">
        <v>408</v>
      </c>
      <c r="AS47" t="s">
        <v>407</v>
      </c>
      <c r="AT47" t="s">
        <v>407</v>
      </c>
      <c r="AU47" t="s">
        <v>409</v>
      </c>
      <c r="AV47" t="s">
        <v>409</v>
      </c>
      <c r="AW47" t="str">
        <f t="shared" si="0"/>
        <v>#if(J29#"JE","JE",if(J29#"Drilled","JC",""))</v>
      </c>
      <c r="BC47" t="s">
        <v>423</v>
      </c>
      <c r="BJ47" t="s">
        <v>486</v>
      </c>
      <c r="BQ47" t="s">
        <v>600</v>
      </c>
      <c r="BR47" t="s">
        <v>346</v>
      </c>
      <c r="BS47" t="s">
        <v>546</v>
      </c>
      <c r="BT47" t="s">
        <v>596</v>
      </c>
      <c r="BU47" t="s">
        <v>407</v>
      </c>
      <c r="BV47" t="s">
        <v>157</v>
      </c>
      <c r="BW47" t="s">
        <v>407</v>
      </c>
      <c r="BX47" t="s">
        <v>408</v>
      </c>
      <c r="BY47" t="s">
        <v>407</v>
      </c>
      <c r="BZ47" t="s">
        <v>80</v>
      </c>
      <c r="CA47" t="s">
        <v>407</v>
      </c>
      <c r="CB47" t="s">
        <v>408</v>
      </c>
      <c r="CC47" t="s">
        <v>597</v>
      </c>
      <c r="CD47" t="s">
        <v>346</v>
      </c>
      <c r="CE47" t="s">
        <v>546</v>
      </c>
      <c r="CF47" t="s">
        <v>596</v>
      </c>
      <c r="CG47" s="32" t="s">
        <v>407</v>
      </c>
      <c r="CH47" t="s">
        <v>411</v>
      </c>
      <c r="CI47" t="s">
        <v>407</v>
      </c>
      <c r="CJ47" t="s">
        <v>408</v>
      </c>
      <c r="CK47" s="32" t="s">
        <v>407</v>
      </c>
      <c r="CL47" t="s">
        <v>29</v>
      </c>
      <c r="CM47" t="s">
        <v>407</v>
      </c>
      <c r="CN47" t="s">
        <v>408</v>
      </c>
      <c r="CO47" t="s">
        <v>597</v>
      </c>
      <c r="CP47" t="s">
        <v>346</v>
      </c>
      <c r="CQ47" t="s">
        <v>546</v>
      </c>
      <c r="CR47" t="s">
        <v>596</v>
      </c>
      <c r="CS47" s="32" t="s">
        <v>407</v>
      </c>
      <c r="CT47" t="s">
        <v>475</v>
      </c>
      <c r="CU47" t="s">
        <v>407</v>
      </c>
      <c r="CV47" t="s">
        <v>408</v>
      </c>
      <c r="CW47" s="32" t="s">
        <v>407</v>
      </c>
      <c r="CX47" t="s">
        <v>83</v>
      </c>
      <c r="CY47" t="s">
        <v>407</v>
      </c>
      <c r="CZ47" t="s">
        <v>408</v>
      </c>
      <c r="DA47" t="s">
        <v>407</v>
      </c>
      <c r="DB47" t="s">
        <v>598</v>
      </c>
      <c r="DC47" t="s">
        <v>407</v>
      </c>
      <c r="DD47" t="s">
        <v>599</v>
      </c>
      <c r="DE47" t="str">
        <f t="shared" si="1"/>
        <v>%IF(K29%"Poplar","PAINT",IF(K29%"Red Oak","SGO",IF(K29%"Maple","SM","SPPN")))</v>
      </c>
      <c r="DO47" t="s">
        <v>483</v>
      </c>
    </row>
    <row r="48" spans="6:119" x14ac:dyDescent="0.25">
      <c r="F48" t="s">
        <v>169</v>
      </c>
      <c r="H48" t="s">
        <v>229</v>
      </c>
      <c r="M48" t="s">
        <v>291</v>
      </c>
      <c r="O48" t="s">
        <v>341</v>
      </c>
      <c r="T48" t="s">
        <v>344</v>
      </c>
      <c r="U48" t="s">
        <v>345</v>
      </c>
      <c r="V48" t="s">
        <v>346</v>
      </c>
      <c r="W48" t="s">
        <v>357</v>
      </c>
      <c r="X48" t="s">
        <v>344</v>
      </c>
      <c r="Y48" t="s">
        <v>407</v>
      </c>
      <c r="Z48" t="s">
        <v>27</v>
      </c>
      <c r="AA48" t="s">
        <v>407</v>
      </c>
      <c r="AB48" t="s">
        <v>408</v>
      </c>
      <c r="AC48" t="s">
        <v>407</v>
      </c>
      <c r="AD48" t="s">
        <v>27</v>
      </c>
      <c r="AE48" t="s">
        <v>407</v>
      </c>
      <c r="AF48" t="s">
        <v>408</v>
      </c>
      <c r="AG48" t="s">
        <v>345</v>
      </c>
      <c r="AH48" t="s">
        <v>346</v>
      </c>
      <c r="AI48" t="s">
        <v>357</v>
      </c>
      <c r="AJ48" t="s">
        <v>344</v>
      </c>
      <c r="AK48" t="s">
        <v>407</v>
      </c>
      <c r="AL48" t="s">
        <v>279</v>
      </c>
      <c r="AM48" t="s">
        <v>407</v>
      </c>
      <c r="AN48" t="s">
        <v>408</v>
      </c>
      <c r="AO48" t="s">
        <v>407</v>
      </c>
      <c r="AP48" t="s">
        <v>53</v>
      </c>
      <c r="AQ48" t="s">
        <v>407</v>
      </c>
      <c r="AR48" t="s">
        <v>408</v>
      </c>
      <c r="AS48" t="s">
        <v>407</v>
      </c>
      <c r="AT48" t="s">
        <v>407</v>
      </c>
      <c r="AU48" t="s">
        <v>409</v>
      </c>
      <c r="AV48" t="s">
        <v>409</v>
      </c>
      <c r="AW48" t="str">
        <f t="shared" si="0"/>
        <v>#if(J29#"JE","JE",if(J29#"Drilled","JC",""))</v>
      </c>
      <c r="BC48" t="s">
        <v>423</v>
      </c>
      <c r="BJ48" t="s">
        <v>486</v>
      </c>
      <c r="BQ48" t="s">
        <v>600</v>
      </c>
      <c r="BR48" t="s">
        <v>346</v>
      </c>
      <c r="BS48" t="s">
        <v>546</v>
      </c>
      <c r="BT48" t="s">
        <v>596</v>
      </c>
      <c r="BU48" t="s">
        <v>407</v>
      </c>
      <c r="BV48" t="s">
        <v>157</v>
      </c>
      <c r="BW48" t="s">
        <v>407</v>
      </c>
      <c r="BX48" t="s">
        <v>408</v>
      </c>
      <c r="BY48" t="s">
        <v>407</v>
      </c>
      <c r="BZ48" t="s">
        <v>80</v>
      </c>
      <c r="CA48" t="s">
        <v>407</v>
      </c>
      <c r="CB48" t="s">
        <v>408</v>
      </c>
      <c r="CC48" t="s">
        <v>597</v>
      </c>
      <c r="CD48" t="s">
        <v>346</v>
      </c>
      <c r="CE48" t="s">
        <v>546</v>
      </c>
      <c r="CF48" t="s">
        <v>596</v>
      </c>
      <c r="CG48" s="32" t="s">
        <v>407</v>
      </c>
      <c r="CH48" t="s">
        <v>411</v>
      </c>
      <c r="CI48" t="s">
        <v>407</v>
      </c>
      <c r="CJ48" t="s">
        <v>408</v>
      </c>
      <c r="CK48" s="32" t="s">
        <v>407</v>
      </c>
      <c r="CL48" t="s">
        <v>29</v>
      </c>
      <c r="CM48" t="s">
        <v>407</v>
      </c>
      <c r="CN48" t="s">
        <v>408</v>
      </c>
      <c r="CO48" t="s">
        <v>597</v>
      </c>
      <c r="CP48" t="s">
        <v>346</v>
      </c>
      <c r="CQ48" t="s">
        <v>546</v>
      </c>
      <c r="CR48" t="s">
        <v>596</v>
      </c>
      <c r="CS48" s="32" t="s">
        <v>407</v>
      </c>
      <c r="CT48" t="s">
        <v>475</v>
      </c>
      <c r="CU48" t="s">
        <v>407</v>
      </c>
      <c r="CV48" t="s">
        <v>408</v>
      </c>
      <c r="CW48" s="32" t="s">
        <v>407</v>
      </c>
      <c r="CX48" t="s">
        <v>83</v>
      </c>
      <c r="CY48" t="s">
        <v>407</v>
      </c>
      <c r="CZ48" t="s">
        <v>408</v>
      </c>
      <c r="DA48" t="s">
        <v>407</v>
      </c>
      <c r="DB48" t="s">
        <v>598</v>
      </c>
      <c r="DC48" t="s">
        <v>407</v>
      </c>
      <c r="DD48" t="s">
        <v>599</v>
      </c>
      <c r="DE48" t="str">
        <f t="shared" si="1"/>
        <v>%IF(K29%"Poplar","PAINT",IF(K29%"Red Oak","SGO",IF(K29%"Maple","SM","SPPN")))</v>
      </c>
      <c r="DO48" t="s">
        <v>483</v>
      </c>
    </row>
    <row r="49" spans="6:119" x14ac:dyDescent="0.25">
      <c r="F49" t="s">
        <v>170</v>
      </c>
      <c r="H49" t="s">
        <v>230</v>
      </c>
      <c r="M49" t="s">
        <v>292</v>
      </c>
      <c r="O49" t="s">
        <v>341</v>
      </c>
      <c r="T49" t="s">
        <v>344</v>
      </c>
      <c r="U49" t="s">
        <v>345</v>
      </c>
      <c r="V49" t="s">
        <v>346</v>
      </c>
      <c r="W49" t="s">
        <v>358</v>
      </c>
      <c r="X49" t="s">
        <v>344</v>
      </c>
      <c r="Y49" t="s">
        <v>407</v>
      </c>
      <c r="Z49" t="s">
        <v>27</v>
      </c>
      <c r="AA49" t="s">
        <v>407</v>
      </c>
      <c r="AB49" t="s">
        <v>408</v>
      </c>
      <c r="AC49" t="s">
        <v>407</v>
      </c>
      <c r="AD49" t="s">
        <v>27</v>
      </c>
      <c r="AE49" t="s">
        <v>407</v>
      </c>
      <c r="AF49" t="s">
        <v>408</v>
      </c>
      <c r="AG49" t="s">
        <v>345</v>
      </c>
      <c r="AH49" t="s">
        <v>346</v>
      </c>
      <c r="AI49" t="s">
        <v>358</v>
      </c>
      <c r="AJ49" t="s">
        <v>344</v>
      </c>
      <c r="AK49" t="s">
        <v>407</v>
      </c>
      <c r="AL49" t="s">
        <v>279</v>
      </c>
      <c r="AM49" t="s">
        <v>407</v>
      </c>
      <c r="AN49" t="s">
        <v>408</v>
      </c>
      <c r="AO49" t="s">
        <v>407</v>
      </c>
      <c r="AP49" t="s">
        <v>53</v>
      </c>
      <c r="AQ49" t="s">
        <v>407</v>
      </c>
      <c r="AR49" t="s">
        <v>408</v>
      </c>
      <c r="AS49" t="s">
        <v>407</v>
      </c>
      <c r="AT49" t="s">
        <v>407</v>
      </c>
      <c r="AU49" t="s">
        <v>409</v>
      </c>
      <c r="AV49" t="s">
        <v>409</v>
      </c>
      <c r="AW49" t="str">
        <f t="shared" si="0"/>
        <v>#if(J30#"JE","JE",if(J30#"Drilled","JC",""))</v>
      </c>
      <c r="BC49" t="s">
        <v>424</v>
      </c>
      <c r="BJ49" t="s">
        <v>487</v>
      </c>
      <c r="BQ49" t="s">
        <v>600</v>
      </c>
      <c r="BR49" t="s">
        <v>346</v>
      </c>
      <c r="BS49" t="s">
        <v>547</v>
      </c>
      <c r="BT49" t="s">
        <v>596</v>
      </c>
      <c r="BU49" t="s">
        <v>407</v>
      </c>
      <c r="BV49" t="s">
        <v>157</v>
      </c>
      <c r="BW49" t="s">
        <v>407</v>
      </c>
      <c r="BX49" t="s">
        <v>408</v>
      </c>
      <c r="BY49" t="s">
        <v>407</v>
      </c>
      <c r="BZ49" t="s">
        <v>80</v>
      </c>
      <c r="CA49" t="s">
        <v>407</v>
      </c>
      <c r="CB49" t="s">
        <v>408</v>
      </c>
      <c r="CC49" t="s">
        <v>597</v>
      </c>
      <c r="CD49" t="s">
        <v>346</v>
      </c>
      <c r="CE49" t="s">
        <v>547</v>
      </c>
      <c r="CF49" t="s">
        <v>596</v>
      </c>
      <c r="CG49" s="32" t="s">
        <v>407</v>
      </c>
      <c r="CH49" t="s">
        <v>411</v>
      </c>
      <c r="CI49" t="s">
        <v>407</v>
      </c>
      <c r="CJ49" t="s">
        <v>408</v>
      </c>
      <c r="CK49" s="32" t="s">
        <v>407</v>
      </c>
      <c r="CL49" t="s">
        <v>29</v>
      </c>
      <c r="CM49" t="s">
        <v>407</v>
      </c>
      <c r="CN49" t="s">
        <v>408</v>
      </c>
      <c r="CO49" t="s">
        <v>597</v>
      </c>
      <c r="CP49" t="s">
        <v>346</v>
      </c>
      <c r="CQ49" t="s">
        <v>547</v>
      </c>
      <c r="CR49" t="s">
        <v>596</v>
      </c>
      <c r="CS49" s="32" t="s">
        <v>407</v>
      </c>
      <c r="CT49" t="s">
        <v>475</v>
      </c>
      <c r="CU49" t="s">
        <v>407</v>
      </c>
      <c r="CV49" t="s">
        <v>408</v>
      </c>
      <c r="CW49" s="32" t="s">
        <v>407</v>
      </c>
      <c r="CX49" t="s">
        <v>83</v>
      </c>
      <c r="CY49" t="s">
        <v>407</v>
      </c>
      <c r="CZ49" t="s">
        <v>408</v>
      </c>
      <c r="DA49" t="s">
        <v>407</v>
      </c>
      <c r="DB49" t="s">
        <v>598</v>
      </c>
      <c r="DC49" t="s">
        <v>407</v>
      </c>
      <c r="DD49" t="s">
        <v>599</v>
      </c>
      <c r="DE49" t="str">
        <f t="shared" si="1"/>
        <v>%IF(K30%"Poplar","PAINT",IF(K30%"Red Oak","SGO",IF(K30%"Maple","SM","SPPN")))</v>
      </c>
      <c r="DO49" t="s">
        <v>483</v>
      </c>
    </row>
    <row r="50" spans="6:119" x14ac:dyDescent="0.25">
      <c r="F50" t="s">
        <v>170</v>
      </c>
      <c r="H50" t="s">
        <v>230</v>
      </c>
      <c r="M50" t="s">
        <v>292</v>
      </c>
      <c r="O50" t="s">
        <v>341</v>
      </c>
      <c r="T50" t="s">
        <v>344</v>
      </c>
      <c r="U50" t="s">
        <v>345</v>
      </c>
      <c r="V50" t="s">
        <v>346</v>
      </c>
      <c r="W50" t="s">
        <v>358</v>
      </c>
      <c r="X50" t="s">
        <v>344</v>
      </c>
      <c r="Y50" t="s">
        <v>407</v>
      </c>
      <c r="Z50" t="s">
        <v>27</v>
      </c>
      <c r="AA50" t="s">
        <v>407</v>
      </c>
      <c r="AB50" t="s">
        <v>408</v>
      </c>
      <c r="AC50" t="s">
        <v>407</v>
      </c>
      <c r="AD50" t="s">
        <v>27</v>
      </c>
      <c r="AE50" t="s">
        <v>407</v>
      </c>
      <c r="AF50" t="s">
        <v>408</v>
      </c>
      <c r="AG50" t="s">
        <v>345</v>
      </c>
      <c r="AH50" t="s">
        <v>346</v>
      </c>
      <c r="AI50" t="s">
        <v>358</v>
      </c>
      <c r="AJ50" t="s">
        <v>344</v>
      </c>
      <c r="AK50" t="s">
        <v>407</v>
      </c>
      <c r="AL50" t="s">
        <v>279</v>
      </c>
      <c r="AM50" t="s">
        <v>407</v>
      </c>
      <c r="AN50" t="s">
        <v>408</v>
      </c>
      <c r="AO50" t="s">
        <v>407</v>
      </c>
      <c r="AP50" t="s">
        <v>53</v>
      </c>
      <c r="AQ50" t="s">
        <v>407</v>
      </c>
      <c r="AR50" t="s">
        <v>408</v>
      </c>
      <c r="AS50" t="s">
        <v>407</v>
      </c>
      <c r="AT50" t="s">
        <v>407</v>
      </c>
      <c r="AU50" t="s">
        <v>409</v>
      </c>
      <c r="AV50" t="s">
        <v>409</v>
      </c>
      <c r="AW50" t="str">
        <f t="shared" si="0"/>
        <v>#if(J30#"JE","JE",if(J30#"Drilled","JC",""))</v>
      </c>
      <c r="BC50" t="s">
        <v>424</v>
      </c>
      <c r="BJ50" t="s">
        <v>487</v>
      </c>
      <c r="BQ50" t="s">
        <v>600</v>
      </c>
      <c r="BR50" t="s">
        <v>346</v>
      </c>
      <c r="BS50" t="s">
        <v>547</v>
      </c>
      <c r="BT50" t="s">
        <v>596</v>
      </c>
      <c r="BU50" t="s">
        <v>407</v>
      </c>
      <c r="BV50" t="s">
        <v>157</v>
      </c>
      <c r="BW50" t="s">
        <v>407</v>
      </c>
      <c r="BX50" t="s">
        <v>408</v>
      </c>
      <c r="BY50" t="s">
        <v>407</v>
      </c>
      <c r="BZ50" t="s">
        <v>80</v>
      </c>
      <c r="CA50" t="s">
        <v>407</v>
      </c>
      <c r="CB50" t="s">
        <v>408</v>
      </c>
      <c r="CC50" t="s">
        <v>597</v>
      </c>
      <c r="CD50" t="s">
        <v>346</v>
      </c>
      <c r="CE50" t="s">
        <v>547</v>
      </c>
      <c r="CF50" t="s">
        <v>596</v>
      </c>
      <c r="CG50" s="32" t="s">
        <v>407</v>
      </c>
      <c r="CH50" t="s">
        <v>411</v>
      </c>
      <c r="CI50" t="s">
        <v>407</v>
      </c>
      <c r="CJ50" t="s">
        <v>408</v>
      </c>
      <c r="CK50" s="32" t="s">
        <v>407</v>
      </c>
      <c r="CL50" t="s">
        <v>29</v>
      </c>
      <c r="CM50" t="s">
        <v>407</v>
      </c>
      <c r="CN50" t="s">
        <v>408</v>
      </c>
      <c r="CO50" t="s">
        <v>597</v>
      </c>
      <c r="CP50" t="s">
        <v>346</v>
      </c>
      <c r="CQ50" t="s">
        <v>547</v>
      </c>
      <c r="CR50" t="s">
        <v>596</v>
      </c>
      <c r="CS50" s="32" t="s">
        <v>407</v>
      </c>
      <c r="CT50" t="s">
        <v>475</v>
      </c>
      <c r="CU50" t="s">
        <v>407</v>
      </c>
      <c r="CV50" t="s">
        <v>408</v>
      </c>
      <c r="CW50" s="32" t="s">
        <v>407</v>
      </c>
      <c r="CX50" t="s">
        <v>83</v>
      </c>
      <c r="CY50" t="s">
        <v>407</v>
      </c>
      <c r="CZ50" t="s">
        <v>408</v>
      </c>
      <c r="DA50" t="s">
        <v>407</v>
      </c>
      <c r="DB50" t="s">
        <v>598</v>
      </c>
      <c r="DC50" t="s">
        <v>407</v>
      </c>
      <c r="DD50" t="s">
        <v>599</v>
      </c>
      <c r="DE50" t="str">
        <f t="shared" si="1"/>
        <v>%IF(K30%"Poplar","PAINT",IF(K30%"Red Oak","SGO",IF(K30%"Maple","SM","SPPN")))</v>
      </c>
      <c r="DO50" t="s">
        <v>483</v>
      </c>
    </row>
    <row r="51" spans="6:119" x14ac:dyDescent="0.25">
      <c r="F51" t="s">
        <v>170</v>
      </c>
      <c r="H51" t="s">
        <v>230</v>
      </c>
      <c r="M51" t="s">
        <v>292</v>
      </c>
      <c r="O51" t="s">
        <v>341</v>
      </c>
      <c r="T51" t="s">
        <v>344</v>
      </c>
      <c r="U51" t="s">
        <v>345</v>
      </c>
      <c r="V51" t="s">
        <v>346</v>
      </c>
      <c r="W51" t="s">
        <v>358</v>
      </c>
      <c r="X51" t="s">
        <v>344</v>
      </c>
      <c r="Y51" t="s">
        <v>407</v>
      </c>
      <c r="Z51" t="s">
        <v>27</v>
      </c>
      <c r="AA51" t="s">
        <v>407</v>
      </c>
      <c r="AB51" t="s">
        <v>408</v>
      </c>
      <c r="AC51" t="s">
        <v>407</v>
      </c>
      <c r="AD51" t="s">
        <v>27</v>
      </c>
      <c r="AE51" t="s">
        <v>407</v>
      </c>
      <c r="AF51" t="s">
        <v>408</v>
      </c>
      <c r="AG51" t="s">
        <v>345</v>
      </c>
      <c r="AH51" t="s">
        <v>346</v>
      </c>
      <c r="AI51" t="s">
        <v>358</v>
      </c>
      <c r="AJ51" t="s">
        <v>344</v>
      </c>
      <c r="AK51" t="s">
        <v>407</v>
      </c>
      <c r="AL51" t="s">
        <v>279</v>
      </c>
      <c r="AM51" t="s">
        <v>407</v>
      </c>
      <c r="AN51" t="s">
        <v>408</v>
      </c>
      <c r="AO51" t="s">
        <v>407</v>
      </c>
      <c r="AP51" t="s">
        <v>53</v>
      </c>
      <c r="AQ51" t="s">
        <v>407</v>
      </c>
      <c r="AR51" t="s">
        <v>408</v>
      </c>
      <c r="AS51" t="s">
        <v>407</v>
      </c>
      <c r="AT51" t="s">
        <v>407</v>
      </c>
      <c r="AU51" t="s">
        <v>409</v>
      </c>
      <c r="AV51" t="s">
        <v>409</v>
      </c>
      <c r="AW51" t="str">
        <f t="shared" si="0"/>
        <v>#if(J30#"JE","JE",if(J30#"Drilled","JC",""))</v>
      </c>
      <c r="BC51" t="s">
        <v>424</v>
      </c>
      <c r="BJ51" t="s">
        <v>487</v>
      </c>
      <c r="BQ51" t="s">
        <v>600</v>
      </c>
      <c r="BR51" t="s">
        <v>346</v>
      </c>
      <c r="BS51" t="s">
        <v>547</v>
      </c>
      <c r="BT51" t="s">
        <v>596</v>
      </c>
      <c r="BU51" t="s">
        <v>407</v>
      </c>
      <c r="BV51" t="s">
        <v>157</v>
      </c>
      <c r="BW51" t="s">
        <v>407</v>
      </c>
      <c r="BX51" t="s">
        <v>408</v>
      </c>
      <c r="BY51" t="s">
        <v>407</v>
      </c>
      <c r="BZ51" t="s">
        <v>80</v>
      </c>
      <c r="CA51" t="s">
        <v>407</v>
      </c>
      <c r="CB51" t="s">
        <v>408</v>
      </c>
      <c r="CC51" t="s">
        <v>597</v>
      </c>
      <c r="CD51" t="s">
        <v>346</v>
      </c>
      <c r="CE51" t="s">
        <v>547</v>
      </c>
      <c r="CF51" t="s">
        <v>596</v>
      </c>
      <c r="CG51" s="32" t="s">
        <v>407</v>
      </c>
      <c r="CH51" t="s">
        <v>411</v>
      </c>
      <c r="CI51" t="s">
        <v>407</v>
      </c>
      <c r="CJ51" t="s">
        <v>408</v>
      </c>
      <c r="CK51" s="32" t="s">
        <v>407</v>
      </c>
      <c r="CL51" t="s">
        <v>29</v>
      </c>
      <c r="CM51" t="s">
        <v>407</v>
      </c>
      <c r="CN51" t="s">
        <v>408</v>
      </c>
      <c r="CO51" t="s">
        <v>597</v>
      </c>
      <c r="CP51" t="s">
        <v>346</v>
      </c>
      <c r="CQ51" t="s">
        <v>547</v>
      </c>
      <c r="CR51" t="s">
        <v>596</v>
      </c>
      <c r="CS51" s="32" t="s">
        <v>407</v>
      </c>
      <c r="CT51" t="s">
        <v>475</v>
      </c>
      <c r="CU51" t="s">
        <v>407</v>
      </c>
      <c r="CV51" t="s">
        <v>408</v>
      </c>
      <c r="CW51" s="32" t="s">
        <v>407</v>
      </c>
      <c r="CX51" t="s">
        <v>83</v>
      </c>
      <c r="CY51" t="s">
        <v>407</v>
      </c>
      <c r="CZ51" t="s">
        <v>408</v>
      </c>
      <c r="DA51" t="s">
        <v>407</v>
      </c>
      <c r="DB51" t="s">
        <v>598</v>
      </c>
      <c r="DC51" t="s">
        <v>407</v>
      </c>
      <c r="DD51" t="s">
        <v>599</v>
      </c>
      <c r="DE51" t="str">
        <f t="shared" si="1"/>
        <v>%IF(K30%"Poplar","PAINT",IF(K30%"Red Oak","SGO",IF(K30%"Maple","SM","SPPN")))</v>
      </c>
      <c r="DO51" t="s">
        <v>484</v>
      </c>
    </row>
    <row r="52" spans="6:119" x14ac:dyDescent="0.25">
      <c r="F52" t="s">
        <v>170</v>
      </c>
      <c r="H52" t="s">
        <v>230</v>
      </c>
      <c r="M52" t="s">
        <v>292</v>
      </c>
      <c r="O52" t="s">
        <v>341</v>
      </c>
      <c r="T52" t="s">
        <v>344</v>
      </c>
      <c r="U52" t="s">
        <v>345</v>
      </c>
      <c r="V52" t="s">
        <v>346</v>
      </c>
      <c r="W52" t="s">
        <v>358</v>
      </c>
      <c r="X52" t="s">
        <v>344</v>
      </c>
      <c r="Y52" t="s">
        <v>407</v>
      </c>
      <c r="Z52" t="s">
        <v>27</v>
      </c>
      <c r="AA52" t="s">
        <v>407</v>
      </c>
      <c r="AB52" t="s">
        <v>408</v>
      </c>
      <c r="AC52" t="s">
        <v>407</v>
      </c>
      <c r="AD52" t="s">
        <v>27</v>
      </c>
      <c r="AE52" t="s">
        <v>407</v>
      </c>
      <c r="AF52" t="s">
        <v>408</v>
      </c>
      <c r="AG52" t="s">
        <v>345</v>
      </c>
      <c r="AH52" t="s">
        <v>346</v>
      </c>
      <c r="AI52" t="s">
        <v>358</v>
      </c>
      <c r="AJ52" t="s">
        <v>344</v>
      </c>
      <c r="AK52" t="s">
        <v>407</v>
      </c>
      <c r="AL52" t="s">
        <v>279</v>
      </c>
      <c r="AM52" t="s">
        <v>407</v>
      </c>
      <c r="AN52" t="s">
        <v>408</v>
      </c>
      <c r="AO52" t="s">
        <v>407</v>
      </c>
      <c r="AP52" t="s">
        <v>53</v>
      </c>
      <c r="AQ52" t="s">
        <v>407</v>
      </c>
      <c r="AR52" t="s">
        <v>408</v>
      </c>
      <c r="AS52" t="s">
        <v>407</v>
      </c>
      <c r="AT52" t="s">
        <v>407</v>
      </c>
      <c r="AU52" t="s">
        <v>409</v>
      </c>
      <c r="AV52" t="s">
        <v>409</v>
      </c>
      <c r="AW52" t="str">
        <f t="shared" si="0"/>
        <v>#if(J30#"JE","JE",if(J30#"Drilled","JC",""))</v>
      </c>
      <c r="BC52" t="s">
        <v>424</v>
      </c>
      <c r="BJ52" t="s">
        <v>487</v>
      </c>
      <c r="BQ52" t="s">
        <v>600</v>
      </c>
      <c r="BR52" t="s">
        <v>346</v>
      </c>
      <c r="BS52" t="s">
        <v>547</v>
      </c>
      <c r="BT52" t="s">
        <v>596</v>
      </c>
      <c r="BU52" t="s">
        <v>407</v>
      </c>
      <c r="BV52" t="s">
        <v>157</v>
      </c>
      <c r="BW52" t="s">
        <v>407</v>
      </c>
      <c r="BX52" t="s">
        <v>408</v>
      </c>
      <c r="BY52" t="s">
        <v>407</v>
      </c>
      <c r="BZ52" t="s">
        <v>80</v>
      </c>
      <c r="CA52" t="s">
        <v>407</v>
      </c>
      <c r="CB52" t="s">
        <v>408</v>
      </c>
      <c r="CC52" t="s">
        <v>597</v>
      </c>
      <c r="CD52" t="s">
        <v>346</v>
      </c>
      <c r="CE52" t="s">
        <v>547</v>
      </c>
      <c r="CF52" t="s">
        <v>596</v>
      </c>
      <c r="CG52" s="32" t="s">
        <v>407</v>
      </c>
      <c r="CH52" t="s">
        <v>411</v>
      </c>
      <c r="CI52" t="s">
        <v>407</v>
      </c>
      <c r="CJ52" t="s">
        <v>408</v>
      </c>
      <c r="CK52" s="32" t="s">
        <v>407</v>
      </c>
      <c r="CL52" t="s">
        <v>29</v>
      </c>
      <c r="CM52" t="s">
        <v>407</v>
      </c>
      <c r="CN52" t="s">
        <v>408</v>
      </c>
      <c r="CO52" t="s">
        <v>597</v>
      </c>
      <c r="CP52" t="s">
        <v>346</v>
      </c>
      <c r="CQ52" t="s">
        <v>547</v>
      </c>
      <c r="CR52" t="s">
        <v>596</v>
      </c>
      <c r="CS52" s="32" t="s">
        <v>407</v>
      </c>
      <c r="CT52" t="s">
        <v>475</v>
      </c>
      <c r="CU52" t="s">
        <v>407</v>
      </c>
      <c r="CV52" t="s">
        <v>408</v>
      </c>
      <c r="CW52" s="32" t="s">
        <v>407</v>
      </c>
      <c r="CX52" t="s">
        <v>83</v>
      </c>
      <c r="CY52" t="s">
        <v>407</v>
      </c>
      <c r="CZ52" t="s">
        <v>408</v>
      </c>
      <c r="DA52" t="s">
        <v>407</v>
      </c>
      <c r="DB52" t="s">
        <v>598</v>
      </c>
      <c r="DC52" t="s">
        <v>407</v>
      </c>
      <c r="DD52" t="s">
        <v>599</v>
      </c>
      <c r="DE52" t="str">
        <f t="shared" si="1"/>
        <v>%IF(K30%"Poplar","PAINT",IF(K30%"Red Oak","SGO",IF(K30%"Maple","SM","SPPN")))</v>
      </c>
      <c r="DO52" t="s">
        <v>484</v>
      </c>
    </row>
    <row r="53" spans="6:119" x14ac:dyDescent="0.25">
      <c r="F53" t="s">
        <v>171</v>
      </c>
      <c r="H53" t="s">
        <v>231</v>
      </c>
      <c r="M53" t="s">
        <v>293</v>
      </c>
      <c r="O53" t="s">
        <v>341</v>
      </c>
      <c r="T53" t="s">
        <v>344</v>
      </c>
      <c r="U53" t="s">
        <v>345</v>
      </c>
      <c r="V53" t="s">
        <v>346</v>
      </c>
      <c r="W53" t="s">
        <v>359</v>
      </c>
      <c r="X53" t="s">
        <v>344</v>
      </c>
      <c r="Y53" t="s">
        <v>407</v>
      </c>
      <c r="Z53" t="s">
        <v>27</v>
      </c>
      <c r="AA53" t="s">
        <v>407</v>
      </c>
      <c r="AB53" t="s">
        <v>408</v>
      </c>
      <c r="AC53" t="s">
        <v>407</v>
      </c>
      <c r="AD53" t="s">
        <v>27</v>
      </c>
      <c r="AE53" t="s">
        <v>407</v>
      </c>
      <c r="AF53" t="s">
        <v>408</v>
      </c>
      <c r="AG53" t="s">
        <v>345</v>
      </c>
      <c r="AH53" t="s">
        <v>346</v>
      </c>
      <c r="AI53" t="s">
        <v>359</v>
      </c>
      <c r="AJ53" t="s">
        <v>344</v>
      </c>
      <c r="AK53" t="s">
        <v>407</v>
      </c>
      <c r="AL53" t="s">
        <v>279</v>
      </c>
      <c r="AM53" t="s">
        <v>407</v>
      </c>
      <c r="AN53" t="s">
        <v>408</v>
      </c>
      <c r="AO53" t="s">
        <v>407</v>
      </c>
      <c r="AP53" t="s">
        <v>53</v>
      </c>
      <c r="AQ53" t="s">
        <v>407</v>
      </c>
      <c r="AR53" t="s">
        <v>408</v>
      </c>
      <c r="AS53" t="s">
        <v>407</v>
      </c>
      <c r="AT53" t="s">
        <v>407</v>
      </c>
      <c r="AU53" t="s">
        <v>409</v>
      </c>
      <c r="AV53" t="s">
        <v>409</v>
      </c>
      <c r="AW53" t="str">
        <f t="shared" si="0"/>
        <v>#if(J31#"JE","JE",if(J31#"Drilled","JC",""))</v>
      </c>
      <c r="BC53" t="s">
        <v>425</v>
      </c>
      <c r="BJ53" t="s">
        <v>488</v>
      </c>
      <c r="BQ53" t="s">
        <v>600</v>
      </c>
      <c r="BR53" t="s">
        <v>346</v>
      </c>
      <c r="BS53" t="s">
        <v>548</v>
      </c>
      <c r="BT53" t="s">
        <v>596</v>
      </c>
      <c r="BU53" t="s">
        <v>407</v>
      </c>
      <c r="BV53" t="s">
        <v>157</v>
      </c>
      <c r="BW53" t="s">
        <v>407</v>
      </c>
      <c r="BX53" t="s">
        <v>408</v>
      </c>
      <c r="BY53" t="s">
        <v>407</v>
      </c>
      <c r="BZ53" t="s">
        <v>80</v>
      </c>
      <c r="CA53" t="s">
        <v>407</v>
      </c>
      <c r="CB53" t="s">
        <v>408</v>
      </c>
      <c r="CC53" t="s">
        <v>597</v>
      </c>
      <c r="CD53" t="s">
        <v>346</v>
      </c>
      <c r="CE53" t="s">
        <v>548</v>
      </c>
      <c r="CF53" t="s">
        <v>596</v>
      </c>
      <c r="CG53" s="32" t="s">
        <v>407</v>
      </c>
      <c r="CH53" t="s">
        <v>411</v>
      </c>
      <c r="CI53" t="s">
        <v>407</v>
      </c>
      <c r="CJ53" t="s">
        <v>408</v>
      </c>
      <c r="CK53" s="32" t="s">
        <v>407</v>
      </c>
      <c r="CL53" t="s">
        <v>29</v>
      </c>
      <c r="CM53" t="s">
        <v>407</v>
      </c>
      <c r="CN53" t="s">
        <v>408</v>
      </c>
      <c r="CO53" t="s">
        <v>597</v>
      </c>
      <c r="CP53" t="s">
        <v>346</v>
      </c>
      <c r="CQ53" t="s">
        <v>548</v>
      </c>
      <c r="CR53" t="s">
        <v>596</v>
      </c>
      <c r="CS53" s="32" t="s">
        <v>407</v>
      </c>
      <c r="CT53" t="s">
        <v>475</v>
      </c>
      <c r="CU53" t="s">
        <v>407</v>
      </c>
      <c r="CV53" t="s">
        <v>408</v>
      </c>
      <c r="CW53" s="32" t="s">
        <v>407</v>
      </c>
      <c r="CX53" t="s">
        <v>83</v>
      </c>
      <c r="CY53" t="s">
        <v>407</v>
      </c>
      <c r="CZ53" t="s">
        <v>408</v>
      </c>
      <c r="DA53" t="s">
        <v>407</v>
      </c>
      <c r="DB53" t="s">
        <v>598</v>
      </c>
      <c r="DC53" t="s">
        <v>407</v>
      </c>
      <c r="DD53" t="s">
        <v>599</v>
      </c>
      <c r="DE53" t="str">
        <f t="shared" si="1"/>
        <v>%IF(K31%"Poplar","PAINT",IF(K31%"Red Oak","SGO",IF(K31%"Maple","SM","SPPN")))</v>
      </c>
      <c r="DO53" t="s">
        <v>484</v>
      </c>
    </row>
    <row r="54" spans="6:119" x14ac:dyDescent="0.25">
      <c r="F54" t="s">
        <v>171</v>
      </c>
      <c r="H54" t="s">
        <v>231</v>
      </c>
      <c r="M54" t="s">
        <v>293</v>
      </c>
      <c r="O54" t="s">
        <v>341</v>
      </c>
      <c r="T54" t="s">
        <v>344</v>
      </c>
      <c r="U54" t="s">
        <v>345</v>
      </c>
      <c r="V54" t="s">
        <v>346</v>
      </c>
      <c r="W54" t="s">
        <v>359</v>
      </c>
      <c r="X54" t="s">
        <v>344</v>
      </c>
      <c r="Y54" t="s">
        <v>407</v>
      </c>
      <c r="Z54" t="s">
        <v>27</v>
      </c>
      <c r="AA54" t="s">
        <v>407</v>
      </c>
      <c r="AB54" t="s">
        <v>408</v>
      </c>
      <c r="AC54" t="s">
        <v>407</v>
      </c>
      <c r="AD54" t="s">
        <v>27</v>
      </c>
      <c r="AE54" t="s">
        <v>407</v>
      </c>
      <c r="AF54" t="s">
        <v>408</v>
      </c>
      <c r="AG54" t="s">
        <v>345</v>
      </c>
      <c r="AH54" t="s">
        <v>346</v>
      </c>
      <c r="AI54" t="s">
        <v>359</v>
      </c>
      <c r="AJ54" t="s">
        <v>344</v>
      </c>
      <c r="AK54" t="s">
        <v>407</v>
      </c>
      <c r="AL54" t="s">
        <v>279</v>
      </c>
      <c r="AM54" t="s">
        <v>407</v>
      </c>
      <c r="AN54" t="s">
        <v>408</v>
      </c>
      <c r="AO54" t="s">
        <v>407</v>
      </c>
      <c r="AP54" t="s">
        <v>53</v>
      </c>
      <c r="AQ54" t="s">
        <v>407</v>
      </c>
      <c r="AR54" t="s">
        <v>408</v>
      </c>
      <c r="AS54" t="s">
        <v>407</v>
      </c>
      <c r="AT54" t="s">
        <v>407</v>
      </c>
      <c r="AU54" t="s">
        <v>409</v>
      </c>
      <c r="AV54" t="s">
        <v>409</v>
      </c>
      <c r="AW54" t="str">
        <f t="shared" si="0"/>
        <v>#if(J31#"JE","JE",if(J31#"Drilled","JC",""))</v>
      </c>
      <c r="BC54" t="s">
        <v>425</v>
      </c>
      <c r="BJ54" t="s">
        <v>488</v>
      </c>
      <c r="BQ54" t="s">
        <v>600</v>
      </c>
      <c r="BR54" t="s">
        <v>346</v>
      </c>
      <c r="BS54" t="s">
        <v>548</v>
      </c>
      <c r="BT54" t="s">
        <v>596</v>
      </c>
      <c r="BU54" t="s">
        <v>407</v>
      </c>
      <c r="BV54" t="s">
        <v>157</v>
      </c>
      <c r="BW54" t="s">
        <v>407</v>
      </c>
      <c r="BX54" t="s">
        <v>408</v>
      </c>
      <c r="BY54" t="s">
        <v>407</v>
      </c>
      <c r="BZ54" t="s">
        <v>80</v>
      </c>
      <c r="CA54" t="s">
        <v>407</v>
      </c>
      <c r="CB54" t="s">
        <v>408</v>
      </c>
      <c r="CC54" t="s">
        <v>597</v>
      </c>
      <c r="CD54" t="s">
        <v>346</v>
      </c>
      <c r="CE54" t="s">
        <v>548</v>
      </c>
      <c r="CF54" t="s">
        <v>596</v>
      </c>
      <c r="CG54" s="32" t="s">
        <v>407</v>
      </c>
      <c r="CH54" t="s">
        <v>411</v>
      </c>
      <c r="CI54" t="s">
        <v>407</v>
      </c>
      <c r="CJ54" t="s">
        <v>408</v>
      </c>
      <c r="CK54" s="32" t="s">
        <v>407</v>
      </c>
      <c r="CL54" t="s">
        <v>29</v>
      </c>
      <c r="CM54" t="s">
        <v>407</v>
      </c>
      <c r="CN54" t="s">
        <v>408</v>
      </c>
      <c r="CO54" t="s">
        <v>597</v>
      </c>
      <c r="CP54" t="s">
        <v>346</v>
      </c>
      <c r="CQ54" t="s">
        <v>548</v>
      </c>
      <c r="CR54" t="s">
        <v>596</v>
      </c>
      <c r="CS54" s="32" t="s">
        <v>407</v>
      </c>
      <c r="CT54" t="s">
        <v>475</v>
      </c>
      <c r="CU54" t="s">
        <v>407</v>
      </c>
      <c r="CV54" t="s">
        <v>408</v>
      </c>
      <c r="CW54" s="32" t="s">
        <v>407</v>
      </c>
      <c r="CX54" t="s">
        <v>83</v>
      </c>
      <c r="CY54" t="s">
        <v>407</v>
      </c>
      <c r="CZ54" t="s">
        <v>408</v>
      </c>
      <c r="DA54" t="s">
        <v>407</v>
      </c>
      <c r="DB54" t="s">
        <v>598</v>
      </c>
      <c r="DC54" t="s">
        <v>407</v>
      </c>
      <c r="DD54" t="s">
        <v>599</v>
      </c>
      <c r="DE54" t="str">
        <f t="shared" si="1"/>
        <v>%IF(K31%"Poplar","PAINT",IF(K31%"Red Oak","SGO",IF(K31%"Maple","SM","SPPN")))</v>
      </c>
      <c r="DO54" t="s">
        <v>484</v>
      </c>
    </row>
    <row r="55" spans="6:119" x14ac:dyDescent="0.25">
      <c r="F55" t="s">
        <v>171</v>
      </c>
      <c r="H55" t="s">
        <v>231</v>
      </c>
      <c r="M55" t="s">
        <v>293</v>
      </c>
      <c r="O55" t="s">
        <v>341</v>
      </c>
      <c r="T55" t="s">
        <v>344</v>
      </c>
      <c r="U55" t="s">
        <v>345</v>
      </c>
      <c r="V55" t="s">
        <v>346</v>
      </c>
      <c r="W55" t="s">
        <v>359</v>
      </c>
      <c r="X55" t="s">
        <v>344</v>
      </c>
      <c r="Y55" t="s">
        <v>407</v>
      </c>
      <c r="Z55" t="s">
        <v>27</v>
      </c>
      <c r="AA55" t="s">
        <v>407</v>
      </c>
      <c r="AB55" t="s">
        <v>408</v>
      </c>
      <c r="AC55" t="s">
        <v>407</v>
      </c>
      <c r="AD55" t="s">
        <v>27</v>
      </c>
      <c r="AE55" t="s">
        <v>407</v>
      </c>
      <c r="AF55" t="s">
        <v>408</v>
      </c>
      <c r="AG55" t="s">
        <v>345</v>
      </c>
      <c r="AH55" t="s">
        <v>346</v>
      </c>
      <c r="AI55" t="s">
        <v>359</v>
      </c>
      <c r="AJ55" t="s">
        <v>344</v>
      </c>
      <c r="AK55" t="s">
        <v>407</v>
      </c>
      <c r="AL55" t="s">
        <v>279</v>
      </c>
      <c r="AM55" t="s">
        <v>407</v>
      </c>
      <c r="AN55" t="s">
        <v>408</v>
      </c>
      <c r="AO55" t="s">
        <v>407</v>
      </c>
      <c r="AP55" t="s">
        <v>53</v>
      </c>
      <c r="AQ55" t="s">
        <v>407</v>
      </c>
      <c r="AR55" t="s">
        <v>408</v>
      </c>
      <c r="AS55" t="s">
        <v>407</v>
      </c>
      <c r="AT55" t="s">
        <v>407</v>
      </c>
      <c r="AU55" t="s">
        <v>409</v>
      </c>
      <c r="AV55" t="s">
        <v>409</v>
      </c>
      <c r="AW55" t="str">
        <f t="shared" si="0"/>
        <v>#if(J31#"JE","JE",if(J31#"Drilled","JC",""))</v>
      </c>
      <c r="BC55" t="s">
        <v>425</v>
      </c>
      <c r="BJ55" t="s">
        <v>488</v>
      </c>
      <c r="BQ55" t="s">
        <v>600</v>
      </c>
      <c r="BR55" t="s">
        <v>346</v>
      </c>
      <c r="BS55" t="s">
        <v>548</v>
      </c>
      <c r="BT55" t="s">
        <v>596</v>
      </c>
      <c r="BU55" t="s">
        <v>407</v>
      </c>
      <c r="BV55" t="s">
        <v>157</v>
      </c>
      <c r="BW55" t="s">
        <v>407</v>
      </c>
      <c r="BX55" t="s">
        <v>408</v>
      </c>
      <c r="BY55" t="s">
        <v>407</v>
      </c>
      <c r="BZ55" t="s">
        <v>80</v>
      </c>
      <c r="CA55" t="s">
        <v>407</v>
      </c>
      <c r="CB55" t="s">
        <v>408</v>
      </c>
      <c r="CC55" t="s">
        <v>597</v>
      </c>
      <c r="CD55" t="s">
        <v>346</v>
      </c>
      <c r="CE55" t="s">
        <v>548</v>
      </c>
      <c r="CF55" t="s">
        <v>596</v>
      </c>
      <c r="CG55" s="32" t="s">
        <v>407</v>
      </c>
      <c r="CH55" t="s">
        <v>411</v>
      </c>
      <c r="CI55" t="s">
        <v>407</v>
      </c>
      <c r="CJ55" t="s">
        <v>408</v>
      </c>
      <c r="CK55" s="32" t="s">
        <v>407</v>
      </c>
      <c r="CL55" t="s">
        <v>29</v>
      </c>
      <c r="CM55" t="s">
        <v>407</v>
      </c>
      <c r="CN55" t="s">
        <v>408</v>
      </c>
      <c r="CO55" t="s">
        <v>597</v>
      </c>
      <c r="CP55" t="s">
        <v>346</v>
      </c>
      <c r="CQ55" t="s">
        <v>548</v>
      </c>
      <c r="CR55" t="s">
        <v>596</v>
      </c>
      <c r="CS55" s="32" t="s">
        <v>407</v>
      </c>
      <c r="CT55" t="s">
        <v>475</v>
      </c>
      <c r="CU55" t="s">
        <v>407</v>
      </c>
      <c r="CV55" t="s">
        <v>408</v>
      </c>
      <c r="CW55" s="32" t="s">
        <v>407</v>
      </c>
      <c r="CX55" t="s">
        <v>83</v>
      </c>
      <c r="CY55" t="s">
        <v>407</v>
      </c>
      <c r="CZ55" t="s">
        <v>408</v>
      </c>
      <c r="DA55" t="s">
        <v>407</v>
      </c>
      <c r="DB55" t="s">
        <v>598</v>
      </c>
      <c r="DC55" t="s">
        <v>407</v>
      </c>
      <c r="DD55" t="s">
        <v>599</v>
      </c>
      <c r="DE55" t="str">
        <f t="shared" si="1"/>
        <v>%IF(K31%"Poplar","PAINT",IF(K31%"Red Oak","SGO",IF(K31%"Maple","SM","SPPN")))</v>
      </c>
      <c r="DO55" t="s">
        <v>485</v>
      </c>
    </row>
    <row r="56" spans="6:119" x14ac:dyDescent="0.25">
      <c r="F56" t="s">
        <v>171</v>
      </c>
      <c r="H56" t="s">
        <v>231</v>
      </c>
      <c r="M56" t="s">
        <v>293</v>
      </c>
      <c r="O56" t="s">
        <v>341</v>
      </c>
      <c r="T56" t="s">
        <v>344</v>
      </c>
      <c r="U56" t="s">
        <v>345</v>
      </c>
      <c r="V56" t="s">
        <v>346</v>
      </c>
      <c r="W56" t="s">
        <v>359</v>
      </c>
      <c r="X56" t="s">
        <v>344</v>
      </c>
      <c r="Y56" t="s">
        <v>407</v>
      </c>
      <c r="Z56" t="s">
        <v>27</v>
      </c>
      <c r="AA56" t="s">
        <v>407</v>
      </c>
      <c r="AB56" t="s">
        <v>408</v>
      </c>
      <c r="AC56" t="s">
        <v>407</v>
      </c>
      <c r="AD56" t="s">
        <v>27</v>
      </c>
      <c r="AE56" t="s">
        <v>407</v>
      </c>
      <c r="AF56" t="s">
        <v>408</v>
      </c>
      <c r="AG56" t="s">
        <v>345</v>
      </c>
      <c r="AH56" t="s">
        <v>346</v>
      </c>
      <c r="AI56" t="s">
        <v>359</v>
      </c>
      <c r="AJ56" t="s">
        <v>344</v>
      </c>
      <c r="AK56" t="s">
        <v>407</v>
      </c>
      <c r="AL56" t="s">
        <v>279</v>
      </c>
      <c r="AM56" t="s">
        <v>407</v>
      </c>
      <c r="AN56" t="s">
        <v>408</v>
      </c>
      <c r="AO56" t="s">
        <v>407</v>
      </c>
      <c r="AP56" t="s">
        <v>53</v>
      </c>
      <c r="AQ56" t="s">
        <v>407</v>
      </c>
      <c r="AR56" t="s">
        <v>408</v>
      </c>
      <c r="AS56" t="s">
        <v>407</v>
      </c>
      <c r="AT56" t="s">
        <v>407</v>
      </c>
      <c r="AU56" t="s">
        <v>409</v>
      </c>
      <c r="AV56" t="s">
        <v>409</v>
      </c>
      <c r="AW56" t="str">
        <f t="shared" si="0"/>
        <v>#if(J31#"JE","JE",if(J31#"Drilled","JC",""))</v>
      </c>
      <c r="BC56" t="s">
        <v>425</v>
      </c>
      <c r="BJ56" t="s">
        <v>488</v>
      </c>
      <c r="BQ56" t="s">
        <v>600</v>
      </c>
      <c r="BR56" t="s">
        <v>346</v>
      </c>
      <c r="BS56" t="s">
        <v>548</v>
      </c>
      <c r="BT56" t="s">
        <v>596</v>
      </c>
      <c r="BU56" t="s">
        <v>407</v>
      </c>
      <c r="BV56" t="s">
        <v>157</v>
      </c>
      <c r="BW56" t="s">
        <v>407</v>
      </c>
      <c r="BX56" t="s">
        <v>408</v>
      </c>
      <c r="BY56" t="s">
        <v>407</v>
      </c>
      <c r="BZ56" t="s">
        <v>80</v>
      </c>
      <c r="CA56" t="s">
        <v>407</v>
      </c>
      <c r="CB56" t="s">
        <v>408</v>
      </c>
      <c r="CC56" t="s">
        <v>597</v>
      </c>
      <c r="CD56" t="s">
        <v>346</v>
      </c>
      <c r="CE56" t="s">
        <v>548</v>
      </c>
      <c r="CF56" t="s">
        <v>596</v>
      </c>
      <c r="CG56" s="32" t="s">
        <v>407</v>
      </c>
      <c r="CH56" t="s">
        <v>411</v>
      </c>
      <c r="CI56" t="s">
        <v>407</v>
      </c>
      <c r="CJ56" t="s">
        <v>408</v>
      </c>
      <c r="CK56" s="32" t="s">
        <v>407</v>
      </c>
      <c r="CL56" t="s">
        <v>29</v>
      </c>
      <c r="CM56" t="s">
        <v>407</v>
      </c>
      <c r="CN56" t="s">
        <v>408</v>
      </c>
      <c r="CO56" t="s">
        <v>597</v>
      </c>
      <c r="CP56" t="s">
        <v>346</v>
      </c>
      <c r="CQ56" t="s">
        <v>548</v>
      </c>
      <c r="CR56" t="s">
        <v>596</v>
      </c>
      <c r="CS56" s="32" t="s">
        <v>407</v>
      </c>
      <c r="CT56" t="s">
        <v>475</v>
      </c>
      <c r="CU56" t="s">
        <v>407</v>
      </c>
      <c r="CV56" t="s">
        <v>408</v>
      </c>
      <c r="CW56" s="32" t="s">
        <v>407</v>
      </c>
      <c r="CX56" t="s">
        <v>83</v>
      </c>
      <c r="CY56" t="s">
        <v>407</v>
      </c>
      <c r="CZ56" t="s">
        <v>408</v>
      </c>
      <c r="DA56" t="s">
        <v>407</v>
      </c>
      <c r="DB56" t="s">
        <v>598</v>
      </c>
      <c r="DC56" t="s">
        <v>407</v>
      </c>
      <c r="DD56" t="s">
        <v>599</v>
      </c>
      <c r="DE56" t="str">
        <f t="shared" si="1"/>
        <v>%IF(K31%"Poplar","PAINT",IF(K31%"Red Oak","SGO",IF(K31%"Maple","SM","SPPN")))</v>
      </c>
      <c r="DO56" t="s">
        <v>485</v>
      </c>
    </row>
    <row r="57" spans="6:119" x14ac:dyDescent="0.25">
      <c r="F57" t="s">
        <v>172</v>
      </c>
      <c r="H57" t="s">
        <v>232</v>
      </c>
      <c r="M57" t="s">
        <v>294</v>
      </c>
      <c r="O57" t="s">
        <v>341</v>
      </c>
      <c r="T57" t="s">
        <v>344</v>
      </c>
      <c r="U57" t="s">
        <v>345</v>
      </c>
      <c r="V57" t="s">
        <v>346</v>
      </c>
      <c r="W57" t="s">
        <v>360</v>
      </c>
      <c r="X57" t="s">
        <v>344</v>
      </c>
      <c r="Y57" t="s">
        <v>407</v>
      </c>
      <c r="Z57" t="s">
        <v>27</v>
      </c>
      <c r="AA57" t="s">
        <v>407</v>
      </c>
      <c r="AB57" t="s">
        <v>408</v>
      </c>
      <c r="AC57" t="s">
        <v>407</v>
      </c>
      <c r="AD57" t="s">
        <v>27</v>
      </c>
      <c r="AE57" t="s">
        <v>407</v>
      </c>
      <c r="AF57" t="s">
        <v>408</v>
      </c>
      <c r="AG57" t="s">
        <v>345</v>
      </c>
      <c r="AH57" t="s">
        <v>346</v>
      </c>
      <c r="AI57" t="s">
        <v>360</v>
      </c>
      <c r="AJ57" t="s">
        <v>344</v>
      </c>
      <c r="AK57" t="s">
        <v>407</v>
      </c>
      <c r="AL57" t="s">
        <v>279</v>
      </c>
      <c r="AM57" t="s">
        <v>407</v>
      </c>
      <c r="AN57" t="s">
        <v>408</v>
      </c>
      <c r="AO57" t="s">
        <v>407</v>
      </c>
      <c r="AP57" t="s">
        <v>53</v>
      </c>
      <c r="AQ57" t="s">
        <v>407</v>
      </c>
      <c r="AR57" t="s">
        <v>408</v>
      </c>
      <c r="AS57" t="s">
        <v>407</v>
      </c>
      <c r="AT57" t="s">
        <v>407</v>
      </c>
      <c r="AU57" t="s">
        <v>409</v>
      </c>
      <c r="AV57" t="s">
        <v>409</v>
      </c>
      <c r="AW57" t="str">
        <f t="shared" si="0"/>
        <v>#if(J32#"JE","JE",if(J32#"Drilled","JC",""))</v>
      </c>
      <c r="BC57" t="s">
        <v>426</v>
      </c>
      <c r="BJ57" t="s">
        <v>489</v>
      </c>
      <c r="BQ57" t="s">
        <v>600</v>
      </c>
      <c r="BR57" t="s">
        <v>346</v>
      </c>
      <c r="BS57" t="s">
        <v>549</v>
      </c>
      <c r="BT57" t="s">
        <v>596</v>
      </c>
      <c r="BU57" t="s">
        <v>407</v>
      </c>
      <c r="BV57" t="s">
        <v>157</v>
      </c>
      <c r="BW57" t="s">
        <v>407</v>
      </c>
      <c r="BX57" t="s">
        <v>408</v>
      </c>
      <c r="BY57" t="s">
        <v>407</v>
      </c>
      <c r="BZ57" t="s">
        <v>80</v>
      </c>
      <c r="CA57" t="s">
        <v>407</v>
      </c>
      <c r="CB57" t="s">
        <v>408</v>
      </c>
      <c r="CC57" t="s">
        <v>597</v>
      </c>
      <c r="CD57" t="s">
        <v>346</v>
      </c>
      <c r="CE57" t="s">
        <v>549</v>
      </c>
      <c r="CF57" t="s">
        <v>596</v>
      </c>
      <c r="CG57" s="32" t="s">
        <v>407</v>
      </c>
      <c r="CH57" t="s">
        <v>411</v>
      </c>
      <c r="CI57" t="s">
        <v>407</v>
      </c>
      <c r="CJ57" t="s">
        <v>408</v>
      </c>
      <c r="CK57" s="32" t="s">
        <v>407</v>
      </c>
      <c r="CL57" t="s">
        <v>29</v>
      </c>
      <c r="CM57" t="s">
        <v>407</v>
      </c>
      <c r="CN57" t="s">
        <v>408</v>
      </c>
      <c r="CO57" t="s">
        <v>597</v>
      </c>
      <c r="CP57" t="s">
        <v>346</v>
      </c>
      <c r="CQ57" t="s">
        <v>549</v>
      </c>
      <c r="CR57" t="s">
        <v>596</v>
      </c>
      <c r="CS57" s="32" t="s">
        <v>407</v>
      </c>
      <c r="CT57" t="s">
        <v>475</v>
      </c>
      <c r="CU57" t="s">
        <v>407</v>
      </c>
      <c r="CV57" t="s">
        <v>408</v>
      </c>
      <c r="CW57" s="32" t="s">
        <v>407</v>
      </c>
      <c r="CX57" t="s">
        <v>83</v>
      </c>
      <c r="CY57" t="s">
        <v>407</v>
      </c>
      <c r="CZ57" t="s">
        <v>408</v>
      </c>
      <c r="DA57" t="s">
        <v>407</v>
      </c>
      <c r="DB57" t="s">
        <v>598</v>
      </c>
      <c r="DC57" t="s">
        <v>407</v>
      </c>
      <c r="DD57" t="s">
        <v>599</v>
      </c>
      <c r="DE57" t="str">
        <f t="shared" si="1"/>
        <v>%IF(K32%"Poplar","PAINT",IF(K32%"Red Oak","SGO",IF(K32%"Maple","SM","SPPN")))</v>
      </c>
      <c r="DO57" t="s">
        <v>485</v>
      </c>
    </row>
    <row r="58" spans="6:119" x14ac:dyDescent="0.25">
      <c r="F58" t="s">
        <v>172</v>
      </c>
      <c r="H58" t="s">
        <v>232</v>
      </c>
      <c r="M58" t="s">
        <v>294</v>
      </c>
      <c r="O58" t="s">
        <v>341</v>
      </c>
      <c r="T58" t="s">
        <v>344</v>
      </c>
      <c r="U58" t="s">
        <v>345</v>
      </c>
      <c r="V58" t="s">
        <v>346</v>
      </c>
      <c r="W58" t="s">
        <v>360</v>
      </c>
      <c r="X58" t="s">
        <v>344</v>
      </c>
      <c r="Y58" t="s">
        <v>407</v>
      </c>
      <c r="Z58" t="s">
        <v>27</v>
      </c>
      <c r="AA58" t="s">
        <v>407</v>
      </c>
      <c r="AB58" t="s">
        <v>408</v>
      </c>
      <c r="AC58" t="s">
        <v>407</v>
      </c>
      <c r="AD58" t="s">
        <v>27</v>
      </c>
      <c r="AE58" t="s">
        <v>407</v>
      </c>
      <c r="AF58" t="s">
        <v>408</v>
      </c>
      <c r="AG58" t="s">
        <v>345</v>
      </c>
      <c r="AH58" t="s">
        <v>346</v>
      </c>
      <c r="AI58" t="s">
        <v>360</v>
      </c>
      <c r="AJ58" t="s">
        <v>344</v>
      </c>
      <c r="AK58" t="s">
        <v>407</v>
      </c>
      <c r="AL58" t="s">
        <v>279</v>
      </c>
      <c r="AM58" t="s">
        <v>407</v>
      </c>
      <c r="AN58" t="s">
        <v>408</v>
      </c>
      <c r="AO58" t="s">
        <v>407</v>
      </c>
      <c r="AP58" t="s">
        <v>53</v>
      </c>
      <c r="AQ58" t="s">
        <v>407</v>
      </c>
      <c r="AR58" t="s">
        <v>408</v>
      </c>
      <c r="AS58" t="s">
        <v>407</v>
      </c>
      <c r="AT58" t="s">
        <v>407</v>
      </c>
      <c r="AU58" t="s">
        <v>409</v>
      </c>
      <c r="AV58" t="s">
        <v>409</v>
      </c>
      <c r="AW58" t="str">
        <f t="shared" si="0"/>
        <v>#if(J32#"JE","JE",if(J32#"Drilled","JC",""))</v>
      </c>
      <c r="BC58" t="s">
        <v>426</v>
      </c>
      <c r="BJ58" t="s">
        <v>489</v>
      </c>
      <c r="BQ58" t="s">
        <v>600</v>
      </c>
      <c r="BR58" t="s">
        <v>346</v>
      </c>
      <c r="BS58" t="s">
        <v>549</v>
      </c>
      <c r="BT58" t="s">
        <v>596</v>
      </c>
      <c r="BU58" t="s">
        <v>407</v>
      </c>
      <c r="BV58" t="s">
        <v>157</v>
      </c>
      <c r="BW58" t="s">
        <v>407</v>
      </c>
      <c r="BX58" t="s">
        <v>408</v>
      </c>
      <c r="BY58" t="s">
        <v>407</v>
      </c>
      <c r="BZ58" t="s">
        <v>80</v>
      </c>
      <c r="CA58" t="s">
        <v>407</v>
      </c>
      <c r="CB58" t="s">
        <v>408</v>
      </c>
      <c r="CC58" t="s">
        <v>597</v>
      </c>
      <c r="CD58" t="s">
        <v>346</v>
      </c>
      <c r="CE58" t="s">
        <v>549</v>
      </c>
      <c r="CF58" t="s">
        <v>596</v>
      </c>
      <c r="CG58" s="32" t="s">
        <v>407</v>
      </c>
      <c r="CH58" t="s">
        <v>411</v>
      </c>
      <c r="CI58" t="s">
        <v>407</v>
      </c>
      <c r="CJ58" t="s">
        <v>408</v>
      </c>
      <c r="CK58" s="32" t="s">
        <v>407</v>
      </c>
      <c r="CL58" t="s">
        <v>29</v>
      </c>
      <c r="CM58" t="s">
        <v>407</v>
      </c>
      <c r="CN58" t="s">
        <v>408</v>
      </c>
      <c r="CO58" t="s">
        <v>597</v>
      </c>
      <c r="CP58" t="s">
        <v>346</v>
      </c>
      <c r="CQ58" t="s">
        <v>549</v>
      </c>
      <c r="CR58" t="s">
        <v>596</v>
      </c>
      <c r="CS58" s="32" t="s">
        <v>407</v>
      </c>
      <c r="CT58" t="s">
        <v>475</v>
      </c>
      <c r="CU58" t="s">
        <v>407</v>
      </c>
      <c r="CV58" t="s">
        <v>408</v>
      </c>
      <c r="CW58" s="32" t="s">
        <v>407</v>
      </c>
      <c r="CX58" t="s">
        <v>83</v>
      </c>
      <c r="CY58" t="s">
        <v>407</v>
      </c>
      <c r="CZ58" t="s">
        <v>408</v>
      </c>
      <c r="DA58" t="s">
        <v>407</v>
      </c>
      <c r="DB58" t="s">
        <v>598</v>
      </c>
      <c r="DC58" t="s">
        <v>407</v>
      </c>
      <c r="DD58" t="s">
        <v>599</v>
      </c>
      <c r="DE58" t="str">
        <f t="shared" si="1"/>
        <v>%IF(K32%"Poplar","PAINT",IF(K32%"Red Oak","SGO",IF(K32%"Maple","SM","SPPN")))</v>
      </c>
      <c r="DO58" t="s">
        <v>485</v>
      </c>
    </row>
    <row r="59" spans="6:119" x14ac:dyDescent="0.25">
      <c r="F59" t="s">
        <v>172</v>
      </c>
      <c r="H59" t="s">
        <v>232</v>
      </c>
      <c r="M59" t="s">
        <v>294</v>
      </c>
      <c r="O59" t="s">
        <v>341</v>
      </c>
      <c r="T59" t="s">
        <v>344</v>
      </c>
      <c r="U59" t="s">
        <v>345</v>
      </c>
      <c r="V59" t="s">
        <v>346</v>
      </c>
      <c r="W59" t="s">
        <v>360</v>
      </c>
      <c r="X59" t="s">
        <v>344</v>
      </c>
      <c r="Y59" t="s">
        <v>407</v>
      </c>
      <c r="Z59" t="s">
        <v>27</v>
      </c>
      <c r="AA59" t="s">
        <v>407</v>
      </c>
      <c r="AB59" t="s">
        <v>408</v>
      </c>
      <c r="AC59" t="s">
        <v>407</v>
      </c>
      <c r="AD59" t="s">
        <v>27</v>
      </c>
      <c r="AE59" t="s">
        <v>407</v>
      </c>
      <c r="AF59" t="s">
        <v>408</v>
      </c>
      <c r="AG59" t="s">
        <v>345</v>
      </c>
      <c r="AH59" t="s">
        <v>346</v>
      </c>
      <c r="AI59" t="s">
        <v>360</v>
      </c>
      <c r="AJ59" t="s">
        <v>344</v>
      </c>
      <c r="AK59" t="s">
        <v>407</v>
      </c>
      <c r="AL59" t="s">
        <v>279</v>
      </c>
      <c r="AM59" t="s">
        <v>407</v>
      </c>
      <c r="AN59" t="s">
        <v>408</v>
      </c>
      <c r="AO59" t="s">
        <v>407</v>
      </c>
      <c r="AP59" t="s">
        <v>53</v>
      </c>
      <c r="AQ59" t="s">
        <v>407</v>
      </c>
      <c r="AR59" t="s">
        <v>408</v>
      </c>
      <c r="AS59" t="s">
        <v>407</v>
      </c>
      <c r="AT59" t="s">
        <v>407</v>
      </c>
      <c r="AU59" t="s">
        <v>409</v>
      </c>
      <c r="AV59" t="s">
        <v>409</v>
      </c>
      <c r="AW59" t="str">
        <f t="shared" si="0"/>
        <v>#if(J32#"JE","JE",if(J32#"Drilled","JC",""))</v>
      </c>
      <c r="BC59" t="s">
        <v>426</v>
      </c>
      <c r="BJ59" t="s">
        <v>489</v>
      </c>
      <c r="BQ59" t="s">
        <v>600</v>
      </c>
      <c r="BR59" t="s">
        <v>346</v>
      </c>
      <c r="BS59" t="s">
        <v>549</v>
      </c>
      <c r="BT59" t="s">
        <v>596</v>
      </c>
      <c r="BU59" t="s">
        <v>407</v>
      </c>
      <c r="BV59" t="s">
        <v>157</v>
      </c>
      <c r="BW59" t="s">
        <v>407</v>
      </c>
      <c r="BX59" t="s">
        <v>408</v>
      </c>
      <c r="BY59" t="s">
        <v>407</v>
      </c>
      <c r="BZ59" t="s">
        <v>80</v>
      </c>
      <c r="CA59" t="s">
        <v>407</v>
      </c>
      <c r="CB59" t="s">
        <v>408</v>
      </c>
      <c r="CC59" t="s">
        <v>597</v>
      </c>
      <c r="CD59" t="s">
        <v>346</v>
      </c>
      <c r="CE59" t="s">
        <v>549</v>
      </c>
      <c r="CF59" t="s">
        <v>596</v>
      </c>
      <c r="CG59" s="32" t="s">
        <v>407</v>
      </c>
      <c r="CH59" t="s">
        <v>411</v>
      </c>
      <c r="CI59" t="s">
        <v>407</v>
      </c>
      <c r="CJ59" t="s">
        <v>408</v>
      </c>
      <c r="CK59" s="32" t="s">
        <v>407</v>
      </c>
      <c r="CL59" t="s">
        <v>29</v>
      </c>
      <c r="CM59" t="s">
        <v>407</v>
      </c>
      <c r="CN59" t="s">
        <v>408</v>
      </c>
      <c r="CO59" t="s">
        <v>597</v>
      </c>
      <c r="CP59" t="s">
        <v>346</v>
      </c>
      <c r="CQ59" t="s">
        <v>549</v>
      </c>
      <c r="CR59" t="s">
        <v>596</v>
      </c>
      <c r="CS59" s="32" t="s">
        <v>407</v>
      </c>
      <c r="CT59" t="s">
        <v>475</v>
      </c>
      <c r="CU59" t="s">
        <v>407</v>
      </c>
      <c r="CV59" t="s">
        <v>408</v>
      </c>
      <c r="CW59" s="32" t="s">
        <v>407</v>
      </c>
      <c r="CX59" t="s">
        <v>83</v>
      </c>
      <c r="CY59" t="s">
        <v>407</v>
      </c>
      <c r="CZ59" t="s">
        <v>408</v>
      </c>
      <c r="DA59" t="s">
        <v>407</v>
      </c>
      <c r="DB59" t="s">
        <v>598</v>
      </c>
      <c r="DC59" t="s">
        <v>407</v>
      </c>
      <c r="DD59" t="s">
        <v>599</v>
      </c>
      <c r="DE59" t="str">
        <f t="shared" si="1"/>
        <v>%IF(K32%"Poplar","PAINT",IF(K32%"Red Oak","SGO",IF(K32%"Maple","SM","SPPN")))</v>
      </c>
      <c r="DO59" t="s">
        <v>486</v>
      </c>
    </row>
    <row r="60" spans="6:119" x14ac:dyDescent="0.25">
      <c r="F60" t="s">
        <v>172</v>
      </c>
      <c r="H60" t="s">
        <v>232</v>
      </c>
      <c r="M60" t="s">
        <v>294</v>
      </c>
      <c r="O60" t="s">
        <v>341</v>
      </c>
      <c r="T60" t="s">
        <v>344</v>
      </c>
      <c r="U60" t="s">
        <v>345</v>
      </c>
      <c r="V60" t="s">
        <v>346</v>
      </c>
      <c r="W60" t="s">
        <v>360</v>
      </c>
      <c r="X60" t="s">
        <v>344</v>
      </c>
      <c r="Y60" t="s">
        <v>407</v>
      </c>
      <c r="Z60" t="s">
        <v>27</v>
      </c>
      <c r="AA60" t="s">
        <v>407</v>
      </c>
      <c r="AB60" t="s">
        <v>408</v>
      </c>
      <c r="AC60" t="s">
        <v>407</v>
      </c>
      <c r="AD60" t="s">
        <v>27</v>
      </c>
      <c r="AE60" t="s">
        <v>407</v>
      </c>
      <c r="AF60" t="s">
        <v>408</v>
      </c>
      <c r="AG60" t="s">
        <v>345</v>
      </c>
      <c r="AH60" t="s">
        <v>346</v>
      </c>
      <c r="AI60" t="s">
        <v>360</v>
      </c>
      <c r="AJ60" t="s">
        <v>344</v>
      </c>
      <c r="AK60" t="s">
        <v>407</v>
      </c>
      <c r="AL60" t="s">
        <v>279</v>
      </c>
      <c r="AM60" t="s">
        <v>407</v>
      </c>
      <c r="AN60" t="s">
        <v>408</v>
      </c>
      <c r="AO60" t="s">
        <v>407</v>
      </c>
      <c r="AP60" t="s">
        <v>53</v>
      </c>
      <c r="AQ60" t="s">
        <v>407</v>
      </c>
      <c r="AR60" t="s">
        <v>408</v>
      </c>
      <c r="AS60" t="s">
        <v>407</v>
      </c>
      <c r="AT60" t="s">
        <v>407</v>
      </c>
      <c r="AU60" t="s">
        <v>409</v>
      </c>
      <c r="AV60" t="s">
        <v>409</v>
      </c>
      <c r="AW60" t="str">
        <f t="shared" si="0"/>
        <v>#if(J32#"JE","JE",if(J32#"Drilled","JC",""))</v>
      </c>
      <c r="BC60" t="s">
        <v>426</v>
      </c>
      <c r="BJ60" t="s">
        <v>489</v>
      </c>
      <c r="BQ60" t="s">
        <v>600</v>
      </c>
      <c r="BR60" t="s">
        <v>346</v>
      </c>
      <c r="BS60" t="s">
        <v>549</v>
      </c>
      <c r="BT60" t="s">
        <v>596</v>
      </c>
      <c r="BU60" t="s">
        <v>407</v>
      </c>
      <c r="BV60" t="s">
        <v>157</v>
      </c>
      <c r="BW60" t="s">
        <v>407</v>
      </c>
      <c r="BX60" t="s">
        <v>408</v>
      </c>
      <c r="BY60" t="s">
        <v>407</v>
      </c>
      <c r="BZ60" t="s">
        <v>80</v>
      </c>
      <c r="CA60" t="s">
        <v>407</v>
      </c>
      <c r="CB60" t="s">
        <v>408</v>
      </c>
      <c r="CC60" t="s">
        <v>597</v>
      </c>
      <c r="CD60" t="s">
        <v>346</v>
      </c>
      <c r="CE60" t="s">
        <v>549</v>
      </c>
      <c r="CF60" t="s">
        <v>596</v>
      </c>
      <c r="CG60" s="32" t="s">
        <v>407</v>
      </c>
      <c r="CH60" t="s">
        <v>411</v>
      </c>
      <c r="CI60" t="s">
        <v>407</v>
      </c>
      <c r="CJ60" t="s">
        <v>408</v>
      </c>
      <c r="CK60" s="32" t="s">
        <v>407</v>
      </c>
      <c r="CL60" t="s">
        <v>29</v>
      </c>
      <c r="CM60" t="s">
        <v>407</v>
      </c>
      <c r="CN60" t="s">
        <v>408</v>
      </c>
      <c r="CO60" t="s">
        <v>597</v>
      </c>
      <c r="CP60" t="s">
        <v>346</v>
      </c>
      <c r="CQ60" t="s">
        <v>549</v>
      </c>
      <c r="CR60" t="s">
        <v>596</v>
      </c>
      <c r="CS60" s="32" t="s">
        <v>407</v>
      </c>
      <c r="CT60" t="s">
        <v>475</v>
      </c>
      <c r="CU60" t="s">
        <v>407</v>
      </c>
      <c r="CV60" t="s">
        <v>408</v>
      </c>
      <c r="CW60" s="32" t="s">
        <v>407</v>
      </c>
      <c r="CX60" t="s">
        <v>83</v>
      </c>
      <c r="CY60" t="s">
        <v>407</v>
      </c>
      <c r="CZ60" t="s">
        <v>408</v>
      </c>
      <c r="DA60" t="s">
        <v>407</v>
      </c>
      <c r="DB60" t="s">
        <v>598</v>
      </c>
      <c r="DC60" t="s">
        <v>407</v>
      </c>
      <c r="DD60" t="s">
        <v>599</v>
      </c>
      <c r="DE60" t="str">
        <f t="shared" si="1"/>
        <v>%IF(K32%"Poplar","PAINT",IF(K32%"Red Oak","SGO",IF(K32%"Maple","SM","SPPN")))</v>
      </c>
      <c r="DO60" t="s">
        <v>486</v>
      </c>
    </row>
    <row r="61" spans="6:119" x14ac:dyDescent="0.25">
      <c r="F61" t="s">
        <v>173</v>
      </c>
      <c r="H61" t="s">
        <v>233</v>
      </c>
      <c r="M61" t="s">
        <v>295</v>
      </c>
      <c r="O61" t="s">
        <v>341</v>
      </c>
      <c r="T61" t="s">
        <v>344</v>
      </c>
      <c r="U61" t="s">
        <v>345</v>
      </c>
      <c r="V61" t="s">
        <v>346</v>
      </c>
      <c r="W61" t="s">
        <v>361</v>
      </c>
      <c r="X61" t="s">
        <v>344</v>
      </c>
      <c r="Y61" t="s">
        <v>407</v>
      </c>
      <c r="Z61" t="s">
        <v>27</v>
      </c>
      <c r="AA61" t="s">
        <v>407</v>
      </c>
      <c r="AB61" t="s">
        <v>408</v>
      </c>
      <c r="AC61" t="s">
        <v>407</v>
      </c>
      <c r="AD61" t="s">
        <v>27</v>
      </c>
      <c r="AE61" t="s">
        <v>407</v>
      </c>
      <c r="AF61" t="s">
        <v>408</v>
      </c>
      <c r="AG61" t="s">
        <v>345</v>
      </c>
      <c r="AH61" t="s">
        <v>346</v>
      </c>
      <c r="AI61" t="s">
        <v>361</v>
      </c>
      <c r="AJ61" t="s">
        <v>344</v>
      </c>
      <c r="AK61" t="s">
        <v>407</v>
      </c>
      <c r="AL61" t="s">
        <v>279</v>
      </c>
      <c r="AM61" t="s">
        <v>407</v>
      </c>
      <c r="AN61" t="s">
        <v>408</v>
      </c>
      <c r="AO61" t="s">
        <v>407</v>
      </c>
      <c r="AP61" t="s">
        <v>53</v>
      </c>
      <c r="AQ61" t="s">
        <v>407</v>
      </c>
      <c r="AR61" t="s">
        <v>408</v>
      </c>
      <c r="AS61" t="s">
        <v>407</v>
      </c>
      <c r="AT61" t="s">
        <v>407</v>
      </c>
      <c r="AU61" t="s">
        <v>409</v>
      </c>
      <c r="AV61" t="s">
        <v>409</v>
      </c>
      <c r="AW61" t="str">
        <f t="shared" si="0"/>
        <v>#if(J33#"JE","JE",if(J33#"Drilled","JC",""))</v>
      </c>
      <c r="BC61" t="s">
        <v>427</v>
      </c>
      <c r="BJ61" t="s">
        <v>490</v>
      </c>
      <c r="BQ61" t="s">
        <v>600</v>
      </c>
      <c r="BR61" t="s">
        <v>346</v>
      </c>
      <c r="BS61" t="s">
        <v>550</v>
      </c>
      <c r="BT61" t="s">
        <v>596</v>
      </c>
      <c r="BU61" t="s">
        <v>407</v>
      </c>
      <c r="BV61" t="s">
        <v>157</v>
      </c>
      <c r="BW61" t="s">
        <v>407</v>
      </c>
      <c r="BX61" t="s">
        <v>408</v>
      </c>
      <c r="BY61" t="s">
        <v>407</v>
      </c>
      <c r="BZ61" t="s">
        <v>80</v>
      </c>
      <c r="CA61" t="s">
        <v>407</v>
      </c>
      <c r="CB61" t="s">
        <v>408</v>
      </c>
      <c r="CC61" t="s">
        <v>597</v>
      </c>
      <c r="CD61" t="s">
        <v>346</v>
      </c>
      <c r="CE61" t="s">
        <v>550</v>
      </c>
      <c r="CF61" t="s">
        <v>596</v>
      </c>
      <c r="CG61" s="32" t="s">
        <v>407</v>
      </c>
      <c r="CH61" t="s">
        <v>411</v>
      </c>
      <c r="CI61" t="s">
        <v>407</v>
      </c>
      <c r="CJ61" t="s">
        <v>408</v>
      </c>
      <c r="CK61" s="32" t="s">
        <v>407</v>
      </c>
      <c r="CL61" t="s">
        <v>29</v>
      </c>
      <c r="CM61" t="s">
        <v>407</v>
      </c>
      <c r="CN61" t="s">
        <v>408</v>
      </c>
      <c r="CO61" t="s">
        <v>597</v>
      </c>
      <c r="CP61" t="s">
        <v>346</v>
      </c>
      <c r="CQ61" t="s">
        <v>550</v>
      </c>
      <c r="CR61" t="s">
        <v>596</v>
      </c>
      <c r="CS61" s="32" t="s">
        <v>407</v>
      </c>
      <c r="CT61" t="s">
        <v>475</v>
      </c>
      <c r="CU61" t="s">
        <v>407</v>
      </c>
      <c r="CV61" t="s">
        <v>408</v>
      </c>
      <c r="CW61" s="32" t="s">
        <v>407</v>
      </c>
      <c r="CX61" t="s">
        <v>83</v>
      </c>
      <c r="CY61" t="s">
        <v>407</v>
      </c>
      <c r="CZ61" t="s">
        <v>408</v>
      </c>
      <c r="DA61" t="s">
        <v>407</v>
      </c>
      <c r="DB61" t="s">
        <v>598</v>
      </c>
      <c r="DC61" t="s">
        <v>407</v>
      </c>
      <c r="DD61" t="s">
        <v>599</v>
      </c>
      <c r="DE61" t="str">
        <f t="shared" si="1"/>
        <v>%IF(K33%"Poplar","PAINT",IF(K33%"Red Oak","SGO",IF(K33%"Maple","SM","SPPN")))</v>
      </c>
      <c r="DO61" t="s">
        <v>486</v>
      </c>
    </row>
    <row r="62" spans="6:119" x14ac:dyDescent="0.25">
      <c r="F62" t="s">
        <v>173</v>
      </c>
      <c r="H62" t="s">
        <v>233</v>
      </c>
      <c r="M62" t="s">
        <v>295</v>
      </c>
      <c r="O62" t="s">
        <v>341</v>
      </c>
      <c r="T62" t="s">
        <v>344</v>
      </c>
      <c r="U62" t="s">
        <v>345</v>
      </c>
      <c r="V62" t="s">
        <v>346</v>
      </c>
      <c r="W62" t="s">
        <v>361</v>
      </c>
      <c r="X62" t="s">
        <v>344</v>
      </c>
      <c r="Y62" t="s">
        <v>407</v>
      </c>
      <c r="Z62" t="s">
        <v>27</v>
      </c>
      <c r="AA62" t="s">
        <v>407</v>
      </c>
      <c r="AB62" t="s">
        <v>408</v>
      </c>
      <c r="AC62" t="s">
        <v>407</v>
      </c>
      <c r="AD62" t="s">
        <v>27</v>
      </c>
      <c r="AE62" t="s">
        <v>407</v>
      </c>
      <c r="AF62" t="s">
        <v>408</v>
      </c>
      <c r="AG62" t="s">
        <v>345</v>
      </c>
      <c r="AH62" t="s">
        <v>346</v>
      </c>
      <c r="AI62" t="s">
        <v>361</v>
      </c>
      <c r="AJ62" t="s">
        <v>344</v>
      </c>
      <c r="AK62" t="s">
        <v>407</v>
      </c>
      <c r="AL62" t="s">
        <v>279</v>
      </c>
      <c r="AM62" t="s">
        <v>407</v>
      </c>
      <c r="AN62" t="s">
        <v>408</v>
      </c>
      <c r="AO62" t="s">
        <v>407</v>
      </c>
      <c r="AP62" t="s">
        <v>53</v>
      </c>
      <c r="AQ62" t="s">
        <v>407</v>
      </c>
      <c r="AR62" t="s">
        <v>408</v>
      </c>
      <c r="AS62" t="s">
        <v>407</v>
      </c>
      <c r="AT62" t="s">
        <v>407</v>
      </c>
      <c r="AU62" t="s">
        <v>409</v>
      </c>
      <c r="AV62" t="s">
        <v>409</v>
      </c>
      <c r="AW62" t="str">
        <f t="shared" si="0"/>
        <v>#if(J33#"JE","JE",if(J33#"Drilled","JC",""))</v>
      </c>
      <c r="BC62" t="s">
        <v>427</v>
      </c>
      <c r="BJ62" t="s">
        <v>490</v>
      </c>
      <c r="BQ62" t="s">
        <v>600</v>
      </c>
      <c r="BR62" t="s">
        <v>346</v>
      </c>
      <c r="BS62" t="s">
        <v>550</v>
      </c>
      <c r="BT62" t="s">
        <v>596</v>
      </c>
      <c r="BU62" t="s">
        <v>407</v>
      </c>
      <c r="BV62" t="s">
        <v>157</v>
      </c>
      <c r="BW62" t="s">
        <v>407</v>
      </c>
      <c r="BX62" t="s">
        <v>408</v>
      </c>
      <c r="BY62" t="s">
        <v>407</v>
      </c>
      <c r="BZ62" t="s">
        <v>80</v>
      </c>
      <c r="CA62" t="s">
        <v>407</v>
      </c>
      <c r="CB62" t="s">
        <v>408</v>
      </c>
      <c r="CC62" t="s">
        <v>597</v>
      </c>
      <c r="CD62" t="s">
        <v>346</v>
      </c>
      <c r="CE62" t="s">
        <v>550</v>
      </c>
      <c r="CF62" t="s">
        <v>596</v>
      </c>
      <c r="CG62" s="32" t="s">
        <v>407</v>
      </c>
      <c r="CH62" t="s">
        <v>411</v>
      </c>
      <c r="CI62" t="s">
        <v>407</v>
      </c>
      <c r="CJ62" t="s">
        <v>408</v>
      </c>
      <c r="CK62" s="32" t="s">
        <v>407</v>
      </c>
      <c r="CL62" t="s">
        <v>29</v>
      </c>
      <c r="CM62" t="s">
        <v>407</v>
      </c>
      <c r="CN62" t="s">
        <v>408</v>
      </c>
      <c r="CO62" t="s">
        <v>597</v>
      </c>
      <c r="CP62" t="s">
        <v>346</v>
      </c>
      <c r="CQ62" t="s">
        <v>550</v>
      </c>
      <c r="CR62" t="s">
        <v>596</v>
      </c>
      <c r="CS62" s="32" t="s">
        <v>407</v>
      </c>
      <c r="CT62" t="s">
        <v>475</v>
      </c>
      <c r="CU62" t="s">
        <v>407</v>
      </c>
      <c r="CV62" t="s">
        <v>408</v>
      </c>
      <c r="CW62" s="32" t="s">
        <v>407</v>
      </c>
      <c r="CX62" t="s">
        <v>83</v>
      </c>
      <c r="CY62" t="s">
        <v>407</v>
      </c>
      <c r="CZ62" t="s">
        <v>408</v>
      </c>
      <c r="DA62" t="s">
        <v>407</v>
      </c>
      <c r="DB62" t="s">
        <v>598</v>
      </c>
      <c r="DC62" t="s">
        <v>407</v>
      </c>
      <c r="DD62" t="s">
        <v>599</v>
      </c>
      <c r="DE62" t="str">
        <f t="shared" si="1"/>
        <v>%IF(K33%"Poplar","PAINT",IF(K33%"Red Oak","SGO",IF(K33%"Maple","SM","SPPN")))</v>
      </c>
      <c r="DO62" t="s">
        <v>486</v>
      </c>
    </row>
    <row r="63" spans="6:119" x14ac:dyDescent="0.25">
      <c r="F63" t="s">
        <v>173</v>
      </c>
      <c r="H63" t="s">
        <v>233</v>
      </c>
      <c r="M63" t="s">
        <v>295</v>
      </c>
      <c r="O63" t="s">
        <v>341</v>
      </c>
      <c r="T63" t="s">
        <v>344</v>
      </c>
      <c r="U63" t="s">
        <v>345</v>
      </c>
      <c r="V63" t="s">
        <v>346</v>
      </c>
      <c r="W63" t="s">
        <v>361</v>
      </c>
      <c r="X63" t="s">
        <v>344</v>
      </c>
      <c r="Y63" t="s">
        <v>407</v>
      </c>
      <c r="Z63" t="s">
        <v>27</v>
      </c>
      <c r="AA63" t="s">
        <v>407</v>
      </c>
      <c r="AB63" t="s">
        <v>408</v>
      </c>
      <c r="AC63" t="s">
        <v>407</v>
      </c>
      <c r="AD63" t="s">
        <v>27</v>
      </c>
      <c r="AE63" t="s">
        <v>407</v>
      </c>
      <c r="AF63" t="s">
        <v>408</v>
      </c>
      <c r="AG63" t="s">
        <v>345</v>
      </c>
      <c r="AH63" t="s">
        <v>346</v>
      </c>
      <c r="AI63" t="s">
        <v>361</v>
      </c>
      <c r="AJ63" t="s">
        <v>344</v>
      </c>
      <c r="AK63" t="s">
        <v>407</v>
      </c>
      <c r="AL63" t="s">
        <v>279</v>
      </c>
      <c r="AM63" t="s">
        <v>407</v>
      </c>
      <c r="AN63" t="s">
        <v>408</v>
      </c>
      <c r="AO63" t="s">
        <v>407</v>
      </c>
      <c r="AP63" t="s">
        <v>53</v>
      </c>
      <c r="AQ63" t="s">
        <v>407</v>
      </c>
      <c r="AR63" t="s">
        <v>408</v>
      </c>
      <c r="AS63" t="s">
        <v>407</v>
      </c>
      <c r="AT63" t="s">
        <v>407</v>
      </c>
      <c r="AU63" t="s">
        <v>409</v>
      </c>
      <c r="AV63" t="s">
        <v>409</v>
      </c>
      <c r="AW63" t="str">
        <f t="shared" si="0"/>
        <v>#if(J33#"JE","JE",if(J33#"Drilled","JC",""))</v>
      </c>
      <c r="BC63" t="s">
        <v>427</v>
      </c>
      <c r="BJ63" t="s">
        <v>490</v>
      </c>
      <c r="BQ63" t="s">
        <v>600</v>
      </c>
      <c r="BR63" t="s">
        <v>346</v>
      </c>
      <c r="BS63" t="s">
        <v>550</v>
      </c>
      <c r="BT63" t="s">
        <v>596</v>
      </c>
      <c r="BU63" t="s">
        <v>407</v>
      </c>
      <c r="BV63" t="s">
        <v>157</v>
      </c>
      <c r="BW63" t="s">
        <v>407</v>
      </c>
      <c r="BX63" t="s">
        <v>408</v>
      </c>
      <c r="BY63" t="s">
        <v>407</v>
      </c>
      <c r="BZ63" t="s">
        <v>80</v>
      </c>
      <c r="CA63" t="s">
        <v>407</v>
      </c>
      <c r="CB63" t="s">
        <v>408</v>
      </c>
      <c r="CC63" t="s">
        <v>597</v>
      </c>
      <c r="CD63" t="s">
        <v>346</v>
      </c>
      <c r="CE63" t="s">
        <v>550</v>
      </c>
      <c r="CF63" t="s">
        <v>596</v>
      </c>
      <c r="CG63" s="32" t="s">
        <v>407</v>
      </c>
      <c r="CH63" t="s">
        <v>411</v>
      </c>
      <c r="CI63" t="s">
        <v>407</v>
      </c>
      <c r="CJ63" t="s">
        <v>408</v>
      </c>
      <c r="CK63" s="32" t="s">
        <v>407</v>
      </c>
      <c r="CL63" t="s">
        <v>29</v>
      </c>
      <c r="CM63" t="s">
        <v>407</v>
      </c>
      <c r="CN63" t="s">
        <v>408</v>
      </c>
      <c r="CO63" t="s">
        <v>597</v>
      </c>
      <c r="CP63" t="s">
        <v>346</v>
      </c>
      <c r="CQ63" t="s">
        <v>550</v>
      </c>
      <c r="CR63" t="s">
        <v>596</v>
      </c>
      <c r="CS63" s="32" t="s">
        <v>407</v>
      </c>
      <c r="CT63" t="s">
        <v>475</v>
      </c>
      <c r="CU63" t="s">
        <v>407</v>
      </c>
      <c r="CV63" t="s">
        <v>408</v>
      </c>
      <c r="CW63" s="32" t="s">
        <v>407</v>
      </c>
      <c r="CX63" t="s">
        <v>83</v>
      </c>
      <c r="CY63" t="s">
        <v>407</v>
      </c>
      <c r="CZ63" t="s">
        <v>408</v>
      </c>
      <c r="DA63" t="s">
        <v>407</v>
      </c>
      <c r="DB63" t="s">
        <v>598</v>
      </c>
      <c r="DC63" t="s">
        <v>407</v>
      </c>
      <c r="DD63" t="s">
        <v>599</v>
      </c>
      <c r="DE63" t="str">
        <f t="shared" si="1"/>
        <v>%IF(K33%"Poplar","PAINT",IF(K33%"Red Oak","SGO",IF(K33%"Maple","SM","SPPN")))</v>
      </c>
      <c r="DO63" t="s">
        <v>487</v>
      </c>
    </row>
    <row r="64" spans="6:119" x14ac:dyDescent="0.25">
      <c r="F64" t="s">
        <v>173</v>
      </c>
      <c r="H64" t="s">
        <v>233</v>
      </c>
      <c r="M64" t="s">
        <v>295</v>
      </c>
      <c r="O64" t="s">
        <v>341</v>
      </c>
      <c r="T64" t="s">
        <v>344</v>
      </c>
      <c r="U64" t="s">
        <v>345</v>
      </c>
      <c r="V64" t="s">
        <v>346</v>
      </c>
      <c r="W64" t="s">
        <v>361</v>
      </c>
      <c r="X64" t="s">
        <v>344</v>
      </c>
      <c r="Y64" t="s">
        <v>407</v>
      </c>
      <c r="Z64" t="s">
        <v>27</v>
      </c>
      <c r="AA64" t="s">
        <v>407</v>
      </c>
      <c r="AB64" t="s">
        <v>408</v>
      </c>
      <c r="AC64" t="s">
        <v>407</v>
      </c>
      <c r="AD64" t="s">
        <v>27</v>
      </c>
      <c r="AE64" t="s">
        <v>407</v>
      </c>
      <c r="AF64" t="s">
        <v>408</v>
      </c>
      <c r="AG64" t="s">
        <v>345</v>
      </c>
      <c r="AH64" t="s">
        <v>346</v>
      </c>
      <c r="AI64" t="s">
        <v>361</v>
      </c>
      <c r="AJ64" t="s">
        <v>344</v>
      </c>
      <c r="AK64" t="s">
        <v>407</v>
      </c>
      <c r="AL64" t="s">
        <v>279</v>
      </c>
      <c r="AM64" t="s">
        <v>407</v>
      </c>
      <c r="AN64" t="s">
        <v>408</v>
      </c>
      <c r="AO64" t="s">
        <v>407</v>
      </c>
      <c r="AP64" t="s">
        <v>53</v>
      </c>
      <c r="AQ64" t="s">
        <v>407</v>
      </c>
      <c r="AR64" t="s">
        <v>408</v>
      </c>
      <c r="AS64" t="s">
        <v>407</v>
      </c>
      <c r="AT64" t="s">
        <v>407</v>
      </c>
      <c r="AU64" t="s">
        <v>409</v>
      </c>
      <c r="AV64" t="s">
        <v>409</v>
      </c>
      <c r="AW64" t="str">
        <f t="shared" si="0"/>
        <v>#if(J33#"JE","JE",if(J33#"Drilled","JC",""))</v>
      </c>
      <c r="BC64" t="s">
        <v>427</v>
      </c>
      <c r="BJ64" t="s">
        <v>490</v>
      </c>
      <c r="BQ64" t="s">
        <v>600</v>
      </c>
      <c r="BR64" t="s">
        <v>346</v>
      </c>
      <c r="BS64" t="s">
        <v>550</v>
      </c>
      <c r="BT64" t="s">
        <v>596</v>
      </c>
      <c r="BU64" t="s">
        <v>407</v>
      </c>
      <c r="BV64" t="s">
        <v>157</v>
      </c>
      <c r="BW64" t="s">
        <v>407</v>
      </c>
      <c r="BX64" t="s">
        <v>408</v>
      </c>
      <c r="BY64" t="s">
        <v>407</v>
      </c>
      <c r="BZ64" t="s">
        <v>80</v>
      </c>
      <c r="CA64" t="s">
        <v>407</v>
      </c>
      <c r="CB64" t="s">
        <v>408</v>
      </c>
      <c r="CC64" t="s">
        <v>597</v>
      </c>
      <c r="CD64" t="s">
        <v>346</v>
      </c>
      <c r="CE64" t="s">
        <v>550</v>
      </c>
      <c r="CF64" t="s">
        <v>596</v>
      </c>
      <c r="CG64" s="32" t="s">
        <v>407</v>
      </c>
      <c r="CH64" t="s">
        <v>411</v>
      </c>
      <c r="CI64" t="s">
        <v>407</v>
      </c>
      <c r="CJ64" t="s">
        <v>408</v>
      </c>
      <c r="CK64" s="32" t="s">
        <v>407</v>
      </c>
      <c r="CL64" t="s">
        <v>29</v>
      </c>
      <c r="CM64" t="s">
        <v>407</v>
      </c>
      <c r="CN64" t="s">
        <v>408</v>
      </c>
      <c r="CO64" t="s">
        <v>597</v>
      </c>
      <c r="CP64" t="s">
        <v>346</v>
      </c>
      <c r="CQ64" t="s">
        <v>550</v>
      </c>
      <c r="CR64" t="s">
        <v>596</v>
      </c>
      <c r="CS64" s="32" t="s">
        <v>407</v>
      </c>
      <c r="CT64" t="s">
        <v>475</v>
      </c>
      <c r="CU64" t="s">
        <v>407</v>
      </c>
      <c r="CV64" t="s">
        <v>408</v>
      </c>
      <c r="CW64" s="32" t="s">
        <v>407</v>
      </c>
      <c r="CX64" t="s">
        <v>83</v>
      </c>
      <c r="CY64" t="s">
        <v>407</v>
      </c>
      <c r="CZ64" t="s">
        <v>408</v>
      </c>
      <c r="DA64" t="s">
        <v>407</v>
      </c>
      <c r="DB64" t="s">
        <v>598</v>
      </c>
      <c r="DC64" t="s">
        <v>407</v>
      </c>
      <c r="DD64" t="s">
        <v>599</v>
      </c>
      <c r="DE64" t="str">
        <f t="shared" si="1"/>
        <v>%IF(K33%"Poplar","PAINT",IF(K33%"Red Oak","SGO",IF(K33%"Maple","SM","SPPN")))</v>
      </c>
      <c r="DO64" t="s">
        <v>487</v>
      </c>
    </row>
    <row r="65" spans="6:119" x14ac:dyDescent="0.25">
      <c r="F65" t="s">
        <v>174</v>
      </c>
      <c r="H65" t="s">
        <v>234</v>
      </c>
      <c r="M65" t="s">
        <v>296</v>
      </c>
      <c r="O65" t="s">
        <v>341</v>
      </c>
      <c r="T65" t="s">
        <v>344</v>
      </c>
      <c r="U65" t="s">
        <v>345</v>
      </c>
      <c r="V65" t="s">
        <v>346</v>
      </c>
      <c r="W65" t="s">
        <v>362</v>
      </c>
      <c r="X65" t="s">
        <v>344</v>
      </c>
      <c r="Y65" t="s">
        <v>407</v>
      </c>
      <c r="Z65" t="s">
        <v>27</v>
      </c>
      <c r="AA65" t="s">
        <v>407</v>
      </c>
      <c r="AB65" t="s">
        <v>408</v>
      </c>
      <c r="AC65" t="s">
        <v>407</v>
      </c>
      <c r="AD65" t="s">
        <v>27</v>
      </c>
      <c r="AE65" t="s">
        <v>407</v>
      </c>
      <c r="AF65" t="s">
        <v>408</v>
      </c>
      <c r="AG65" t="s">
        <v>345</v>
      </c>
      <c r="AH65" t="s">
        <v>346</v>
      </c>
      <c r="AI65" t="s">
        <v>362</v>
      </c>
      <c r="AJ65" t="s">
        <v>344</v>
      </c>
      <c r="AK65" t="s">
        <v>407</v>
      </c>
      <c r="AL65" t="s">
        <v>279</v>
      </c>
      <c r="AM65" t="s">
        <v>407</v>
      </c>
      <c r="AN65" t="s">
        <v>408</v>
      </c>
      <c r="AO65" t="s">
        <v>407</v>
      </c>
      <c r="AP65" t="s">
        <v>53</v>
      </c>
      <c r="AQ65" t="s">
        <v>407</v>
      </c>
      <c r="AR65" t="s">
        <v>408</v>
      </c>
      <c r="AS65" t="s">
        <v>407</v>
      </c>
      <c r="AT65" t="s">
        <v>407</v>
      </c>
      <c r="AU65" t="s">
        <v>409</v>
      </c>
      <c r="AV65" t="s">
        <v>409</v>
      </c>
      <c r="AW65" t="str">
        <f t="shared" si="0"/>
        <v>#if(J34#"JE","JE",if(J34#"Drilled","JC",""))</v>
      </c>
      <c r="BC65" t="s">
        <v>428</v>
      </c>
      <c r="BJ65" t="s">
        <v>491</v>
      </c>
      <c r="BQ65" t="s">
        <v>600</v>
      </c>
      <c r="BR65" t="s">
        <v>346</v>
      </c>
      <c r="BS65" t="s">
        <v>551</v>
      </c>
      <c r="BT65" t="s">
        <v>596</v>
      </c>
      <c r="BU65" t="s">
        <v>407</v>
      </c>
      <c r="BV65" t="s">
        <v>157</v>
      </c>
      <c r="BW65" t="s">
        <v>407</v>
      </c>
      <c r="BX65" t="s">
        <v>408</v>
      </c>
      <c r="BY65" t="s">
        <v>407</v>
      </c>
      <c r="BZ65" t="s">
        <v>80</v>
      </c>
      <c r="CA65" t="s">
        <v>407</v>
      </c>
      <c r="CB65" t="s">
        <v>408</v>
      </c>
      <c r="CC65" t="s">
        <v>597</v>
      </c>
      <c r="CD65" t="s">
        <v>346</v>
      </c>
      <c r="CE65" t="s">
        <v>551</v>
      </c>
      <c r="CF65" t="s">
        <v>596</v>
      </c>
      <c r="CG65" s="32" t="s">
        <v>407</v>
      </c>
      <c r="CH65" t="s">
        <v>411</v>
      </c>
      <c r="CI65" t="s">
        <v>407</v>
      </c>
      <c r="CJ65" t="s">
        <v>408</v>
      </c>
      <c r="CK65" s="32" t="s">
        <v>407</v>
      </c>
      <c r="CL65" t="s">
        <v>29</v>
      </c>
      <c r="CM65" t="s">
        <v>407</v>
      </c>
      <c r="CN65" t="s">
        <v>408</v>
      </c>
      <c r="CO65" t="s">
        <v>597</v>
      </c>
      <c r="CP65" t="s">
        <v>346</v>
      </c>
      <c r="CQ65" t="s">
        <v>551</v>
      </c>
      <c r="CR65" t="s">
        <v>596</v>
      </c>
      <c r="CS65" s="32" t="s">
        <v>407</v>
      </c>
      <c r="CT65" t="s">
        <v>475</v>
      </c>
      <c r="CU65" t="s">
        <v>407</v>
      </c>
      <c r="CV65" t="s">
        <v>408</v>
      </c>
      <c r="CW65" s="32" t="s">
        <v>407</v>
      </c>
      <c r="CX65" t="s">
        <v>83</v>
      </c>
      <c r="CY65" t="s">
        <v>407</v>
      </c>
      <c r="CZ65" t="s">
        <v>408</v>
      </c>
      <c r="DA65" t="s">
        <v>407</v>
      </c>
      <c r="DB65" t="s">
        <v>598</v>
      </c>
      <c r="DC65" t="s">
        <v>407</v>
      </c>
      <c r="DD65" t="s">
        <v>599</v>
      </c>
      <c r="DE65" t="str">
        <f t="shared" si="1"/>
        <v>%IF(K34%"Poplar","PAINT",IF(K34%"Red Oak","SGO",IF(K34%"Maple","SM","SPPN")))</v>
      </c>
      <c r="DO65" t="s">
        <v>487</v>
      </c>
    </row>
    <row r="66" spans="6:119" x14ac:dyDescent="0.25">
      <c r="F66" t="s">
        <v>174</v>
      </c>
      <c r="H66" t="s">
        <v>234</v>
      </c>
      <c r="M66" t="s">
        <v>296</v>
      </c>
      <c r="O66" t="s">
        <v>341</v>
      </c>
      <c r="T66" t="s">
        <v>344</v>
      </c>
      <c r="U66" t="s">
        <v>345</v>
      </c>
      <c r="V66" t="s">
        <v>346</v>
      </c>
      <c r="W66" t="s">
        <v>362</v>
      </c>
      <c r="X66" t="s">
        <v>344</v>
      </c>
      <c r="Y66" t="s">
        <v>407</v>
      </c>
      <c r="Z66" t="s">
        <v>27</v>
      </c>
      <c r="AA66" t="s">
        <v>407</v>
      </c>
      <c r="AB66" t="s">
        <v>408</v>
      </c>
      <c r="AC66" t="s">
        <v>407</v>
      </c>
      <c r="AD66" t="s">
        <v>27</v>
      </c>
      <c r="AE66" t="s">
        <v>407</v>
      </c>
      <c r="AF66" t="s">
        <v>408</v>
      </c>
      <c r="AG66" t="s">
        <v>345</v>
      </c>
      <c r="AH66" t="s">
        <v>346</v>
      </c>
      <c r="AI66" t="s">
        <v>362</v>
      </c>
      <c r="AJ66" t="s">
        <v>344</v>
      </c>
      <c r="AK66" t="s">
        <v>407</v>
      </c>
      <c r="AL66" t="s">
        <v>279</v>
      </c>
      <c r="AM66" t="s">
        <v>407</v>
      </c>
      <c r="AN66" t="s">
        <v>408</v>
      </c>
      <c r="AO66" t="s">
        <v>407</v>
      </c>
      <c r="AP66" t="s">
        <v>53</v>
      </c>
      <c r="AQ66" t="s">
        <v>407</v>
      </c>
      <c r="AR66" t="s">
        <v>408</v>
      </c>
      <c r="AS66" t="s">
        <v>407</v>
      </c>
      <c r="AT66" t="s">
        <v>407</v>
      </c>
      <c r="AU66" t="s">
        <v>409</v>
      </c>
      <c r="AV66" t="s">
        <v>409</v>
      </c>
      <c r="AW66" t="str">
        <f t="shared" si="0"/>
        <v>#if(J34#"JE","JE",if(J34#"Drilled","JC",""))</v>
      </c>
      <c r="BC66" t="s">
        <v>428</v>
      </c>
      <c r="BJ66" t="s">
        <v>491</v>
      </c>
      <c r="BQ66" t="s">
        <v>600</v>
      </c>
      <c r="BR66" t="s">
        <v>346</v>
      </c>
      <c r="BS66" t="s">
        <v>551</v>
      </c>
      <c r="BT66" t="s">
        <v>596</v>
      </c>
      <c r="BU66" t="s">
        <v>407</v>
      </c>
      <c r="BV66" t="s">
        <v>157</v>
      </c>
      <c r="BW66" t="s">
        <v>407</v>
      </c>
      <c r="BX66" t="s">
        <v>408</v>
      </c>
      <c r="BY66" t="s">
        <v>407</v>
      </c>
      <c r="BZ66" t="s">
        <v>80</v>
      </c>
      <c r="CA66" t="s">
        <v>407</v>
      </c>
      <c r="CB66" t="s">
        <v>408</v>
      </c>
      <c r="CC66" t="s">
        <v>597</v>
      </c>
      <c r="CD66" t="s">
        <v>346</v>
      </c>
      <c r="CE66" t="s">
        <v>551</v>
      </c>
      <c r="CF66" t="s">
        <v>596</v>
      </c>
      <c r="CG66" s="32" t="s">
        <v>407</v>
      </c>
      <c r="CH66" t="s">
        <v>411</v>
      </c>
      <c r="CI66" t="s">
        <v>407</v>
      </c>
      <c r="CJ66" t="s">
        <v>408</v>
      </c>
      <c r="CK66" s="32" t="s">
        <v>407</v>
      </c>
      <c r="CL66" t="s">
        <v>29</v>
      </c>
      <c r="CM66" t="s">
        <v>407</v>
      </c>
      <c r="CN66" t="s">
        <v>408</v>
      </c>
      <c r="CO66" t="s">
        <v>597</v>
      </c>
      <c r="CP66" t="s">
        <v>346</v>
      </c>
      <c r="CQ66" t="s">
        <v>551</v>
      </c>
      <c r="CR66" t="s">
        <v>596</v>
      </c>
      <c r="CS66" s="32" t="s">
        <v>407</v>
      </c>
      <c r="CT66" t="s">
        <v>475</v>
      </c>
      <c r="CU66" t="s">
        <v>407</v>
      </c>
      <c r="CV66" t="s">
        <v>408</v>
      </c>
      <c r="CW66" s="32" t="s">
        <v>407</v>
      </c>
      <c r="CX66" t="s">
        <v>83</v>
      </c>
      <c r="CY66" t="s">
        <v>407</v>
      </c>
      <c r="CZ66" t="s">
        <v>408</v>
      </c>
      <c r="DA66" t="s">
        <v>407</v>
      </c>
      <c r="DB66" t="s">
        <v>598</v>
      </c>
      <c r="DC66" t="s">
        <v>407</v>
      </c>
      <c r="DD66" t="s">
        <v>599</v>
      </c>
      <c r="DE66" t="str">
        <f t="shared" si="1"/>
        <v>%IF(K34%"Poplar","PAINT",IF(K34%"Red Oak","SGO",IF(K34%"Maple","SM","SPPN")))</v>
      </c>
      <c r="DO66" t="s">
        <v>487</v>
      </c>
    </row>
    <row r="67" spans="6:119" x14ac:dyDescent="0.25">
      <c r="F67" t="s">
        <v>174</v>
      </c>
      <c r="H67" t="s">
        <v>234</v>
      </c>
      <c r="M67" t="s">
        <v>296</v>
      </c>
      <c r="O67" t="s">
        <v>341</v>
      </c>
      <c r="T67" t="s">
        <v>344</v>
      </c>
      <c r="U67" t="s">
        <v>345</v>
      </c>
      <c r="V67" t="s">
        <v>346</v>
      </c>
      <c r="W67" t="s">
        <v>362</v>
      </c>
      <c r="X67" t="s">
        <v>344</v>
      </c>
      <c r="Y67" t="s">
        <v>407</v>
      </c>
      <c r="Z67" t="s">
        <v>27</v>
      </c>
      <c r="AA67" t="s">
        <v>407</v>
      </c>
      <c r="AB67" t="s">
        <v>408</v>
      </c>
      <c r="AC67" t="s">
        <v>407</v>
      </c>
      <c r="AD67" t="s">
        <v>27</v>
      </c>
      <c r="AE67" t="s">
        <v>407</v>
      </c>
      <c r="AF67" t="s">
        <v>408</v>
      </c>
      <c r="AG67" t="s">
        <v>345</v>
      </c>
      <c r="AH67" t="s">
        <v>346</v>
      </c>
      <c r="AI67" t="s">
        <v>362</v>
      </c>
      <c r="AJ67" t="s">
        <v>344</v>
      </c>
      <c r="AK67" t="s">
        <v>407</v>
      </c>
      <c r="AL67" t="s">
        <v>279</v>
      </c>
      <c r="AM67" t="s">
        <v>407</v>
      </c>
      <c r="AN67" t="s">
        <v>408</v>
      </c>
      <c r="AO67" t="s">
        <v>407</v>
      </c>
      <c r="AP67" t="s">
        <v>53</v>
      </c>
      <c r="AQ67" t="s">
        <v>407</v>
      </c>
      <c r="AR67" t="s">
        <v>408</v>
      </c>
      <c r="AS67" t="s">
        <v>407</v>
      </c>
      <c r="AT67" t="s">
        <v>407</v>
      </c>
      <c r="AU67" t="s">
        <v>409</v>
      </c>
      <c r="AV67" t="s">
        <v>409</v>
      </c>
      <c r="AW67" t="str">
        <f t="shared" si="0"/>
        <v>#if(J34#"JE","JE",if(J34#"Drilled","JC",""))</v>
      </c>
      <c r="BC67" t="s">
        <v>428</v>
      </c>
      <c r="BJ67" t="s">
        <v>491</v>
      </c>
      <c r="BQ67" t="s">
        <v>600</v>
      </c>
      <c r="BR67" t="s">
        <v>346</v>
      </c>
      <c r="BS67" t="s">
        <v>551</v>
      </c>
      <c r="BT67" t="s">
        <v>596</v>
      </c>
      <c r="BU67" t="s">
        <v>407</v>
      </c>
      <c r="BV67" t="s">
        <v>157</v>
      </c>
      <c r="BW67" t="s">
        <v>407</v>
      </c>
      <c r="BX67" t="s">
        <v>408</v>
      </c>
      <c r="BY67" t="s">
        <v>407</v>
      </c>
      <c r="BZ67" t="s">
        <v>80</v>
      </c>
      <c r="CA67" t="s">
        <v>407</v>
      </c>
      <c r="CB67" t="s">
        <v>408</v>
      </c>
      <c r="CC67" t="s">
        <v>597</v>
      </c>
      <c r="CD67" t="s">
        <v>346</v>
      </c>
      <c r="CE67" t="s">
        <v>551</v>
      </c>
      <c r="CF67" t="s">
        <v>596</v>
      </c>
      <c r="CG67" s="32" t="s">
        <v>407</v>
      </c>
      <c r="CH67" t="s">
        <v>411</v>
      </c>
      <c r="CI67" t="s">
        <v>407</v>
      </c>
      <c r="CJ67" t="s">
        <v>408</v>
      </c>
      <c r="CK67" s="32" t="s">
        <v>407</v>
      </c>
      <c r="CL67" t="s">
        <v>29</v>
      </c>
      <c r="CM67" t="s">
        <v>407</v>
      </c>
      <c r="CN67" t="s">
        <v>408</v>
      </c>
      <c r="CO67" t="s">
        <v>597</v>
      </c>
      <c r="CP67" t="s">
        <v>346</v>
      </c>
      <c r="CQ67" t="s">
        <v>551</v>
      </c>
      <c r="CR67" t="s">
        <v>596</v>
      </c>
      <c r="CS67" s="32" t="s">
        <v>407</v>
      </c>
      <c r="CT67" t="s">
        <v>475</v>
      </c>
      <c r="CU67" t="s">
        <v>407</v>
      </c>
      <c r="CV67" t="s">
        <v>408</v>
      </c>
      <c r="CW67" s="32" t="s">
        <v>407</v>
      </c>
      <c r="CX67" t="s">
        <v>83</v>
      </c>
      <c r="CY67" t="s">
        <v>407</v>
      </c>
      <c r="CZ67" t="s">
        <v>408</v>
      </c>
      <c r="DA67" t="s">
        <v>407</v>
      </c>
      <c r="DB67" t="s">
        <v>598</v>
      </c>
      <c r="DC67" t="s">
        <v>407</v>
      </c>
      <c r="DD67" t="s">
        <v>599</v>
      </c>
      <c r="DE67" t="str">
        <f t="shared" si="1"/>
        <v>%IF(K34%"Poplar","PAINT",IF(K34%"Red Oak","SGO",IF(K34%"Maple","SM","SPPN")))</v>
      </c>
      <c r="DO67" t="s">
        <v>488</v>
      </c>
    </row>
    <row r="68" spans="6:119" x14ac:dyDescent="0.25">
      <c r="F68" t="s">
        <v>174</v>
      </c>
      <c r="H68" t="s">
        <v>234</v>
      </c>
      <c r="M68" t="s">
        <v>296</v>
      </c>
      <c r="O68" t="s">
        <v>341</v>
      </c>
      <c r="T68" t="s">
        <v>344</v>
      </c>
      <c r="U68" t="s">
        <v>345</v>
      </c>
      <c r="V68" t="s">
        <v>346</v>
      </c>
      <c r="W68" t="s">
        <v>362</v>
      </c>
      <c r="X68" t="s">
        <v>344</v>
      </c>
      <c r="Y68" t="s">
        <v>407</v>
      </c>
      <c r="Z68" t="s">
        <v>27</v>
      </c>
      <c r="AA68" t="s">
        <v>407</v>
      </c>
      <c r="AB68" t="s">
        <v>408</v>
      </c>
      <c r="AC68" t="s">
        <v>407</v>
      </c>
      <c r="AD68" t="s">
        <v>27</v>
      </c>
      <c r="AE68" t="s">
        <v>407</v>
      </c>
      <c r="AF68" t="s">
        <v>408</v>
      </c>
      <c r="AG68" t="s">
        <v>345</v>
      </c>
      <c r="AH68" t="s">
        <v>346</v>
      </c>
      <c r="AI68" t="s">
        <v>362</v>
      </c>
      <c r="AJ68" t="s">
        <v>344</v>
      </c>
      <c r="AK68" t="s">
        <v>407</v>
      </c>
      <c r="AL68" t="s">
        <v>279</v>
      </c>
      <c r="AM68" t="s">
        <v>407</v>
      </c>
      <c r="AN68" t="s">
        <v>408</v>
      </c>
      <c r="AO68" t="s">
        <v>407</v>
      </c>
      <c r="AP68" t="s">
        <v>53</v>
      </c>
      <c r="AQ68" t="s">
        <v>407</v>
      </c>
      <c r="AR68" t="s">
        <v>408</v>
      </c>
      <c r="AS68" t="s">
        <v>407</v>
      </c>
      <c r="AT68" t="s">
        <v>407</v>
      </c>
      <c r="AU68" t="s">
        <v>409</v>
      </c>
      <c r="AV68" t="s">
        <v>409</v>
      </c>
      <c r="AW68" t="str">
        <f t="shared" si="0"/>
        <v>#if(J34#"JE","JE",if(J34#"Drilled","JC",""))</v>
      </c>
      <c r="BC68" t="s">
        <v>428</v>
      </c>
      <c r="BJ68" t="s">
        <v>491</v>
      </c>
      <c r="BQ68" t="s">
        <v>600</v>
      </c>
      <c r="BR68" t="s">
        <v>346</v>
      </c>
      <c r="BS68" t="s">
        <v>551</v>
      </c>
      <c r="BT68" t="s">
        <v>596</v>
      </c>
      <c r="BU68" t="s">
        <v>407</v>
      </c>
      <c r="BV68" t="s">
        <v>157</v>
      </c>
      <c r="BW68" t="s">
        <v>407</v>
      </c>
      <c r="BX68" t="s">
        <v>408</v>
      </c>
      <c r="BY68" t="s">
        <v>407</v>
      </c>
      <c r="BZ68" t="s">
        <v>80</v>
      </c>
      <c r="CA68" t="s">
        <v>407</v>
      </c>
      <c r="CB68" t="s">
        <v>408</v>
      </c>
      <c r="CC68" t="s">
        <v>597</v>
      </c>
      <c r="CD68" t="s">
        <v>346</v>
      </c>
      <c r="CE68" t="s">
        <v>551</v>
      </c>
      <c r="CF68" t="s">
        <v>596</v>
      </c>
      <c r="CG68" s="32" t="s">
        <v>407</v>
      </c>
      <c r="CH68" t="s">
        <v>411</v>
      </c>
      <c r="CI68" t="s">
        <v>407</v>
      </c>
      <c r="CJ68" t="s">
        <v>408</v>
      </c>
      <c r="CK68" s="32" t="s">
        <v>407</v>
      </c>
      <c r="CL68" t="s">
        <v>29</v>
      </c>
      <c r="CM68" t="s">
        <v>407</v>
      </c>
      <c r="CN68" t="s">
        <v>408</v>
      </c>
      <c r="CO68" t="s">
        <v>597</v>
      </c>
      <c r="CP68" t="s">
        <v>346</v>
      </c>
      <c r="CQ68" t="s">
        <v>551</v>
      </c>
      <c r="CR68" t="s">
        <v>596</v>
      </c>
      <c r="CS68" s="32" t="s">
        <v>407</v>
      </c>
      <c r="CT68" t="s">
        <v>475</v>
      </c>
      <c r="CU68" t="s">
        <v>407</v>
      </c>
      <c r="CV68" t="s">
        <v>408</v>
      </c>
      <c r="CW68" s="32" t="s">
        <v>407</v>
      </c>
      <c r="CX68" t="s">
        <v>83</v>
      </c>
      <c r="CY68" t="s">
        <v>407</v>
      </c>
      <c r="CZ68" t="s">
        <v>408</v>
      </c>
      <c r="DA68" t="s">
        <v>407</v>
      </c>
      <c r="DB68" t="s">
        <v>598</v>
      </c>
      <c r="DC68" t="s">
        <v>407</v>
      </c>
      <c r="DD68" t="s">
        <v>599</v>
      </c>
      <c r="DE68" t="str">
        <f t="shared" si="1"/>
        <v>%IF(K34%"Poplar","PAINT",IF(K34%"Red Oak","SGO",IF(K34%"Maple","SM","SPPN")))</v>
      </c>
      <c r="DO68" t="s">
        <v>488</v>
      </c>
    </row>
    <row r="69" spans="6:119" x14ac:dyDescent="0.25">
      <c r="F69" t="s">
        <v>175</v>
      </c>
      <c r="H69" t="s">
        <v>235</v>
      </c>
      <c r="M69" t="s">
        <v>297</v>
      </c>
      <c r="O69" t="s">
        <v>341</v>
      </c>
      <c r="T69" t="s">
        <v>344</v>
      </c>
      <c r="U69" t="s">
        <v>345</v>
      </c>
      <c r="V69" t="s">
        <v>346</v>
      </c>
      <c r="W69" t="s">
        <v>363</v>
      </c>
      <c r="X69" t="s">
        <v>344</v>
      </c>
      <c r="Y69" t="s">
        <v>407</v>
      </c>
      <c r="Z69" t="s">
        <v>27</v>
      </c>
      <c r="AA69" t="s">
        <v>407</v>
      </c>
      <c r="AB69" t="s">
        <v>408</v>
      </c>
      <c r="AC69" t="s">
        <v>407</v>
      </c>
      <c r="AD69" t="s">
        <v>27</v>
      </c>
      <c r="AE69" t="s">
        <v>407</v>
      </c>
      <c r="AF69" t="s">
        <v>408</v>
      </c>
      <c r="AG69" t="s">
        <v>345</v>
      </c>
      <c r="AH69" t="s">
        <v>346</v>
      </c>
      <c r="AI69" t="s">
        <v>363</v>
      </c>
      <c r="AJ69" t="s">
        <v>344</v>
      </c>
      <c r="AK69" t="s">
        <v>407</v>
      </c>
      <c r="AL69" t="s">
        <v>279</v>
      </c>
      <c r="AM69" t="s">
        <v>407</v>
      </c>
      <c r="AN69" t="s">
        <v>408</v>
      </c>
      <c r="AO69" t="s">
        <v>407</v>
      </c>
      <c r="AP69" t="s">
        <v>53</v>
      </c>
      <c r="AQ69" t="s">
        <v>407</v>
      </c>
      <c r="AR69" t="s">
        <v>408</v>
      </c>
      <c r="AS69" t="s">
        <v>407</v>
      </c>
      <c r="AT69" t="s">
        <v>407</v>
      </c>
      <c r="AU69" t="s">
        <v>409</v>
      </c>
      <c r="AV69" t="s">
        <v>409</v>
      </c>
      <c r="AW69" t="str">
        <f t="shared" si="0"/>
        <v>#if(J35#"JE","JE",if(J35#"Drilled","JC",""))</v>
      </c>
      <c r="BC69" t="s">
        <v>429</v>
      </c>
      <c r="BJ69" t="s">
        <v>492</v>
      </c>
      <c r="BQ69" t="s">
        <v>600</v>
      </c>
      <c r="BR69" t="s">
        <v>346</v>
      </c>
      <c r="BS69" t="s">
        <v>552</v>
      </c>
      <c r="BT69" t="s">
        <v>596</v>
      </c>
      <c r="BU69" t="s">
        <v>407</v>
      </c>
      <c r="BV69" t="s">
        <v>157</v>
      </c>
      <c r="BW69" t="s">
        <v>407</v>
      </c>
      <c r="BX69" t="s">
        <v>408</v>
      </c>
      <c r="BY69" t="s">
        <v>407</v>
      </c>
      <c r="BZ69" t="s">
        <v>80</v>
      </c>
      <c r="CA69" t="s">
        <v>407</v>
      </c>
      <c r="CB69" t="s">
        <v>408</v>
      </c>
      <c r="CC69" t="s">
        <v>597</v>
      </c>
      <c r="CD69" t="s">
        <v>346</v>
      </c>
      <c r="CE69" t="s">
        <v>552</v>
      </c>
      <c r="CF69" t="s">
        <v>596</v>
      </c>
      <c r="CG69" s="32" t="s">
        <v>407</v>
      </c>
      <c r="CH69" t="s">
        <v>411</v>
      </c>
      <c r="CI69" t="s">
        <v>407</v>
      </c>
      <c r="CJ69" t="s">
        <v>408</v>
      </c>
      <c r="CK69" s="32" t="s">
        <v>407</v>
      </c>
      <c r="CL69" t="s">
        <v>29</v>
      </c>
      <c r="CM69" t="s">
        <v>407</v>
      </c>
      <c r="CN69" t="s">
        <v>408</v>
      </c>
      <c r="CO69" t="s">
        <v>597</v>
      </c>
      <c r="CP69" t="s">
        <v>346</v>
      </c>
      <c r="CQ69" t="s">
        <v>552</v>
      </c>
      <c r="CR69" t="s">
        <v>596</v>
      </c>
      <c r="CS69" s="32" t="s">
        <v>407</v>
      </c>
      <c r="CT69" t="s">
        <v>475</v>
      </c>
      <c r="CU69" t="s">
        <v>407</v>
      </c>
      <c r="CV69" t="s">
        <v>408</v>
      </c>
      <c r="CW69" s="32" t="s">
        <v>407</v>
      </c>
      <c r="CX69" t="s">
        <v>83</v>
      </c>
      <c r="CY69" t="s">
        <v>407</v>
      </c>
      <c r="CZ69" t="s">
        <v>408</v>
      </c>
      <c r="DA69" t="s">
        <v>407</v>
      </c>
      <c r="DB69" t="s">
        <v>598</v>
      </c>
      <c r="DC69" t="s">
        <v>407</v>
      </c>
      <c r="DD69" t="s">
        <v>599</v>
      </c>
      <c r="DE69" t="str">
        <f t="shared" si="1"/>
        <v>%IF(K35%"Poplar","PAINT",IF(K35%"Red Oak","SGO",IF(K35%"Maple","SM","SPPN")))</v>
      </c>
      <c r="DO69" t="s">
        <v>488</v>
      </c>
    </row>
    <row r="70" spans="6:119" x14ac:dyDescent="0.25">
      <c r="F70" t="s">
        <v>175</v>
      </c>
      <c r="H70" t="s">
        <v>235</v>
      </c>
      <c r="M70" t="s">
        <v>297</v>
      </c>
      <c r="O70" t="s">
        <v>341</v>
      </c>
      <c r="T70" t="s">
        <v>344</v>
      </c>
      <c r="U70" t="s">
        <v>345</v>
      </c>
      <c r="V70" t="s">
        <v>346</v>
      </c>
      <c r="W70" t="s">
        <v>363</v>
      </c>
      <c r="X70" t="s">
        <v>344</v>
      </c>
      <c r="Y70" t="s">
        <v>407</v>
      </c>
      <c r="Z70" t="s">
        <v>27</v>
      </c>
      <c r="AA70" t="s">
        <v>407</v>
      </c>
      <c r="AB70" t="s">
        <v>408</v>
      </c>
      <c r="AC70" t="s">
        <v>407</v>
      </c>
      <c r="AD70" t="s">
        <v>27</v>
      </c>
      <c r="AE70" t="s">
        <v>407</v>
      </c>
      <c r="AF70" t="s">
        <v>408</v>
      </c>
      <c r="AG70" t="s">
        <v>345</v>
      </c>
      <c r="AH70" t="s">
        <v>346</v>
      </c>
      <c r="AI70" t="s">
        <v>363</v>
      </c>
      <c r="AJ70" t="s">
        <v>344</v>
      </c>
      <c r="AK70" t="s">
        <v>407</v>
      </c>
      <c r="AL70" t="s">
        <v>279</v>
      </c>
      <c r="AM70" t="s">
        <v>407</v>
      </c>
      <c r="AN70" t="s">
        <v>408</v>
      </c>
      <c r="AO70" t="s">
        <v>407</v>
      </c>
      <c r="AP70" t="s">
        <v>53</v>
      </c>
      <c r="AQ70" t="s">
        <v>407</v>
      </c>
      <c r="AR70" t="s">
        <v>408</v>
      </c>
      <c r="AS70" t="s">
        <v>407</v>
      </c>
      <c r="AT70" t="s">
        <v>407</v>
      </c>
      <c r="AU70" t="s">
        <v>409</v>
      </c>
      <c r="AV70" t="s">
        <v>409</v>
      </c>
      <c r="AW70" t="str">
        <f t="shared" ref="AW70:AW133" si="2">T70&amp;U70&amp;V70&amp;W70&amp;X70&amp;Y70&amp;Z70&amp;AA70&amp;AB70&amp;AC70&amp;AD70&amp;AE70&amp;AF70&amp;AG70&amp;AH70&amp;AI70&amp;AJ70&amp;AK70&amp;AL70&amp;AM70&amp;AN70&amp;AO70&amp;AP70&amp;AQ70&amp;AR70&amp;AS70&amp;AT70&amp;AU70&amp;AV70</f>
        <v>#if(J35#"JE","JE",if(J35#"Drilled","JC",""))</v>
      </c>
      <c r="BC70" t="s">
        <v>429</v>
      </c>
      <c r="BJ70" t="s">
        <v>492</v>
      </c>
      <c r="BQ70" t="s">
        <v>600</v>
      </c>
      <c r="BR70" t="s">
        <v>346</v>
      </c>
      <c r="BS70" t="s">
        <v>552</v>
      </c>
      <c r="BT70" t="s">
        <v>596</v>
      </c>
      <c r="BU70" t="s">
        <v>407</v>
      </c>
      <c r="BV70" t="s">
        <v>157</v>
      </c>
      <c r="BW70" t="s">
        <v>407</v>
      </c>
      <c r="BX70" t="s">
        <v>408</v>
      </c>
      <c r="BY70" t="s">
        <v>407</v>
      </c>
      <c r="BZ70" t="s">
        <v>80</v>
      </c>
      <c r="CA70" t="s">
        <v>407</v>
      </c>
      <c r="CB70" t="s">
        <v>408</v>
      </c>
      <c r="CC70" t="s">
        <v>597</v>
      </c>
      <c r="CD70" t="s">
        <v>346</v>
      </c>
      <c r="CE70" t="s">
        <v>552</v>
      </c>
      <c r="CF70" t="s">
        <v>596</v>
      </c>
      <c r="CG70" s="32" t="s">
        <v>407</v>
      </c>
      <c r="CH70" t="s">
        <v>411</v>
      </c>
      <c r="CI70" t="s">
        <v>407</v>
      </c>
      <c r="CJ70" t="s">
        <v>408</v>
      </c>
      <c r="CK70" s="32" t="s">
        <v>407</v>
      </c>
      <c r="CL70" t="s">
        <v>29</v>
      </c>
      <c r="CM70" t="s">
        <v>407</v>
      </c>
      <c r="CN70" t="s">
        <v>408</v>
      </c>
      <c r="CO70" t="s">
        <v>597</v>
      </c>
      <c r="CP70" t="s">
        <v>346</v>
      </c>
      <c r="CQ70" t="s">
        <v>552</v>
      </c>
      <c r="CR70" t="s">
        <v>596</v>
      </c>
      <c r="CS70" s="32" t="s">
        <v>407</v>
      </c>
      <c r="CT70" t="s">
        <v>475</v>
      </c>
      <c r="CU70" t="s">
        <v>407</v>
      </c>
      <c r="CV70" t="s">
        <v>408</v>
      </c>
      <c r="CW70" s="32" t="s">
        <v>407</v>
      </c>
      <c r="CX70" t="s">
        <v>83</v>
      </c>
      <c r="CY70" t="s">
        <v>407</v>
      </c>
      <c r="CZ70" t="s">
        <v>408</v>
      </c>
      <c r="DA70" t="s">
        <v>407</v>
      </c>
      <c r="DB70" t="s">
        <v>598</v>
      </c>
      <c r="DC70" t="s">
        <v>407</v>
      </c>
      <c r="DD70" t="s">
        <v>599</v>
      </c>
      <c r="DE70" t="str">
        <f t="shared" ref="DE70:DE133" si="3">BQ70&amp;BR70&amp;BS70&amp;BT70&amp;BU70&amp;BV70&amp;BW70&amp;BX70&amp;BY70&amp;BZ70&amp;CA70&amp;CB70&amp;CC70&amp;CD70&amp;CE70&amp;CF70&amp;CG70&amp;CH70&amp;CI70&amp;CJ70&amp;CK70&amp;CL70&amp;CM70&amp;CN70&amp;CO70&amp;CP70&amp;CQ70&amp;CR70&amp;CS70&amp;CT70&amp;CU70&amp;CV70&amp;CW70&amp;CX70&amp;CY70&amp;CZ70&amp;DA70&amp;DB70&amp;DC70&amp;DD70</f>
        <v>%IF(K35%"Poplar","PAINT",IF(K35%"Red Oak","SGO",IF(K35%"Maple","SM","SPPN")))</v>
      </c>
      <c r="DO70" t="s">
        <v>488</v>
      </c>
    </row>
    <row r="71" spans="6:119" x14ac:dyDescent="0.25">
      <c r="F71" t="s">
        <v>175</v>
      </c>
      <c r="H71" t="s">
        <v>235</v>
      </c>
      <c r="M71" t="s">
        <v>297</v>
      </c>
      <c r="O71" t="s">
        <v>341</v>
      </c>
      <c r="T71" t="s">
        <v>344</v>
      </c>
      <c r="U71" t="s">
        <v>345</v>
      </c>
      <c r="V71" t="s">
        <v>346</v>
      </c>
      <c r="W71" t="s">
        <v>363</v>
      </c>
      <c r="X71" t="s">
        <v>344</v>
      </c>
      <c r="Y71" t="s">
        <v>407</v>
      </c>
      <c r="Z71" t="s">
        <v>27</v>
      </c>
      <c r="AA71" t="s">
        <v>407</v>
      </c>
      <c r="AB71" t="s">
        <v>408</v>
      </c>
      <c r="AC71" t="s">
        <v>407</v>
      </c>
      <c r="AD71" t="s">
        <v>27</v>
      </c>
      <c r="AE71" t="s">
        <v>407</v>
      </c>
      <c r="AF71" t="s">
        <v>408</v>
      </c>
      <c r="AG71" t="s">
        <v>345</v>
      </c>
      <c r="AH71" t="s">
        <v>346</v>
      </c>
      <c r="AI71" t="s">
        <v>363</v>
      </c>
      <c r="AJ71" t="s">
        <v>344</v>
      </c>
      <c r="AK71" t="s">
        <v>407</v>
      </c>
      <c r="AL71" t="s">
        <v>279</v>
      </c>
      <c r="AM71" t="s">
        <v>407</v>
      </c>
      <c r="AN71" t="s">
        <v>408</v>
      </c>
      <c r="AO71" t="s">
        <v>407</v>
      </c>
      <c r="AP71" t="s">
        <v>53</v>
      </c>
      <c r="AQ71" t="s">
        <v>407</v>
      </c>
      <c r="AR71" t="s">
        <v>408</v>
      </c>
      <c r="AS71" t="s">
        <v>407</v>
      </c>
      <c r="AT71" t="s">
        <v>407</v>
      </c>
      <c r="AU71" t="s">
        <v>409</v>
      </c>
      <c r="AV71" t="s">
        <v>409</v>
      </c>
      <c r="AW71" t="str">
        <f t="shared" si="2"/>
        <v>#if(J35#"JE","JE",if(J35#"Drilled","JC",""))</v>
      </c>
      <c r="BC71" t="s">
        <v>429</v>
      </c>
      <c r="BJ71" t="s">
        <v>492</v>
      </c>
      <c r="BQ71" t="s">
        <v>600</v>
      </c>
      <c r="BR71" t="s">
        <v>346</v>
      </c>
      <c r="BS71" t="s">
        <v>552</v>
      </c>
      <c r="BT71" t="s">
        <v>596</v>
      </c>
      <c r="BU71" t="s">
        <v>407</v>
      </c>
      <c r="BV71" t="s">
        <v>157</v>
      </c>
      <c r="BW71" t="s">
        <v>407</v>
      </c>
      <c r="BX71" t="s">
        <v>408</v>
      </c>
      <c r="BY71" t="s">
        <v>407</v>
      </c>
      <c r="BZ71" t="s">
        <v>80</v>
      </c>
      <c r="CA71" t="s">
        <v>407</v>
      </c>
      <c r="CB71" t="s">
        <v>408</v>
      </c>
      <c r="CC71" t="s">
        <v>597</v>
      </c>
      <c r="CD71" t="s">
        <v>346</v>
      </c>
      <c r="CE71" t="s">
        <v>552</v>
      </c>
      <c r="CF71" t="s">
        <v>596</v>
      </c>
      <c r="CG71" s="32" t="s">
        <v>407</v>
      </c>
      <c r="CH71" t="s">
        <v>411</v>
      </c>
      <c r="CI71" t="s">
        <v>407</v>
      </c>
      <c r="CJ71" t="s">
        <v>408</v>
      </c>
      <c r="CK71" s="32" t="s">
        <v>407</v>
      </c>
      <c r="CL71" t="s">
        <v>29</v>
      </c>
      <c r="CM71" t="s">
        <v>407</v>
      </c>
      <c r="CN71" t="s">
        <v>408</v>
      </c>
      <c r="CO71" t="s">
        <v>597</v>
      </c>
      <c r="CP71" t="s">
        <v>346</v>
      </c>
      <c r="CQ71" t="s">
        <v>552</v>
      </c>
      <c r="CR71" t="s">
        <v>596</v>
      </c>
      <c r="CS71" s="32" t="s">
        <v>407</v>
      </c>
      <c r="CT71" t="s">
        <v>475</v>
      </c>
      <c r="CU71" t="s">
        <v>407</v>
      </c>
      <c r="CV71" t="s">
        <v>408</v>
      </c>
      <c r="CW71" s="32" t="s">
        <v>407</v>
      </c>
      <c r="CX71" t="s">
        <v>83</v>
      </c>
      <c r="CY71" t="s">
        <v>407</v>
      </c>
      <c r="CZ71" t="s">
        <v>408</v>
      </c>
      <c r="DA71" t="s">
        <v>407</v>
      </c>
      <c r="DB71" t="s">
        <v>598</v>
      </c>
      <c r="DC71" t="s">
        <v>407</v>
      </c>
      <c r="DD71" t="s">
        <v>599</v>
      </c>
      <c r="DE71" t="str">
        <f t="shared" si="3"/>
        <v>%IF(K35%"Poplar","PAINT",IF(K35%"Red Oak","SGO",IF(K35%"Maple","SM","SPPN")))</v>
      </c>
      <c r="DO71" t="s">
        <v>489</v>
      </c>
    </row>
    <row r="72" spans="6:119" x14ac:dyDescent="0.25">
      <c r="F72" t="s">
        <v>175</v>
      </c>
      <c r="H72" t="s">
        <v>235</v>
      </c>
      <c r="M72" t="s">
        <v>297</v>
      </c>
      <c r="O72" t="s">
        <v>341</v>
      </c>
      <c r="T72" t="s">
        <v>344</v>
      </c>
      <c r="U72" t="s">
        <v>345</v>
      </c>
      <c r="V72" t="s">
        <v>346</v>
      </c>
      <c r="W72" t="s">
        <v>363</v>
      </c>
      <c r="X72" t="s">
        <v>344</v>
      </c>
      <c r="Y72" t="s">
        <v>407</v>
      </c>
      <c r="Z72" t="s">
        <v>27</v>
      </c>
      <c r="AA72" t="s">
        <v>407</v>
      </c>
      <c r="AB72" t="s">
        <v>408</v>
      </c>
      <c r="AC72" t="s">
        <v>407</v>
      </c>
      <c r="AD72" t="s">
        <v>27</v>
      </c>
      <c r="AE72" t="s">
        <v>407</v>
      </c>
      <c r="AF72" t="s">
        <v>408</v>
      </c>
      <c r="AG72" t="s">
        <v>345</v>
      </c>
      <c r="AH72" t="s">
        <v>346</v>
      </c>
      <c r="AI72" t="s">
        <v>363</v>
      </c>
      <c r="AJ72" t="s">
        <v>344</v>
      </c>
      <c r="AK72" t="s">
        <v>407</v>
      </c>
      <c r="AL72" t="s">
        <v>279</v>
      </c>
      <c r="AM72" t="s">
        <v>407</v>
      </c>
      <c r="AN72" t="s">
        <v>408</v>
      </c>
      <c r="AO72" t="s">
        <v>407</v>
      </c>
      <c r="AP72" t="s">
        <v>53</v>
      </c>
      <c r="AQ72" t="s">
        <v>407</v>
      </c>
      <c r="AR72" t="s">
        <v>408</v>
      </c>
      <c r="AS72" t="s">
        <v>407</v>
      </c>
      <c r="AT72" t="s">
        <v>407</v>
      </c>
      <c r="AU72" t="s">
        <v>409</v>
      </c>
      <c r="AV72" t="s">
        <v>409</v>
      </c>
      <c r="AW72" t="str">
        <f t="shared" si="2"/>
        <v>#if(J35#"JE","JE",if(J35#"Drilled","JC",""))</v>
      </c>
      <c r="BC72" t="s">
        <v>429</v>
      </c>
      <c r="BJ72" t="s">
        <v>492</v>
      </c>
      <c r="BQ72" t="s">
        <v>600</v>
      </c>
      <c r="BR72" t="s">
        <v>346</v>
      </c>
      <c r="BS72" t="s">
        <v>552</v>
      </c>
      <c r="BT72" t="s">
        <v>596</v>
      </c>
      <c r="BU72" t="s">
        <v>407</v>
      </c>
      <c r="BV72" t="s">
        <v>157</v>
      </c>
      <c r="BW72" t="s">
        <v>407</v>
      </c>
      <c r="BX72" t="s">
        <v>408</v>
      </c>
      <c r="BY72" t="s">
        <v>407</v>
      </c>
      <c r="BZ72" t="s">
        <v>80</v>
      </c>
      <c r="CA72" t="s">
        <v>407</v>
      </c>
      <c r="CB72" t="s">
        <v>408</v>
      </c>
      <c r="CC72" t="s">
        <v>597</v>
      </c>
      <c r="CD72" t="s">
        <v>346</v>
      </c>
      <c r="CE72" t="s">
        <v>552</v>
      </c>
      <c r="CF72" t="s">
        <v>596</v>
      </c>
      <c r="CG72" s="32" t="s">
        <v>407</v>
      </c>
      <c r="CH72" t="s">
        <v>411</v>
      </c>
      <c r="CI72" t="s">
        <v>407</v>
      </c>
      <c r="CJ72" t="s">
        <v>408</v>
      </c>
      <c r="CK72" s="32" t="s">
        <v>407</v>
      </c>
      <c r="CL72" t="s">
        <v>29</v>
      </c>
      <c r="CM72" t="s">
        <v>407</v>
      </c>
      <c r="CN72" t="s">
        <v>408</v>
      </c>
      <c r="CO72" t="s">
        <v>597</v>
      </c>
      <c r="CP72" t="s">
        <v>346</v>
      </c>
      <c r="CQ72" t="s">
        <v>552</v>
      </c>
      <c r="CR72" t="s">
        <v>596</v>
      </c>
      <c r="CS72" s="32" t="s">
        <v>407</v>
      </c>
      <c r="CT72" t="s">
        <v>475</v>
      </c>
      <c r="CU72" t="s">
        <v>407</v>
      </c>
      <c r="CV72" t="s">
        <v>408</v>
      </c>
      <c r="CW72" s="32" t="s">
        <v>407</v>
      </c>
      <c r="CX72" t="s">
        <v>83</v>
      </c>
      <c r="CY72" t="s">
        <v>407</v>
      </c>
      <c r="CZ72" t="s">
        <v>408</v>
      </c>
      <c r="DA72" t="s">
        <v>407</v>
      </c>
      <c r="DB72" t="s">
        <v>598</v>
      </c>
      <c r="DC72" t="s">
        <v>407</v>
      </c>
      <c r="DD72" t="s">
        <v>599</v>
      </c>
      <c r="DE72" t="str">
        <f t="shared" si="3"/>
        <v>%IF(K35%"Poplar","PAINT",IF(K35%"Red Oak","SGO",IF(K35%"Maple","SM","SPPN")))</v>
      </c>
      <c r="DO72" t="s">
        <v>489</v>
      </c>
    </row>
    <row r="73" spans="6:119" x14ac:dyDescent="0.25">
      <c r="F73" t="s">
        <v>176</v>
      </c>
      <c r="H73" t="s">
        <v>236</v>
      </c>
      <c r="M73" t="s">
        <v>298</v>
      </c>
      <c r="O73" t="s">
        <v>341</v>
      </c>
      <c r="T73" t="s">
        <v>344</v>
      </c>
      <c r="U73" t="s">
        <v>345</v>
      </c>
      <c r="V73" t="s">
        <v>346</v>
      </c>
      <c r="W73" t="s">
        <v>364</v>
      </c>
      <c r="X73" t="s">
        <v>344</v>
      </c>
      <c r="Y73" t="s">
        <v>407</v>
      </c>
      <c r="Z73" t="s">
        <v>27</v>
      </c>
      <c r="AA73" t="s">
        <v>407</v>
      </c>
      <c r="AB73" t="s">
        <v>408</v>
      </c>
      <c r="AC73" t="s">
        <v>407</v>
      </c>
      <c r="AD73" t="s">
        <v>27</v>
      </c>
      <c r="AE73" t="s">
        <v>407</v>
      </c>
      <c r="AF73" t="s">
        <v>408</v>
      </c>
      <c r="AG73" t="s">
        <v>345</v>
      </c>
      <c r="AH73" t="s">
        <v>346</v>
      </c>
      <c r="AI73" t="s">
        <v>364</v>
      </c>
      <c r="AJ73" t="s">
        <v>344</v>
      </c>
      <c r="AK73" t="s">
        <v>407</v>
      </c>
      <c r="AL73" t="s">
        <v>279</v>
      </c>
      <c r="AM73" t="s">
        <v>407</v>
      </c>
      <c r="AN73" t="s">
        <v>408</v>
      </c>
      <c r="AO73" t="s">
        <v>407</v>
      </c>
      <c r="AP73" t="s">
        <v>53</v>
      </c>
      <c r="AQ73" t="s">
        <v>407</v>
      </c>
      <c r="AR73" t="s">
        <v>408</v>
      </c>
      <c r="AS73" t="s">
        <v>407</v>
      </c>
      <c r="AT73" t="s">
        <v>407</v>
      </c>
      <c r="AU73" t="s">
        <v>409</v>
      </c>
      <c r="AV73" t="s">
        <v>409</v>
      </c>
      <c r="AW73" t="str">
        <f t="shared" si="2"/>
        <v>#if(J36#"JE","JE",if(J36#"Drilled","JC",""))</v>
      </c>
      <c r="BC73" t="s">
        <v>430</v>
      </c>
      <c r="BJ73" t="s">
        <v>493</v>
      </c>
      <c r="BQ73" t="s">
        <v>600</v>
      </c>
      <c r="BR73" t="s">
        <v>346</v>
      </c>
      <c r="BS73" t="s">
        <v>553</v>
      </c>
      <c r="BT73" t="s">
        <v>596</v>
      </c>
      <c r="BU73" t="s">
        <v>407</v>
      </c>
      <c r="BV73" t="s">
        <v>157</v>
      </c>
      <c r="BW73" t="s">
        <v>407</v>
      </c>
      <c r="BX73" t="s">
        <v>408</v>
      </c>
      <c r="BY73" t="s">
        <v>407</v>
      </c>
      <c r="BZ73" t="s">
        <v>80</v>
      </c>
      <c r="CA73" t="s">
        <v>407</v>
      </c>
      <c r="CB73" t="s">
        <v>408</v>
      </c>
      <c r="CC73" t="s">
        <v>597</v>
      </c>
      <c r="CD73" t="s">
        <v>346</v>
      </c>
      <c r="CE73" t="s">
        <v>553</v>
      </c>
      <c r="CF73" t="s">
        <v>596</v>
      </c>
      <c r="CG73" s="32" t="s">
        <v>407</v>
      </c>
      <c r="CH73" t="s">
        <v>411</v>
      </c>
      <c r="CI73" t="s">
        <v>407</v>
      </c>
      <c r="CJ73" t="s">
        <v>408</v>
      </c>
      <c r="CK73" s="32" t="s">
        <v>407</v>
      </c>
      <c r="CL73" t="s">
        <v>29</v>
      </c>
      <c r="CM73" t="s">
        <v>407</v>
      </c>
      <c r="CN73" t="s">
        <v>408</v>
      </c>
      <c r="CO73" t="s">
        <v>597</v>
      </c>
      <c r="CP73" t="s">
        <v>346</v>
      </c>
      <c r="CQ73" t="s">
        <v>553</v>
      </c>
      <c r="CR73" t="s">
        <v>596</v>
      </c>
      <c r="CS73" s="32" t="s">
        <v>407</v>
      </c>
      <c r="CT73" t="s">
        <v>475</v>
      </c>
      <c r="CU73" t="s">
        <v>407</v>
      </c>
      <c r="CV73" t="s">
        <v>408</v>
      </c>
      <c r="CW73" s="32" t="s">
        <v>407</v>
      </c>
      <c r="CX73" t="s">
        <v>83</v>
      </c>
      <c r="CY73" t="s">
        <v>407</v>
      </c>
      <c r="CZ73" t="s">
        <v>408</v>
      </c>
      <c r="DA73" t="s">
        <v>407</v>
      </c>
      <c r="DB73" t="s">
        <v>598</v>
      </c>
      <c r="DC73" t="s">
        <v>407</v>
      </c>
      <c r="DD73" t="s">
        <v>599</v>
      </c>
      <c r="DE73" t="str">
        <f t="shared" si="3"/>
        <v>%IF(K36%"Poplar","PAINT",IF(K36%"Red Oak","SGO",IF(K36%"Maple","SM","SPPN")))</v>
      </c>
      <c r="DO73" t="s">
        <v>489</v>
      </c>
    </row>
    <row r="74" spans="6:119" x14ac:dyDescent="0.25">
      <c r="F74" t="s">
        <v>176</v>
      </c>
      <c r="H74" t="s">
        <v>236</v>
      </c>
      <c r="M74" t="s">
        <v>298</v>
      </c>
      <c r="O74" t="s">
        <v>341</v>
      </c>
      <c r="T74" t="s">
        <v>344</v>
      </c>
      <c r="U74" t="s">
        <v>345</v>
      </c>
      <c r="V74" t="s">
        <v>346</v>
      </c>
      <c r="W74" t="s">
        <v>364</v>
      </c>
      <c r="X74" t="s">
        <v>344</v>
      </c>
      <c r="Y74" t="s">
        <v>407</v>
      </c>
      <c r="Z74" t="s">
        <v>27</v>
      </c>
      <c r="AA74" t="s">
        <v>407</v>
      </c>
      <c r="AB74" t="s">
        <v>408</v>
      </c>
      <c r="AC74" t="s">
        <v>407</v>
      </c>
      <c r="AD74" t="s">
        <v>27</v>
      </c>
      <c r="AE74" t="s">
        <v>407</v>
      </c>
      <c r="AF74" t="s">
        <v>408</v>
      </c>
      <c r="AG74" t="s">
        <v>345</v>
      </c>
      <c r="AH74" t="s">
        <v>346</v>
      </c>
      <c r="AI74" t="s">
        <v>364</v>
      </c>
      <c r="AJ74" t="s">
        <v>344</v>
      </c>
      <c r="AK74" t="s">
        <v>407</v>
      </c>
      <c r="AL74" t="s">
        <v>279</v>
      </c>
      <c r="AM74" t="s">
        <v>407</v>
      </c>
      <c r="AN74" t="s">
        <v>408</v>
      </c>
      <c r="AO74" t="s">
        <v>407</v>
      </c>
      <c r="AP74" t="s">
        <v>53</v>
      </c>
      <c r="AQ74" t="s">
        <v>407</v>
      </c>
      <c r="AR74" t="s">
        <v>408</v>
      </c>
      <c r="AS74" t="s">
        <v>407</v>
      </c>
      <c r="AT74" t="s">
        <v>407</v>
      </c>
      <c r="AU74" t="s">
        <v>409</v>
      </c>
      <c r="AV74" t="s">
        <v>409</v>
      </c>
      <c r="AW74" t="str">
        <f t="shared" si="2"/>
        <v>#if(J36#"JE","JE",if(J36#"Drilled","JC",""))</v>
      </c>
      <c r="BC74" t="s">
        <v>430</v>
      </c>
      <c r="BJ74" t="s">
        <v>493</v>
      </c>
      <c r="BQ74" t="s">
        <v>600</v>
      </c>
      <c r="BR74" t="s">
        <v>346</v>
      </c>
      <c r="BS74" t="s">
        <v>553</v>
      </c>
      <c r="BT74" t="s">
        <v>596</v>
      </c>
      <c r="BU74" t="s">
        <v>407</v>
      </c>
      <c r="BV74" t="s">
        <v>157</v>
      </c>
      <c r="BW74" t="s">
        <v>407</v>
      </c>
      <c r="BX74" t="s">
        <v>408</v>
      </c>
      <c r="BY74" t="s">
        <v>407</v>
      </c>
      <c r="BZ74" t="s">
        <v>80</v>
      </c>
      <c r="CA74" t="s">
        <v>407</v>
      </c>
      <c r="CB74" t="s">
        <v>408</v>
      </c>
      <c r="CC74" t="s">
        <v>597</v>
      </c>
      <c r="CD74" t="s">
        <v>346</v>
      </c>
      <c r="CE74" t="s">
        <v>553</v>
      </c>
      <c r="CF74" t="s">
        <v>596</v>
      </c>
      <c r="CG74" s="32" t="s">
        <v>407</v>
      </c>
      <c r="CH74" t="s">
        <v>411</v>
      </c>
      <c r="CI74" t="s">
        <v>407</v>
      </c>
      <c r="CJ74" t="s">
        <v>408</v>
      </c>
      <c r="CK74" s="32" t="s">
        <v>407</v>
      </c>
      <c r="CL74" t="s">
        <v>29</v>
      </c>
      <c r="CM74" t="s">
        <v>407</v>
      </c>
      <c r="CN74" t="s">
        <v>408</v>
      </c>
      <c r="CO74" t="s">
        <v>597</v>
      </c>
      <c r="CP74" t="s">
        <v>346</v>
      </c>
      <c r="CQ74" t="s">
        <v>553</v>
      </c>
      <c r="CR74" t="s">
        <v>596</v>
      </c>
      <c r="CS74" s="32" t="s">
        <v>407</v>
      </c>
      <c r="CT74" t="s">
        <v>475</v>
      </c>
      <c r="CU74" t="s">
        <v>407</v>
      </c>
      <c r="CV74" t="s">
        <v>408</v>
      </c>
      <c r="CW74" s="32" t="s">
        <v>407</v>
      </c>
      <c r="CX74" t="s">
        <v>83</v>
      </c>
      <c r="CY74" t="s">
        <v>407</v>
      </c>
      <c r="CZ74" t="s">
        <v>408</v>
      </c>
      <c r="DA74" t="s">
        <v>407</v>
      </c>
      <c r="DB74" t="s">
        <v>598</v>
      </c>
      <c r="DC74" t="s">
        <v>407</v>
      </c>
      <c r="DD74" t="s">
        <v>599</v>
      </c>
      <c r="DE74" t="str">
        <f t="shared" si="3"/>
        <v>%IF(K36%"Poplar","PAINT",IF(K36%"Red Oak","SGO",IF(K36%"Maple","SM","SPPN")))</v>
      </c>
      <c r="DO74" t="s">
        <v>489</v>
      </c>
    </row>
    <row r="75" spans="6:119" x14ac:dyDescent="0.25">
      <c r="F75" t="s">
        <v>176</v>
      </c>
      <c r="H75" t="s">
        <v>236</v>
      </c>
      <c r="M75" t="s">
        <v>298</v>
      </c>
      <c r="O75" t="s">
        <v>341</v>
      </c>
      <c r="T75" t="s">
        <v>344</v>
      </c>
      <c r="U75" t="s">
        <v>345</v>
      </c>
      <c r="V75" t="s">
        <v>346</v>
      </c>
      <c r="W75" t="s">
        <v>364</v>
      </c>
      <c r="X75" t="s">
        <v>344</v>
      </c>
      <c r="Y75" t="s">
        <v>407</v>
      </c>
      <c r="Z75" t="s">
        <v>27</v>
      </c>
      <c r="AA75" t="s">
        <v>407</v>
      </c>
      <c r="AB75" t="s">
        <v>408</v>
      </c>
      <c r="AC75" t="s">
        <v>407</v>
      </c>
      <c r="AD75" t="s">
        <v>27</v>
      </c>
      <c r="AE75" t="s">
        <v>407</v>
      </c>
      <c r="AF75" t="s">
        <v>408</v>
      </c>
      <c r="AG75" t="s">
        <v>345</v>
      </c>
      <c r="AH75" t="s">
        <v>346</v>
      </c>
      <c r="AI75" t="s">
        <v>364</v>
      </c>
      <c r="AJ75" t="s">
        <v>344</v>
      </c>
      <c r="AK75" t="s">
        <v>407</v>
      </c>
      <c r="AL75" t="s">
        <v>279</v>
      </c>
      <c r="AM75" t="s">
        <v>407</v>
      </c>
      <c r="AN75" t="s">
        <v>408</v>
      </c>
      <c r="AO75" t="s">
        <v>407</v>
      </c>
      <c r="AP75" t="s">
        <v>53</v>
      </c>
      <c r="AQ75" t="s">
        <v>407</v>
      </c>
      <c r="AR75" t="s">
        <v>408</v>
      </c>
      <c r="AS75" t="s">
        <v>407</v>
      </c>
      <c r="AT75" t="s">
        <v>407</v>
      </c>
      <c r="AU75" t="s">
        <v>409</v>
      </c>
      <c r="AV75" t="s">
        <v>409</v>
      </c>
      <c r="AW75" t="str">
        <f t="shared" si="2"/>
        <v>#if(J36#"JE","JE",if(J36#"Drilled","JC",""))</v>
      </c>
      <c r="BC75" t="s">
        <v>430</v>
      </c>
      <c r="BJ75" t="s">
        <v>493</v>
      </c>
      <c r="BQ75" t="s">
        <v>600</v>
      </c>
      <c r="BR75" t="s">
        <v>346</v>
      </c>
      <c r="BS75" t="s">
        <v>553</v>
      </c>
      <c r="BT75" t="s">
        <v>596</v>
      </c>
      <c r="BU75" t="s">
        <v>407</v>
      </c>
      <c r="BV75" t="s">
        <v>157</v>
      </c>
      <c r="BW75" t="s">
        <v>407</v>
      </c>
      <c r="BX75" t="s">
        <v>408</v>
      </c>
      <c r="BY75" t="s">
        <v>407</v>
      </c>
      <c r="BZ75" t="s">
        <v>80</v>
      </c>
      <c r="CA75" t="s">
        <v>407</v>
      </c>
      <c r="CB75" t="s">
        <v>408</v>
      </c>
      <c r="CC75" t="s">
        <v>597</v>
      </c>
      <c r="CD75" t="s">
        <v>346</v>
      </c>
      <c r="CE75" t="s">
        <v>553</v>
      </c>
      <c r="CF75" t="s">
        <v>596</v>
      </c>
      <c r="CG75" s="32" t="s">
        <v>407</v>
      </c>
      <c r="CH75" t="s">
        <v>411</v>
      </c>
      <c r="CI75" t="s">
        <v>407</v>
      </c>
      <c r="CJ75" t="s">
        <v>408</v>
      </c>
      <c r="CK75" s="32" t="s">
        <v>407</v>
      </c>
      <c r="CL75" t="s">
        <v>29</v>
      </c>
      <c r="CM75" t="s">
        <v>407</v>
      </c>
      <c r="CN75" t="s">
        <v>408</v>
      </c>
      <c r="CO75" t="s">
        <v>597</v>
      </c>
      <c r="CP75" t="s">
        <v>346</v>
      </c>
      <c r="CQ75" t="s">
        <v>553</v>
      </c>
      <c r="CR75" t="s">
        <v>596</v>
      </c>
      <c r="CS75" s="32" t="s">
        <v>407</v>
      </c>
      <c r="CT75" t="s">
        <v>475</v>
      </c>
      <c r="CU75" t="s">
        <v>407</v>
      </c>
      <c r="CV75" t="s">
        <v>408</v>
      </c>
      <c r="CW75" s="32" t="s">
        <v>407</v>
      </c>
      <c r="CX75" t="s">
        <v>83</v>
      </c>
      <c r="CY75" t="s">
        <v>407</v>
      </c>
      <c r="CZ75" t="s">
        <v>408</v>
      </c>
      <c r="DA75" t="s">
        <v>407</v>
      </c>
      <c r="DB75" t="s">
        <v>598</v>
      </c>
      <c r="DC75" t="s">
        <v>407</v>
      </c>
      <c r="DD75" t="s">
        <v>599</v>
      </c>
      <c r="DE75" t="str">
        <f t="shared" si="3"/>
        <v>%IF(K36%"Poplar","PAINT",IF(K36%"Red Oak","SGO",IF(K36%"Maple","SM","SPPN")))</v>
      </c>
      <c r="DO75" t="s">
        <v>490</v>
      </c>
    </row>
    <row r="76" spans="6:119" x14ac:dyDescent="0.25">
      <c r="F76" t="s">
        <v>176</v>
      </c>
      <c r="H76" t="s">
        <v>236</v>
      </c>
      <c r="M76" t="s">
        <v>298</v>
      </c>
      <c r="O76" t="s">
        <v>341</v>
      </c>
      <c r="T76" t="s">
        <v>344</v>
      </c>
      <c r="U76" t="s">
        <v>345</v>
      </c>
      <c r="V76" t="s">
        <v>346</v>
      </c>
      <c r="W76" t="s">
        <v>364</v>
      </c>
      <c r="X76" t="s">
        <v>344</v>
      </c>
      <c r="Y76" t="s">
        <v>407</v>
      </c>
      <c r="Z76" t="s">
        <v>27</v>
      </c>
      <c r="AA76" t="s">
        <v>407</v>
      </c>
      <c r="AB76" t="s">
        <v>408</v>
      </c>
      <c r="AC76" t="s">
        <v>407</v>
      </c>
      <c r="AD76" t="s">
        <v>27</v>
      </c>
      <c r="AE76" t="s">
        <v>407</v>
      </c>
      <c r="AF76" t="s">
        <v>408</v>
      </c>
      <c r="AG76" t="s">
        <v>345</v>
      </c>
      <c r="AH76" t="s">
        <v>346</v>
      </c>
      <c r="AI76" t="s">
        <v>364</v>
      </c>
      <c r="AJ76" t="s">
        <v>344</v>
      </c>
      <c r="AK76" t="s">
        <v>407</v>
      </c>
      <c r="AL76" t="s">
        <v>279</v>
      </c>
      <c r="AM76" t="s">
        <v>407</v>
      </c>
      <c r="AN76" t="s">
        <v>408</v>
      </c>
      <c r="AO76" t="s">
        <v>407</v>
      </c>
      <c r="AP76" t="s">
        <v>53</v>
      </c>
      <c r="AQ76" t="s">
        <v>407</v>
      </c>
      <c r="AR76" t="s">
        <v>408</v>
      </c>
      <c r="AS76" t="s">
        <v>407</v>
      </c>
      <c r="AT76" t="s">
        <v>407</v>
      </c>
      <c r="AU76" t="s">
        <v>409</v>
      </c>
      <c r="AV76" t="s">
        <v>409</v>
      </c>
      <c r="AW76" t="str">
        <f t="shared" si="2"/>
        <v>#if(J36#"JE","JE",if(J36#"Drilled","JC",""))</v>
      </c>
      <c r="BC76" t="s">
        <v>430</v>
      </c>
      <c r="BJ76" t="s">
        <v>493</v>
      </c>
      <c r="BQ76" t="s">
        <v>600</v>
      </c>
      <c r="BR76" t="s">
        <v>346</v>
      </c>
      <c r="BS76" t="s">
        <v>553</v>
      </c>
      <c r="BT76" t="s">
        <v>596</v>
      </c>
      <c r="BU76" t="s">
        <v>407</v>
      </c>
      <c r="BV76" t="s">
        <v>157</v>
      </c>
      <c r="BW76" t="s">
        <v>407</v>
      </c>
      <c r="BX76" t="s">
        <v>408</v>
      </c>
      <c r="BY76" t="s">
        <v>407</v>
      </c>
      <c r="BZ76" t="s">
        <v>80</v>
      </c>
      <c r="CA76" t="s">
        <v>407</v>
      </c>
      <c r="CB76" t="s">
        <v>408</v>
      </c>
      <c r="CC76" t="s">
        <v>597</v>
      </c>
      <c r="CD76" t="s">
        <v>346</v>
      </c>
      <c r="CE76" t="s">
        <v>553</v>
      </c>
      <c r="CF76" t="s">
        <v>596</v>
      </c>
      <c r="CG76" s="32" t="s">
        <v>407</v>
      </c>
      <c r="CH76" t="s">
        <v>411</v>
      </c>
      <c r="CI76" t="s">
        <v>407</v>
      </c>
      <c r="CJ76" t="s">
        <v>408</v>
      </c>
      <c r="CK76" s="32" t="s">
        <v>407</v>
      </c>
      <c r="CL76" t="s">
        <v>29</v>
      </c>
      <c r="CM76" t="s">
        <v>407</v>
      </c>
      <c r="CN76" t="s">
        <v>408</v>
      </c>
      <c r="CO76" t="s">
        <v>597</v>
      </c>
      <c r="CP76" t="s">
        <v>346</v>
      </c>
      <c r="CQ76" t="s">
        <v>553</v>
      </c>
      <c r="CR76" t="s">
        <v>596</v>
      </c>
      <c r="CS76" s="32" t="s">
        <v>407</v>
      </c>
      <c r="CT76" t="s">
        <v>475</v>
      </c>
      <c r="CU76" t="s">
        <v>407</v>
      </c>
      <c r="CV76" t="s">
        <v>408</v>
      </c>
      <c r="CW76" s="32" t="s">
        <v>407</v>
      </c>
      <c r="CX76" t="s">
        <v>83</v>
      </c>
      <c r="CY76" t="s">
        <v>407</v>
      </c>
      <c r="CZ76" t="s">
        <v>408</v>
      </c>
      <c r="DA76" t="s">
        <v>407</v>
      </c>
      <c r="DB76" t="s">
        <v>598</v>
      </c>
      <c r="DC76" t="s">
        <v>407</v>
      </c>
      <c r="DD76" t="s">
        <v>599</v>
      </c>
      <c r="DE76" t="str">
        <f t="shared" si="3"/>
        <v>%IF(K36%"Poplar","PAINT",IF(K36%"Red Oak","SGO",IF(K36%"Maple","SM","SPPN")))</v>
      </c>
      <c r="DO76" t="s">
        <v>490</v>
      </c>
    </row>
    <row r="77" spans="6:119" x14ac:dyDescent="0.25">
      <c r="F77" t="s">
        <v>177</v>
      </c>
      <c r="H77" t="s">
        <v>237</v>
      </c>
      <c r="M77" t="s">
        <v>299</v>
      </c>
      <c r="O77" t="s">
        <v>341</v>
      </c>
      <c r="T77" t="s">
        <v>344</v>
      </c>
      <c r="U77" t="s">
        <v>345</v>
      </c>
      <c r="V77" t="s">
        <v>346</v>
      </c>
      <c r="W77" t="s">
        <v>365</v>
      </c>
      <c r="X77" t="s">
        <v>344</v>
      </c>
      <c r="Y77" t="s">
        <v>407</v>
      </c>
      <c r="Z77" t="s">
        <v>27</v>
      </c>
      <c r="AA77" t="s">
        <v>407</v>
      </c>
      <c r="AB77" t="s">
        <v>408</v>
      </c>
      <c r="AC77" t="s">
        <v>407</v>
      </c>
      <c r="AD77" t="s">
        <v>27</v>
      </c>
      <c r="AE77" t="s">
        <v>407</v>
      </c>
      <c r="AF77" t="s">
        <v>408</v>
      </c>
      <c r="AG77" t="s">
        <v>345</v>
      </c>
      <c r="AH77" t="s">
        <v>346</v>
      </c>
      <c r="AI77" t="s">
        <v>365</v>
      </c>
      <c r="AJ77" t="s">
        <v>344</v>
      </c>
      <c r="AK77" t="s">
        <v>407</v>
      </c>
      <c r="AL77" t="s">
        <v>279</v>
      </c>
      <c r="AM77" t="s">
        <v>407</v>
      </c>
      <c r="AN77" t="s">
        <v>408</v>
      </c>
      <c r="AO77" t="s">
        <v>407</v>
      </c>
      <c r="AP77" t="s">
        <v>53</v>
      </c>
      <c r="AQ77" t="s">
        <v>407</v>
      </c>
      <c r="AR77" t="s">
        <v>408</v>
      </c>
      <c r="AS77" t="s">
        <v>407</v>
      </c>
      <c r="AT77" t="s">
        <v>407</v>
      </c>
      <c r="AU77" t="s">
        <v>409</v>
      </c>
      <c r="AV77" t="s">
        <v>409</v>
      </c>
      <c r="AW77" t="str">
        <f t="shared" si="2"/>
        <v>#if(J37#"JE","JE",if(J37#"Drilled","JC",""))</v>
      </c>
      <c r="BC77" t="s">
        <v>431</v>
      </c>
      <c r="BJ77" t="s">
        <v>494</v>
      </c>
      <c r="BQ77" t="s">
        <v>600</v>
      </c>
      <c r="BR77" t="s">
        <v>346</v>
      </c>
      <c r="BS77" t="s">
        <v>554</v>
      </c>
      <c r="BT77" t="s">
        <v>596</v>
      </c>
      <c r="BU77" t="s">
        <v>407</v>
      </c>
      <c r="BV77" t="s">
        <v>157</v>
      </c>
      <c r="BW77" t="s">
        <v>407</v>
      </c>
      <c r="BX77" t="s">
        <v>408</v>
      </c>
      <c r="BY77" t="s">
        <v>407</v>
      </c>
      <c r="BZ77" t="s">
        <v>80</v>
      </c>
      <c r="CA77" t="s">
        <v>407</v>
      </c>
      <c r="CB77" t="s">
        <v>408</v>
      </c>
      <c r="CC77" t="s">
        <v>597</v>
      </c>
      <c r="CD77" t="s">
        <v>346</v>
      </c>
      <c r="CE77" t="s">
        <v>554</v>
      </c>
      <c r="CF77" t="s">
        <v>596</v>
      </c>
      <c r="CG77" s="32" t="s">
        <v>407</v>
      </c>
      <c r="CH77" t="s">
        <v>411</v>
      </c>
      <c r="CI77" t="s">
        <v>407</v>
      </c>
      <c r="CJ77" t="s">
        <v>408</v>
      </c>
      <c r="CK77" s="32" t="s">
        <v>407</v>
      </c>
      <c r="CL77" t="s">
        <v>29</v>
      </c>
      <c r="CM77" t="s">
        <v>407</v>
      </c>
      <c r="CN77" t="s">
        <v>408</v>
      </c>
      <c r="CO77" t="s">
        <v>597</v>
      </c>
      <c r="CP77" t="s">
        <v>346</v>
      </c>
      <c r="CQ77" t="s">
        <v>554</v>
      </c>
      <c r="CR77" t="s">
        <v>596</v>
      </c>
      <c r="CS77" s="32" t="s">
        <v>407</v>
      </c>
      <c r="CT77" t="s">
        <v>475</v>
      </c>
      <c r="CU77" t="s">
        <v>407</v>
      </c>
      <c r="CV77" t="s">
        <v>408</v>
      </c>
      <c r="CW77" s="32" t="s">
        <v>407</v>
      </c>
      <c r="CX77" t="s">
        <v>83</v>
      </c>
      <c r="CY77" t="s">
        <v>407</v>
      </c>
      <c r="CZ77" t="s">
        <v>408</v>
      </c>
      <c r="DA77" t="s">
        <v>407</v>
      </c>
      <c r="DB77" t="s">
        <v>598</v>
      </c>
      <c r="DC77" t="s">
        <v>407</v>
      </c>
      <c r="DD77" t="s">
        <v>599</v>
      </c>
      <c r="DE77" t="str">
        <f t="shared" si="3"/>
        <v>%IF(K37%"Poplar","PAINT",IF(K37%"Red Oak","SGO",IF(K37%"Maple","SM","SPPN")))</v>
      </c>
      <c r="DO77" t="s">
        <v>490</v>
      </c>
    </row>
    <row r="78" spans="6:119" x14ac:dyDescent="0.25">
      <c r="F78" t="s">
        <v>177</v>
      </c>
      <c r="H78" t="s">
        <v>237</v>
      </c>
      <c r="M78" t="s">
        <v>299</v>
      </c>
      <c r="O78" t="s">
        <v>341</v>
      </c>
      <c r="T78" t="s">
        <v>344</v>
      </c>
      <c r="U78" t="s">
        <v>345</v>
      </c>
      <c r="V78" t="s">
        <v>346</v>
      </c>
      <c r="W78" t="s">
        <v>365</v>
      </c>
      <c r="X78" t="s">
        <v>344</v>
      </c>
      <c r="Y78" t="s">
        <v>407</v>
      </c>
      <c r="Z78" t="s">
        <v>27</v>
      </c>
      <c r="AA78" t="s">
        <v>407</v>
      </c>
      <c r="AB78" t="s">
        <v>408</v>
      </c>
      <c r="AC78" t="s">
        <v>407</v>
      </c>
      <c r="AD78" t="s">
        <v>27</v>
      </c>
      <c r="AE78" t="s">
        <v>407</v>
      </c>
      <c r="AF78" t="s">
        <v>408</v>
      </c>
      <c r="AG78" t="s">
        <v>345</v>
      </c>
      <c r="AH78" t="s">
        <v>346</v>
      </c>
      <c r="AI78" t="s">
        <v>365</v>
      </c>
      <c r="AJ78" t="s">
        <v>344</v>
      </c>
      <c r="AK78" t="s">
        <v>407</v>
      </c>
      <c r="AL78" t="s">
        <v>279</v>
      </c>
      <c r="AM78" t="s">
        <v>407</v>
      </c>
      <c r="AN78" t="s">
        <v>408</v>
      </c>
      <c r="AO78" t="s">
        <v>407</v>
      </c>
      <c r="AP78" t="s">
        <v>53</v>
      </c>
      <c r="AQ78" t="s">
        <v>407</v>
      </c>
      <c r="AR78" t="s">
        <v>408</v>
      </c>
      <c r="AS78" t="s">
        <v>407</v>
      </c>
      <c r="AT78" t="s">
        <v>407</v>
      </c>
      <c r="AU78" t="s">
        <v>409</v>
      </c>
      <c r="AV78" t="s">
        <v>409</v>
      </c>
      <c r="AW78" t="str">
        <f t="shared" si="2"/>
        <v>#if(J37#"JE","JE",if(J37#"Drilled","JC",""))</v>
      </c>
      <c r="BC78" t="s">
        <v>431</v>
      </c>
      <c r="BJ78" t="s">
        <v>494</v>
      </c>
      <c r="BQ78" t="s">
        <v>600</v>
      </c>
      <c r="BR78" t="s">
        <v>346</v>
      </c>
      <c r="BS78" t="s">
        <v>554</v>
      </c>
      <c r="BT78" t="s">
        <v>596</v>
      </c>
      <c r="BU78" t="s">
        <v>407</v>
      </c>
      <c r="BV78" t="s">
        <v>157</v>
      </c>
      <c r="BW78" t="s">
        <v>407</v>
      </c>
      <c r="BX78" t="s">
        <v>408</v>
      </c>
      <c r="BY78" t="s">
        <v>407</v>
      </c>
      <c r="BZ78" t="s">
        <v>80</v>
      </c>
      <c r="CA78" t="s">
        <v>407</v>
      </c>
      <c r="CB78" t="s">
        <v>408</v>
      </c>
      <c r="CC78" t="s">
        <v>597</v>
      </c>
      <c r="CD78" t="s">
        <v>346</v>
      </c>
      <c r="CE78" t="s">
        <v>554</v>
      </c>
      <c r="CF78" t="s">
        <v>596</v>
      </c>
      <c r="CG78" s="32" t="s">
        <v>407</v>
      </c>
      <c r="CH78" t="s">
        <v>411</v>
      </c>
      <c r="CI78" t="s">
        <v>407</v>
      </c>
      <c r="CJ78" t="s">
        <v>408</v>
      </c>
      <c r="CK78" s="32" t="s">
        <v>407</v>
      </c>
      <c r="CL78" t="s">
        <v>29</v>
      </c>
      <c r="CM78" t="s">
        <v>407</v>
      </c>
      <c r="CN78" t="s">
        <v>408</v>
      </c>
      <c r="CO78" t="s">
        <v>597</v>
      </c>
      <c r="CP78" t="s">
        <v>346</v>
      </c>
      <c r="CQ78" t="s">
        <v>554</v>
      </c>
      <c r="CR78" t="s">
        <v>596</v>
      </c>
      <c r="CS78" s="32" t="s">
        <v>407</v>
      </c>
      <c r="CT78" t="s">
        <v>475</v>
      </c>
      <c r="CU78" t="s">
        <v>407</v>
      </c>
      <c r="CV78" t="s">
        <v>408</v>
      </c>
      <c r="CW78" s="32" t="s">
        <v>407</v>
      </c>
      <c r="CX78" t="s">
        <v>83</v>
      </c>
      <c r="CY78" t="s">
        <v>407</v>
      </c>
      <c r="CZ78" t="s">
        <v>408</v>
      </c>
      <c r="DA78" t="s">
        <v>407</v>
      </c>
      <c r="DB78" t="s">
        <v>598</v>
      </c>
      <c r="DC78" t="s">
        <v>407</v>
      </c>
      <c r="DD78" t="s">
        <v>599</v>
      </c>
      <c r="DE78" t="str">
        <f t="shared" si="3"/>
        <v>%IF(K37%"Poplar","PAINT",IF(K37%"Red Oak","SGO",IF(K37%"Maple","SM","SPPN")))</v>
      </c>
      <c r="DO78" t="s">
        <v>490</v>
      </c>
    </row>
    <row r="79" spans="6:119" x14ac:dyDescent="0.25">
      <c r="F79" t="s">
        <v>177</v>
      </c>
      <c r="H79" t="s">
        <v>237</v>
      </c>
      <c r="M79" t="s">
        <v>299</v>
      </c>
      <c r="O79" t="s">
        <v>341</v>
      </c>
      <c r="T79" t="s">
        <v>344</v>
      </c>
      <c r="U79" t="s">
        <v>345</v>
      </c>
      <c r="V79" t="s">
        <v>346</v>
      </c>
      <c r="W79" t="s">
        <v>365</v>
      </c>
      <c r="X79" t="s">
        <v>344</v>
      </c>
      <c r="Y79" t="s">
        <v>407</v>
      </c>
      <c r="Z79" t="s">
        <v>27</v>
      </c>
      <c r="AA79" t="s">
        <v>407</v>
      </c>
      <c r="AB79" t="s">
        <v>408</v>
      </c>
      <c r="AC79" t="s">
        <v>407</v>
      </c>
      <c r="AD79" t="s">
        <v>27</v>
      </c>
      <c r="AE79" t="s">
        <v>407</v>
      </c>
      <c r="AF79" t="s">
        <v>408</v>
      </c>
      <c r="AG79" t="s">
        <v>345</v>
      </c>
      <c r="AH79" t="s">
        <v>346</v>
      </c>
      <c r="AI79" t="s">
        <v>365</v>
      </c>
      <c r="AJ79" t="s">
        <v>344</v>
      </c>
      <c r="AK79" t="s">
        <v>407</v>
      </c>
      <c r="AL79" t="s">
        <v>279</v>
      </c>
      <c r="AM79" t="s">
        <v>407</v>
      </c>
      <c r="AN79" t="s">
        <v>408</v>
      </c>
      <c r="AO79" t="s">
        <v>407</v>
      </c>
      <c r="AP79" t="s">
        <v>53</v>
      </c>
      <c r="AQ79" t="s">
        <v>407</v>
      </c>
      <c r="AR79" t="s">
        <v>408</v>
      </c>
      <c r="AS79" t="s">
        <v>407</v>
      </c>
      <c r="AT79" t="s">
        <v>407</v>
      </c>
      <c r="AU79" t="s">
        <v>409</v>
      </c>
      <c r="AV79" t="s">
        <v>409</v>
      </c>
      <c r="AW79" t="str">
        <f t="shared" si="2"/>
        <v>#if(J37#"JE","JE",if(J37#"Drilled","JC",""))</v>
      </c>
      <c r="BC79" t="s">
        <v>431</v>
      </c>
      <c r="BJ79" t="s">
        <v>494</v>
      </c>
      <c r="BQ79" t="s">
        <v>600</v>
      </c>
      <c r="BR79" t="s">
        <v>346</v>
      </c>
      <c r="BS79" t="s">
        <v>554</v>
      </c>
      <c r="BT79" t="s">
        <v>596</v>
      </c>
      <c r="BU79" t="s">
        <v>407</v>
      </c>
      <c r="BV79" t="s">
        <v>157</v>
      </c>
      <c r="BW79" t="s">
        <v>407</v>
      </c>
      <c r="BX79" t="s">
        <v>408</v>
      </c>
      <c r="BY79" t="s">
        <v>407</v>
      </c>
      <c r="BZ79" t="s">
        <v>80</v>
      </c>
      <c r="CA79" t="s">
        <v>407</v>
      </c>
      <c r="CB79" t="s">
        <v>408</v>
      </c>
      <c r="CC79" t="s">
        <v>597</v>
      </c>
      <c r="CD79" t="s">
        <v>346</v>
      </c>
      <c r="CE79" t="s">
        <v>554</v>
      </c>
      <c r="CF79" t="s">
        <v>596</v>
      </c>
      <c r="CG79" s="32" t="s">
        <v>407</v>
      </c>
      <c r="CH79" t="s">
        <v>411</v>
      </c>
      <c r="CI79" t="s">
        <v>407</v>
      </c>
      <c r="CJ79" t="s">
        <v>408</v>
      </c>
      <c r="CK79" s="32" t="s">
        <v>407</v>
      </c>
      <c r="CL79" t="s">
        <v>29</v>
      </c>
      <c r="CM79" t="s">
        <v>407</v>
      </c>
      <c r="CN79" t="s">
        <v>408</v>
      </c>
      <c r="CO79" t="s">
        <v>597</v>
      </c>
      <c r="CP79" t="s">
        <v>346</v>
      </c>
      <c r="CQ79" t="s">
        <v>554</v>
      </c>
      <c r="CR79" t="s">
        <v>596</v>
      </c>
      <c r="CS79" s="32" t="s">
        <v>407</v>
      </c>
      <c r="CT79" t="s">
        <v>475</v>
      </c>
      <c r="CU79" t="s">
        <v>407</v>
      </c>
      <c r="CV79" t="s">
        <v>408</v>
      </c>
      <c r="CW79" s="32" t="s">
        <v>407</v>
      </c>
      <c r="CX79" t="s">
        <v>83</v>
      </c>
      <c r="CY79" t="s">
        <v>407</v>
      </c>
      <c r="CZ79" t="s">
        <v>408</v>
      </c>
      <c r="DA79" t="s">
        <v>407</v>
      </c>
      <c r="DB79" t="s">
        <v>598</v>
      </c>
      <c r="DC79" t="s">
        <v>407</v>
      </c>
      <c r="DD79" t="s">
        <v>599</v>
      </c>
      <c r="DE79" t="str">
        <f t="shared" si="3"/>
        <v>%IF(K37%"Poplar","PAINT",IF(K37%"Red Oak","SGO",IF(K37%"Maple","SM","SPPN")))</v>
      </c>
      <c r="DO79" t="s">
        <v>491</v>
      </c>
    </row>
    <row r="80" spans="6:119" x14ac:dyDescent="0.25">
      <c r="F80" t="s">
        <v>177</v>
      </c>
      <c r="H80" t="s">
        <v>237</v>
      </c>
      <c r="M80" t="s">
        <v>299</v>
      </c>
      <c r="O80" t="s">
        <v>341</v>
      </c>
      <c r="T80" t="s">
        <v>344</v>
      </c>
      <c r="U80" t="s">
        <v>345</v>
      </c>
      <c r="V80" t="s">
        <v>346</v>
      </c>
      <c r="W80" t="s">
        <v>365</v>
      </c>
      <c r="X80" t="s">
        <v>344</v>
      </c>
      <c r="Y80" t="s">
        <v>407</v>
      </c>
      <c r="Z80" t="s">
        <v>27</v>
      </c>
      <c r="AA80" t="s">
        <v>407</v>
      </c>
      <c r="AB80" t="s">
        <v>408</v>
      </c>
      <c r="AC80" t="s">
        <v>407</v>
      </c>
      <c r="AD80" t="s">
        <v>27</v>
      </c>
      <c r="AE80" t="s">
        <v>407</v>
      </c>
      <c r="AF80" t="s">
        <v>408</v>
      </c>
      <c r="AG80" t="s">
        <v>345</v>
      </c>
      <c r="AH80" t="s">
        <v>346</v>
      </c>
      <c r="AI80" t="s">
        <v>365</v>
      </c>
      <c r="AJ80" t="s">
        <v>344</v>
      </c>
      <c r="AK80" t="s">
        <v>407</v>
      </c>
      <c r="AL80" t="s">
        <v>279</v>
      </c>
      <c r="AM80" t="s">
        <v>407</v>
      </c>
      <c r="AN80" t="s">
        <v>408</v>
      </c>
      <c r="AO80" t="s">
        <v>407</v>
      </c>
      <c r="AP80" t="s">
        <v>53</v>
      </c>
      <c r="AQ80" t="s">
        <v>407</v>
      </c>
      <c r="AR80" t="s">
        <v>408</v>
      </c>
      <c r="AS80" t="s">
        <v>407</v>
      </c>
      <c r="AT80" t="s">
        <v>407</v>
      </c>
      <c r="AU80" t="s">
        <v>409</v>
      </c>
      <c r="AV80" t="s">
        <v>409</v>
      </c>
      <c r="AW80" t="str">
        <f t="shared" si="2"/>
        <v>#if(J37#"JE","JE",if(J37#"Drilled","JC",""))</v>
      </c>
      <c r="BC80" t="s">
        <v>431</v>
      </c>
      <c r="BJ80" t="s">
        <v>494</v>
      </c>
      <c r="BQ80" t="s">
        <v>600</v>
      </c>
      <c r="BR80" t="s">
        <v>346</v>
      </c>
      <c r="BS80" t="s">
        <v>554</v>
      </c>
      <c r="BT80" t="s">
        <v>596</v>
      </c>
      <c r="BU80" t="s">
        <v>407</v>
      </c>
      <c r="BV80" t="s">
        <v>157</v>
      </c>
      <c r="BW80" t="s">
        <v>407</v>
      </c>
      <c r="BX80" t="s">
        <v>408</v>
      </c>
      <c r="BY80" t="s">
        <v>407</v>
      </c>
      <c r="BZ80" t="s">
        <v>80</v>
      </c>
      <c r="CA80" t="s">
        <v>407</v>
      </c>
      <c r="CB80" t="s">
        <v>408</v>
      </c>
      <c r="CC80" t="s">
        <v>597</v>
      </c>
      <c r="CD80" t="s">
        <v>346</v>
      </c>
      <c r="CE80" t="s">
        <v>554</v>
      </c>
      <c r="CF80" t="s">
        <v>596</v>
      </c>
      <c r="CG80" s="32" t="s">
        <v>407</v>
      </c>
      <c r="CH80" t="s">
        <v>411</v>
      </c>
      <c r="CI80" t="s">
        <v>407</v>
      </c>
      <c r="CJ80" t="s">
        <v>408</v>
      </c>
      <c r="CK80" s="32" t="s">
        <v>407</v>
      </c>
      <c r="CL80" t="s">
        <v>29</v>
      </c>
      <c r="CM80" t="s">
        <v>407</v>
      </c>
      <c r="CN80" t="s">
        <v>408</v>
      </c>
      <c r="CO80" t="s">
        <v>597</v>
      </c>
      <c r="CP80" t="s">
        <v>346</v>
      </c>
      <c r="CQ80" t="s">
        <v>554</v>
      </c>
      <c r="CR80" t="s">
        <v>596</v>
      </c>
      <c r="CS80" s="32" t="s">
        <v>407</v>
      </c>
      <c r="CT80" t="s">
        <v>475</v>
      </c>
      <c r="CU80" t="s">
        <v>407</v>
      </c>
      <c r="CV80" t="s">
        <v>408</v>
      </c>
      <c r="CW80" s="32" t="s">
        <v>407</v>
      </c>
      <c r="CX80" t="s">
        <v>83</v>
      </c>
      <c r="CY80" t="s">
        <v>407</v>
      </c>
      <c r="CZ80" t="s">
        <v>408</v>
      </c>
      <c r="DA80" t="s">
        <v>407</v>
      </c>
      <c r="DB80" t="s">
        <v>598</v>
      </c>
      <c r="DC80" t="s">
        <v>407</v>
      </c>
      <c r="DD80" t="s">
        <v>599</v>
      </c>
      <c r="DE80" t="str">
        <f t="shared" si="3"/>
        <v>%IF(K37%"Poplar","PAINT",IF(K37%"Red Oak","SGO",IF(K37%"Maple","SM","SPPN")))</v>
      </c>
      <c r="DO80" t="s">
        <v>491</v>
      </c>
    </row>
    <row r="81" spans="6:119" x14ac:dyDescent="0.25">
      <c r="F81" t="s">
        <v>178</v>
      </c>
      <c r="H81" t="s">
        <v>238</v>
      </c>
      <c r="M81" t="s">
        <v>300</v>
      </c>
      <c r="O81" t="s">
        <v>341</v>
      </c>
      <c r="T81" t="s">
        <v>344</v>
      </c>
      <c r="U81" t="s">
        <v>345</v>
      </c>
      <c r="V81" t="s">
        <v>346</v>
      </c>
      <c r="W81" t="s">
        <v>366</v>
      </c>
      <c r="X81" t="s">
        <v>344</v>
      </c>
      <c r="Y81" t="s">
        <v>407</v>
      </c>
      <c r="Z81" t="s">
        <v>27</v>
      </c>
      <c r="AA81" t="s">
        <v>407</v>
      </c>
      <c r="AB81" t="s">
        <v>408</v>
      </c>
      <c r="AC81" t="s">
        <v>407</v>
      </c>
      <c r="AD81" t="s">
        <v>27</v>
      </c>
      <c r="AE81" t="s">
        <v>407</v>
      </c>
      <c r="AF81" t="s">
        <v>408</v>
      </c>
      <c r="AG81" t="s">
        <v>345</v>
      </c>
      <c r="AH81" t="s">
        <v>346</v>
      </c>
      <c r="AI81" t="s">
        <v>366</v>
      </c>
      <c r="AJ81" t="s">
        <v>344</v>
      </c>
      <c r="AK81" t="s">
        <v>407</v>
      </c>
      <c r="AL81" t="s">
        <v>279</v>
      </c>
      <c r="AM81" t="s">
        <v>407</v>
      </c>
      <c r="AN81" t="s">
        <v>408</v>
      </c>
      <c r="AO81" t="s">
        <v>407</v>
      </c>
      <c r="AP81" t="s">
        <v>53</v>
      </c>
      <c r="AQ81" t="s">
        <v>407</v>
      </c>
      <c r="AR81" t="s">
        <v>408</v>
      </c>
      <c r="AS81" t="s">
        <v>407</v>
      </c>
      <c r="AT81" t="s">
        <v>407</v>
      </c>
      <c r="AU81" t="s">
        <v>409</v>
      </c>
      <c r="AV81" t="s">
        <v>409</v>
      </c>
      <c r="AW81" t="str">
        <f t="shared" si="2"/>
        <v>#if(J38#"JE","JE",if(J38#"Drilled","JC",""))</v>
      </c>
      <c r="BC81" t="s">
        <v>432</v>
      </c>
      <c r="BJ81" t="s">
        <v>495</v>
      </c>
      <c r="BQ81" t="s">
        <v>600</v>
      </c>
      <c r="BR81" t="s">
        <v>346</v>
      </c>
      <c r="BS81" t="s">
        <v>555</v>
      </c>
      <c r="BT81" t="s">
        <v>596</v>
      </c>
      <c r="BU81" t="s">
        <v>407</v>
      </c>
      <c r="BV81" t="s">
        <v>157</v>
      </c>
      <c r="BW81" t="s">
        <v>407</v>
      </c>
      <c r="BX81" t="s">
        <v>408</v>
      </c>
      <c r="BY81" t="s">
        <v>407</v>
      </c>
      <c r="BZ81" t="s">
        <v>80</v>
      </c>
      <c r="CA81" t="s">
        <v>407</v>
      </c>
      <c r="CB81" t="s">
        <v>408</v>
      </c>
      <c r="CC81" t="s">
        <v>597</v>
      </c>
      <c r="CD81" t="s">
        <v>346</v>
      </c>
      <c r="CE81" t="s">
        <v>555</v>
      </c>
      <c r="CF81" t="s">
        <v>596</v>
      </c>
      <c r="CG81" s="32" t="s">
        <v>407</v>
      </c>
      <c r="CH81" t="s">
        <v>411</v>
      </c>
      <c r="CI81" t="s">
        <v>407</v>
      </c>
      <c r="CJ81" t="s">
        <v>408</v>
      </c>
      <c r="CK81" s="32" t="s">
        <v>407</v>
      </c>
      <c r="CL81" t="s">
        <v>29</v>
      </c>
      <c r="CM81" t="s">
        <v>407</v>
      </c>
      <c r="CN81" t="s">
        <v>408</v>
      </c>
      <c r="CO81" t="s">
        <v>597</v>
      </c>
      <c r="CP81" t="s">
        <v>346</v>
      </c>
      <c r="CQ81" t="s">
        <v>555</v>
      </c>
      <c r="CR81" t="s">
        <v>596</v>
      </c>
      <c r="CS81" s="32" t="s">
        <v>407</v>
      </c>
      <c r="CT81" t="s">
        <v>475</v>
      </c>
      <c r="CU81" t="s">
        <v>407</v>
      </c>
      <c r="CV81" t="s">
        <v>408</v>
      </c>
      <c r="CW81" s="32" t="s">
        <v>407</v>
      </c>
      <c r="CX81" t="s">
        <v>83</v>
      </c>
      <c r="CY81" t="s">
        <v>407</v>
      </c>
      <c r="CZ81" t="s">
        <v>408</v>
      </c>
      <c r="DA81" t="s">
        <v>407</v>
      </c>
      <c r="DB81" t="s">
        <v>598</v>
      </c>
      <c r="DC81" t="s">
        <v>407</v>
      </c>
      <c r="DD81" t="s">
        <v>599</v>
      </c>
      <c r="DE81" t="str">
        <f t="shared" si="3"/>
        <v>%IF(K38%"Poplar","PAINT",IF(K38%"Red Oak","SGO",IF(K38%"Maple","SM","SPPN")))</v>
      </c>
      <c r="DO81" t="s">
        <v>491</v>
      </c>
    </row>
    <row r="82" spans="6:119" x14ac:dyDescent="0.25">
      <c r="F82" t="s">
        <v>178</v>
      </c>
      <c r="H82" t="s">
        <v>238</v>
      </c>
      <c r="M82" t="s">
        <v>300</v>
      </c>
      <c r="O82" t="s">
        <v>341</v>
      </c>
      <c r="T82" t="s">
        <v>344</v>
      </c>
      <c r="U82" t="s">
        <v>345</v>
      </c>
      <c r="V82" t="s">
        <v>346</v>
      </c>
      <c r="W82" t="s">
        <v>366</v>
      </c>
      <c r="X82" t="s">
        <v>344</v>
      </c>
      <c r="Y82" t="s">
        <v>407</v>
      </c>
      <c r="Z82" t="s">
        <v>27</v>
      </c>
      <c r="AA82" t="s">
        <v>407</v>
      </c>
      <c r="AB82" t="s">
        <v>408</v>
      </c>
      <c r="AC82" t="s">
        <v>407</v>
      </c>
      <c r="AD82" t="s">
        <v>27</v>
      </c>
      <c r="AE82" t="s">
        <v>407</v>
      </c>
      <c r="AF82" t="s">
        <v>408</v>
      </c>
      <c r="AG82" t="s">
        <v>345</v>
      </c>
      <c r="AH82" t="s">
        <v>346</v>
      </c>
      <c r="AI82" t="s">
        <v>366</v>
      </c>
      <c r="AJ82" t="s">
        <v>344</v>
      </c>
      <c r="AK82" t="s">
        <v>407</v>
      </c>
      <c r="AL82" t="s">
        <v>279</v>
      </c>
      <c r="AM82" t="s">
        <v>407</v>
      </c>
      <c r="AN82" t="s">
        <v>408</v>
      </c>
      <c r="AO82" t="s">
        <v>407</v>
      </c>
      <c r="AP82" t="s">
        <v>53</v>
      </c>
      <c r="AQ82" t="s">
        <v>407</v>
      </c>
      <c r="AR82" t="s">
        <v>408</v>
      </c>
      <c r="AS82" t="s">
        <v>407</v>
      </c>
      <c r="AT82" t="s">
        <v>407</v>
      </c>
      <c r="AU82" t="s">
        <v>409</v>
      </c>
      <c r="AV82" t="s">
        <v>409</v>
      </c>
      <c r="AW82" t="str">
        <f t="shared" si="2"/>
        <v>#if(J38#"JE","JE",if(J38#"Drilled","JC",""))</v>
      </c>
      <c r="BC82" t="s">
        <v>432</v>
      </c>
      <c r="BJ82" t="s">
        <v>495</v>
      </c>
      <c r="BQ82" t="s">
        <v>600</v>
      </c>
      <c r="BR82" t="s">
        <v>346</v>
      </c>
      <c r="BS82" t="s">
        <v>555</v>
      </c>
      <c r="BT82" t="s">
        <v>596</v>
      </c>
      <c r="BU82" t="s">
        <v>407</v>
      </c>
      <c r="BV82" t="s">
        <v>157</v>
      </c>
      <c r="BW82" t="s">
        <v>407</v>
      </c>
      <c r="BX82" t="s">
        <v>408</v>
      </c>
      <c r="BY82" t="s">
        <v>407</v>
      </c>
      <c r="BZ82" t="s">
        <v>80</v>
      </c>
      <c r="CA82" t="s">
        <v>407</v>
      </c>
      <c r="CB82" t="s">
        <v>408</v>
      </c>
      <c r="CC82" t="s">
        <v>597</v>
      </c>
      <c r="CD82" t="s">
        <v>346</v>
      </c>
      <c r="CE82" t="s">
        <v>555</v>
      </c>
      <c r="CF82" t="s">
        <v>596</v>
      </c>
      <c r="CG82" s="32" t="s">
        <v>407</v>
      </c>
      <c r="CH82" t="s">
        <v>411</v>
      </c>
      <c r="CI82" t="s">
        <v>407</v>
      </c>
      <c r="CJ82" t="s">
        <v>408</v>
      </c>
      <c r="CK82" s="32" t="s">
        <v>407</v>
      </c>
      <c r="CL82" t="s">
        <v>29</v>
      </c>
      <c r="CM82" t="s">
        <v>407</v>
      </c>
      <c r="CN82" t="s">
        <v>408</v>
      </c>
      <c r="CO82" t="s">
        <v>597</v>
      </c>
      <c r="CP82" t="s">
        <v>346</v>
      </c>
      <c r="CQ82" t="s">
        <v>555</v>
      </c>
      <c r="CR82" t="s">
        <v>596</v>
      </c>
      <c r="CS82" s="32" t="s">
        <v>407</v>
      </c>
      <c r="CT82" t="s">
        <v>475</v>
      </c>
      <c r="CU82" t="s">
        <v>407</v>
      </c>
      <c r="CV82" t="s">
        <v>408</v>
      </c>
      <c r="CW82" s="32" t="s">
        <v>407</v>
      </c>
      <c r="CX82" t="s">
        <v>83</v>
      </c>
      <c r="CY82" t="s">
        <v>407</v>
      </c>
      <c r="CZ82" t="s">
        <v>408</v>
      </c>
      <c r="DA82" t="s">
        <v>407</v>
      </c>
      <c r="DB82" t="s">
        <v>598</v>
      </c>
      <c r="DC82" t="s">
        <v>407</v>
      </c>
      <c r="DD82" t="s">
        <v>599</v>
      </c>
      <c r="DE82" t="str">
        <f t="shared" si="3"/>
        <v>%IF(K38%"Poplar","PAINT",IF(K38%"Red Oak","SGO",IF(K38%"Maple","SM","SPPN")))</v>
      </c>
      <c r="DO82" t="s">
        <v>491</v>
      </c>
    </row>
    <row r="83" spans="6:119" x14ac:dyDescent="0.25">
      <c r="F83" t="s">
        <v>178</v>
      </c>
      <c r="H83" t="s">
        <v>238</v>
      </c>
      <c r="M83" t="s">
        <v>300</v>
      </c>
      <c r="O83" t="s">
        <v>341</v>
      </c>
      <c r="T83" t="s">
        <v>344</v>
      </c>
      <c r="U83" t="s">
        <v>345</v>
      </c>
      <c r="V83" t="s">
        <v>346</v>
      </c>
      <c r="W83" t="s">
        <v>366</v>
      </c>
      <c r="X83" t="s">
        <v>344</v>
      </c>
      <c r="Y83" t="s">
        <v>407</v>
      </c>
      <c r="Z83" t="s">
        <v>27</v>
      </c>
      <c r="AA83" t="s">
        <v>407</v>
      </c>
      <c r="AB83" t="s">
        <v>408</v>
      </c>
      <c r="AC83" t="s">
        <v>407</v>
      </c>
      <c r="AD83" t="s">
        <v>27</v>
      </c>
      <c r="AE83" t="s">
        <v>407</v>
      </c>
      <c r="AF83" t="s">
        <v>408</v>
      </c>
      <c r="AG83" t="s">
        <v>345</v>
      </c>
      <c r="AH83" t="s">
        <v>346</v>
      </c>
      <c r="AI83" t="s">
        <v>366</v>
      </c>
      <c r="AJ83" t="s">
        <v>344</v>
      </c>
      <c r="AK83" t="s">
        <v>407</v>
      </c>
      <c r="AL83" t="s">
        <v>279</v>
      </c>
      <c r="AM83" t="s">
        <v>407</v>
      </c>
      <c r="AN83" t="s">
        <v>408</v>
      </c>
      <c r="AO83" t="s">
        <v>407</v>
      </c>
      <c r="AP83" t="s">
        <v>53</v>
      </c>
      <c r="AQ83" t="s">
        <v>407</v>
      </c>
      <c r="AR83" t="s">
        <v>408</v>
      </c>
      <c r="AS83" t="s">
        <v>407</v>
      </c>
      <c r="AT83" t="s">
        <v>407</v>
      </c>
      <c r="AU83" t="s">
        <v>409</v>
      </c>
      <c r="AV83" t="s">
        <v>409</v>
      </c>
      <c r="AW83" t="str">
        <f t="shared" si="2"/>
        <v>#if(J38#"JE","JE",if(J38#"Drilled","JC",""))</v>
      </c>
      <c r="BC83" t="s">
        <v>432</v>
      </c>
      <c r="BJ83" t="s">
        <v>495</v>
      </c>
      <c r="BQ83" t="s">
        <v>600</v>
      </c>
      <c r="BR83" t="s">
        <v>346</v>
      </c>
      <c r="BS83" t="s">
        <v>555</v>
      </c>
      <c r="BT83" t="s">
        <v>596</v>
      </c>
      <c r="BU83" t="s">
        <v>407</v>
      </c>
      <c r="BV83" t="s">
        <v>157</v>
      </c>
      <c r="BW83" t="s">
        <v>407</v>
      </c>
      <c r="BX83" t="s">
        <v>408</v>
      </c>
      <c r="BY83" t="s">
        <v>407</v>
      </c>
      <c r="BZ83" t="s">
        <v>80</v>
      </c>
      <c r="CA83" t="s">
        <v>407</v>
      </c>
      <c r="CB83" t="s">
        <v>408</v>
      </c>
      <c r="CC83" t="s">
        <v>597</v>
      </c>
      <c r="CD83" t="s">
        <v>346</v>
      </c>
      <c r="CE83" t="s">
        <v>555</v>
      </c>
      <c r="CF83" t="s">
        <v>596</v>
      </c>
      <c r="CG83" s="32" t="s">
        <v>407</v>
      </c>
      <c r="CH83" t="s">
        <v>411</v>
      </c>
      <c r="CI83" t="s">
        <v>407</v>
      </c>
      <c r="CJ83" t="s">
        <v>408</v>
      </c>
      <c r="CK83" s="32" t="s">
        <v>407</v>
      </c>
      <c r="CL83" t="s">
        <v>29</v>
      </c>
      <c r="CM83" t="s">
        <v>407</v>
      </c>
      <c r="CN83" t="s">
        <v>408</v>
      </c>
      <c r="CO83" t="s">
        <v>597</v>
      </c>
      <c r="CP83" t="s">
        <v>346</v>
      </c>
      <c r="CQ83" t="s">
        <v>555</v>
      </c>
      <c r="CR83" t="s">
        <v>596</v>
      </c>
      <c r="CS83" s="32" t="s">
        <v>407</v>
      </c>
      <c r="CT83" t="s">
        <v>475</v>
      </c>
      <c r="CU83" t="s">
        <v>407</v>
      </c>
      <c r="CV83" t="s">
        <v>408</v>
      </c>
      <c r="CW83" s="32" t="s">
        <v>407</v>
      </c>
      <c r="CX83" t="s">
        <v>83</v>
      </c>
      <c r="CY83" t="s">
        <v>407</v>
      </c>
      <c r="CZ83" t="s">
        <v>408</v>
      </c>
      <c r="DA83" t="s">
        <v>407</v>
      </c>
      <c r="DB83" t="s">
        <v>598</v>
      </c>
      <c r="DC83" t="s">
        <v>407</v>
      </c>
      <c r="DD83" t="s">
        <v>599</v>
      </c>
      <c r="DE83" t="str">
        <f t="shared" si="3"/>
        <v>%IF(K38%"Poplar","PAINT",IF(K38%"Red Oak","SGO",IF(K38%"Maple","SM","SPPN")))</v>
      </c>
      <c r="DO83" t="s">
        <v>492</v>
      </c>
    </row>
    <row r="84" spans="6:119" x14ac:dyDescent="0.25">
      <c r="F84" t="s">
        <v>178</v>
      </c>
      <c r="H84" t="s">
        <v>238</v>
      </c>
      <c r="M84" t="s">
        <v>300</v>
      </c>
      <c r="O84" t="s">
        <v>341</v>
      </c>
      <c r="T84" t="s">
        <v>344</v>
      </c>
      <c r="U84" t="s">
        <v>345</v>
      </c>
      <c r="V84" t="s">
        <v>346</v>
      </c>
      <c r="W84" t="s">
        <v>366</v>
      </c>
      <c r="X84" t="s">
        <v>344</v>
      </c>
      <c r="Y84" t="s">
        <v>407</v>
      </c>
      <c r="Z84" t="s">
        <v>27</v>
      </c>
      <c r="AA84" t="s">
        <v>407</v>
      </c>
      <c r="AB84" t="s">
        <v>408</v>
      </c>
      <c r="AC84" t="s">
        <v>407</v>
      </c>
      <c r="AD84" t="s">
        <v>27</v>
      </c>
      <c r="AE84" t="s">
        <v>407</v>
      </c>
      <c r="AF84" t="s">
        <v>408</v>
      </c>
      <c r="AG84" t="s">
        <v>345</v>
      </c>
      <c r="AH84" t="s">
        <v>346</v>
      </c>
      <c r="AI84" t="s">
        <v>366</v>
      </c>
      <c r="AJ84" t="s">
        <v>344</v>
      </c>
      <c r="AK84" t="s">
        <v>407</v>
      </c>
      <c r="AL84" t="s">
        <v>279</v>
      </c>
      <c r="AM84" t="s">
        <v>407</v>
      </c>
      <c r="AN84" t="s">
        <v>408</v>
      </c>
      <c r="AO84" t="s">
        <v>407</v>
      </c>
      <c r="AP84" t="s">
        <v>53</v>
      </c>
      <c r="AQ84" t="s">
        <v>407</v>
      </c>
      <c r="AR84" t="s">
        <v>408</v>
      </c>
      <c r="AS84" t="s">
        <v>407</v>
      </c>
      <c r="AT84" t="s">
        <v>407</v>
      </c>
      <c r="AU84" t="s">
        <v>409</v>
      </c>
      <c r="AV84" t="s">
        <v>409</v>
      </c>
      <c r="AW84" t="str">
        <f t="shared" si="2"/>
        <v>#if(J38#"JE","JE",if(J38#"Drilled","JC",""))</v>
      </c>
      <c r="BC84" t="s">
        <v>432</v>
      </c>
      <c r="BJ84" t="s">
        <v>495</v>
      </c>
      <c r="BQ84" t="s">
        <v>600</v>
      </c>
      <c r="BR84" t="s">
        <v>346</v>
      </c>
      <c r="BS84" t="s">
        <v>555</v>
      </c>
      <c r="BT84" t="s">
        <v>596</v>
      </c>
      <c r="BU84" t="s">
        <v>407</v>
      </c>
      <c r="BV84" t="s">
        <v>157</v>
      </c>
      <c r="BW84" t="s">
        <v>407</v>
      </c>
      <c r="BX84" t="s">
        <v>408</v>
      </c>
      <c r="BY84" t="s">
        <v>407</v>
      </c>
      <c r="BZ84" t="s">
        <v>80</v>
      </c>
      <c r="CA84" t="s">
        <v>407</v>
      </c>
      <c r="CB84" t="s">
        <v>408</v>
      </c>
      <c r="CC84" t="s">
        <v>597</v>
      </c>
      <c r="CD84" t="s">
        <v>346</v>
      </c>
      <c r="CE84" t="s">
        <v>555</v>
      </c>
      <c r="CF84" t="s">
        <v>596</v>
      </c>
      <c r="CG84" s="32" t="s">
        <v>407</v>
      </c>
      <c r="CH84" t="s">
        <v>411</v>
      </c>
      <c r="CI84" t="s">
        <v>407</v>
      </c>
      <c r="CJ84" t="s">
        <v>408</v>
      </c>
      <c r="CK84" s="32" t="s">
        <v>407</v>
      </c>
      <c r="CL84" t="s">
        <v>29</v>
      </c>
      <c r="CM84" t="s">
        <v>407</v>
      </c>
      <c r="CN84" t="s">
        <v>408</v>
      </c>
      <c r="CO84" t="s">
        <v>597</v>
      </c>
      <c r="CP84" t="s">
        <v>346</v>
      </c>
      <c r="CQ84" t="s">
        <v>555</v>
      </c>
      <c r="CR84" t="s">
        <v>596</v>
      </c>
      <c r="CS84" s="32" t="s">
        <v>407</v>
      </c>
      <c r="CT84" t="s">
        <v>475</v>
      </c>
      <c r="CU84" t="s">
        <v>407</v>
      </c>
      <c r="CV84" t="s">
        <v>408</v>
      </c>
      <c r="CW84" s="32" t="s">
        <v>407</v>
      </c>
      <c r="CX84" t="s">
        <v>83</v>
      </c>
      <c r="CY84" t="s">
        <v>407</v>
      </c>
      <c r="CZ84" t="s">
        <v>408</v>
      </c>
      <c r="DA84" t="s">
        <v>407</v>
      </c>
      <c r="DB84" t="s">
        <v>598</v>
      </c>
      <c r="DC84" t="s">
        <v>407</v>
      </c>
      <c r="DD84" t="s">
        <v>599</v>
      </c>
      <c r="DE84" t="str">
        <f t="shared" si="3"/>
        <v>%IF(K38%"Poplar","PAINT",IF(K38%"Red Oak","SGO",IF(K38%"Maple","SM","SPPN")))</v>
      </c>
      <c r="DO84" t="s">
        <v>492</v>
      </c>
    </row>
    <row r="85" spans="6:119" x14ac:dyDescent="0.25">
      <c r="F85" t="s">
        <v>179</v>
      </c>
      <c r="H85" t="s">
        <v>239</v>
      </c>
      <c r="M85" t="s">
        <v>301</v>
      </c>
      <c r="O85" t="s">
        <v>341</v>
      </c>
      <c r="T85" t="s">
        <v>344</v>
      </c>
      <c r="U85" t="s">
        <v>345</v>
      </c>
      <c r="V85" t="s">
        <v>346</v>
      </c>
      <c r="W85" t="s">
        <v>367</v>
      </c>
      <c r="X85" t="s">
        <v>344</v>
      </c>
      <c r="Y85" t="s">
        <v>407</v>
      </c>
      <c r="Z85" t="s">
        <v>27</v>
      </c>
      <c r="AA85" t="s">
        <v>407</v>
      </c>
      <c r="AB85" t="s">
        <v>408</v>
      </c>
      <c r="AC85" t="s">
        <v>407</v>
      </c>
      <c r="AD85" t="s">
        <v>27</v>
      </c>
      <c r="AE85" t="s">
        <v>407</v>
      </c>
      <c r="AF85" t="s">
        <v>408</v>
      </c>
      <c r="AG85" t="s">
        <v>345</v>
      </c>
      <c r="AH85" t="s">
        <v>346</v>
      </c>
      <c r="AI85" t="s">
        <v>367</v>
      </c>
      <c r="AJ85" t="s">
        <v>344</v>
      </c>
      <c r="AK85" t="s">
        <v>407</v>
      </c>
      <c r="AL85" t="s">
        <v>279</v>
      </c>
      <c r="AM85" t="s">
        <v>407</v>
      </c>
      <c r="AN85" t="s">
        <v>408</v>
      </c>
      <c r="AO85" t="s">
        <v>407</v>
      </c>
      <c r="AP85" t="s">
        <v>53</v>
      </c>
      <c r="AQ85" t="s">
        <v>407</v>
      </c>
      <c r="AR85" t="s">
        <v>408</v>
      </c>
      <c r="AS85" t="s">
        <v>407</v>
      </c>
      <c r="AT85" t="s">
        <v>407</v>
      </c>
      <c r="AU85" t="s">
        <v>409</v>
      </c>
      <c r="AV85" t="s">
        <v>409</v>
      </c>
      <c r="AW85" t="str">
        <f t="shared" si="2"/>
        <v>#if(J39#"JE","JE",if(J39#"Drilled","JC",""))</v>
      </c>
      <c r="BC85" t="s">
        <v>433</v>
      </c>
      <c r="BJ85" t="s">
        <v>496</v>
      </c>
      <c r="BQ85" t="s">
        <v>600</v>
      </c>
      <c r="BR85" t="s">
        <v>346</v>
      </c>
      <c r="BS85" t="s">
        <v>556</v>
      </c>
      <c r="BT85" t="s">
        <v>596</v>
      </c>
      <c r="BU85" t="s">
        <v>407</v>
      </c>
      <c r="BV85" t="s">
        <v>157</v>
      </c>
      <c r="BW85" t="s">
        <v>407</v>
      </c>
      <c r="BX85" t="s">
        <v>408</v>
      </c>
      <c r="BY85" t="s">
        <v>407</v>
      </c>
      <c r="BZ85" t="s">
        <v>80</v>
      </c>
      <c r="CA85" t="s">
        <v>407</v>
      </c>
      <c r="CB85" t="s">
        <v>408</v>
      </c>
      <c r="CC85" t="s">
        <v>597</v>
      </c>
      <c r="CD85" t="s">
        <v>346</v>
      </c>
      <c r="CE85" t="s">
        <v>556</v>
      </c>
      <c r="CF85" t="s">
        <v>596</v>
      </c>
      <c r="CG85" s="32" t="s">
        <v>407</v>
      </c>
      <c r="CH85" t="s">
        <v>411</v>
      </c>
      <c r="CI85" t="s">
        <v>407</v>
      </c>
      <c r="CJ85" t="s">
        <v>408</v>
      </c>
      <c r="CK85" s="32" t="s">
        <v>407</v>
      </c>
      <c r="CL85" t="s">
        <v>29</v>
      </c>
      <c r="CM85" t="s">
        <v>407</v>
      </c>
      <c r="CN85" t="s">
        <v>408</v>
      </c>
      <c r="CO85" t="s">
        <v>597</v>
      </c>
      <c r="CP85" t="s">
        <v>346</v>
      </c>
      <c r="CQ85" t="s">
        <v>556</v>
      </c>
      <c r="CR85" t="s">
        <v>596</v>
      </c>
      <c r="CS85" s="32" t="s">
        <v>407</v>
      </c>
      <c r="CT85" t="s">
        <v>475</v>
      </c>
      <c r="CU85" t="s">
        <v>407</v>
      </c>
      <c r="CV85" t="s">
        <v>408</v>
      </c>
      <c r="CW85" s="32" t="s">
        <v>407</v>
      </c>
      <c r="CX85" t="s">
        <v>83</v>
      </c>
      <c r="CY85" t="s">
        <v>407</v>
      </c>
      <c r="CZ85" t="s">
        <v>408</v>
      </c>
      <c r="DA85" t="s">
        <v>407</v>
      </c>
      <c r="DB85" t="s">
        <v>598</v>
      </c>
      <c r="DC85" t="s">
        <v>407</v>
      </c>
      <c r="DD85" t="s">
        <v>599</v>
      </c>
      <c r="DE85" t="str">
        <f t="shared" si="3"/>
        <v>%IF(K39%"Poplar","PAINT",IF(K39%"Red Oak","SGO",IF(K39%"Maple","SM","SPPN")))</v>
      </c>
      <c r="DO85" t="s">
        <v>492</v>
      </c>
    </row>
    <row r="86" spans="6:119" x14ac:dyDescent="0.25">
      <c r="F86" t="s">
        <v>179</v>
      </c>
      <c r="H86" t="s">
        <v>239</v>
      </c>
      <c r="M86" t="s">
        <v>301</v>
      </c>
      <c r="O86" t="s">
        <v>341</v>
      </c>
      <c r="T86" t="s">
        <v>344</v>
      </c>
      <c r="U86" t="s">
        <v>345</v>
      </c>
      <c r="V86" t="s">
        <v>346</v>
      </c>
      <c r="W86" t="s">
        <v>367</v>
      </c>
      <c r="X86" t="s">
        <v>344</v>
      </c>
      <c r="Y86" t="s">
        <v>407</v>
      </c>
      <c r="Z86" t="s">
        <v>27</v>
      </c>
      <c r="AA86" t="s">
        <v>407</v>
      </c>
      <c r="AB86" t="s">
        <v>408</v>
      </c>
      <c r="AC86" t="s">
        <v>407</v>
      </c>
      <c r="AD86" t="s">
        <v>27</v>
      </c>
      <c r="AE86" t="s">
        <v>407</v>
      </c>
      <c r="AF86" t="s">
        <v>408</v>
      </c>
      <c r="AG86" t="s">
        <v>345</v>
      </c>
      <c r="AH86" t="s">
        <v>346</v>
      </c>
      <c r="AI86" t="s">
        <v>367</v>
      </c>
      <c r="AJ86" t="s">
        <v>344</v>
      </c>
      <c r="AK86" t="s">
        <v>407</v>
      </c>
      <c r="AL86" t="s">
        <v>279</v>
      </c>
      <c r="AM86" t="s">
        <v>407</v>
      </c>
      <c r="AN86" t="s">
        <v>408</v>
      </c>
      <c r="AO86" t="s">
        <v>407</v>
      </c>
      <c r="AP86" t="s">
        <v>53</v>
      </c>
      <c r="AQ86" t="s">
        <v>407</v>
      </c>
      <c r="AR86" t="s">
        <v>408</v>
      </c>
      <c r="AS86" t="s">
        <v>407</v>
      </c>
      <c r="AT86" t="s">
        <v>407</v>
      </c>
      <c r="AU86" t="s">
        <v>409</v>
      </c>
      <c r="AV86" t="s">
        <v>409</v>
      </c>
      <c r="AW86" t="str">
        <f t="shared" si="2"/>
        <v>#if(J39#"JE","JE",if(J39#"Drilled","JC",""))</v>
      </c>
      <c r="BC86" t="s">
        <v>433</v>
      </c>
      <c r="BJ86" t="s">
        <v>496</v>
      </c>
      <c r="BQ86" t="s">
        <v>600</v>
      </c>
      <c r="BR86" t="s">
        <v>346</v>
      </c>
      <c r="BS86" t="s">
        <v>556</v>
      </c>
      <c r="BT86" t="s">
        <v>596</v>
      </c>
      <c r="BU86" t="s">
        <v>407</v>
      </c>
      <c r="BV86" t="s">
        <v>157</v>
      </c>
      <c r="BW86" t="s">
        <v>407</v>
      </c>
      <c r="BX86" t="s">
        <v>408</v>
      </c>
      <c r="BY86" t="s">
        <v>407</v>
      </c>
      <c r="BZ86" t="s">
        <v>80</v>
      </c>
      <c r="CA86" t="s">
        <v>407</v>
      </c>
      <c r="CB86" t="s">
        <v>408</v>
      </c>
      <c r="CC86" t="s">
        <v>597</v>
      </c>
      <c r="CD86" t="s">
        <v>346</v>
      </c>
      <c r="CE86" t="s">
        <v>556</v>
      </c>
      <c r="CF86" t="s">
        <v>596</v>
      </c>
      <c r="CG86" s="32" t="s">
        <v>407</v>
      </c>
      <c r="CH86" t="s">
        <v>411</v>
      </c>
      <c r="CI86" t="s">
        <v>407</v>
      </c>
      <c r="CJ86" t="s">
        <v>408</v>
      </c>
      <c r="CK86" s="32" t="s">
        <v>407</v>
      </c>
      <c r="CL86" t="s">
        <v>29</v>
      </c>
      <c r="CM86" t="s">
        <v>407</v>
      </c>
      <c r="CN86" t="s">
        <v>408</v>
      </c>
      <c r="CO86" t="s">
        <v>597</v>
      </c>
      <c r="CP86" t="s">
        <v>346</v>
      </c>
      <c r="CQ86" t="s">
        <v>556</v>
      </c>
      <c r="CR86" t="s">
        <v>596</v>
      </c>
      <c r="CS86" s="32" t="s">
        <v>407</v>
      </c>
      <c r="CT86" t="s">
        <v>475</v>
      </c>
      <c r="CU86" t="s">
        <v>407</v>
      </c>
      <c r="CV86" t="s">
        <v>408</v>
      </c>
      <c r="CW86" s="32" t="s">
        <v>407</v>
      </c>
      <c r="CX86" t="s">
        <v>83</v>
      </c>
      <c r="CY86" t="s">
        <v>407</v>
      </c>
      <c r="CZ86" t="s">
        <v>408</v>
      </c>
      <c r="DA86" t="s">
        <v>407</v>
      </c>
      <c r="DB86" t="s">
        <v>598</v>
      </c>
      <c r="DC86" t="s">
        <v>407</v>
      </c>
      <c r="DD86" t="s">
        <v>599</v>
      </c>
      <c r="DE86" t="str">
        <f t="shared" si="3"/>
        <v>%IF(K39%"Poplar","PAINT",IF(K39%"Red Oak","SGO",IF(K39%"Maple","SM","SPPN")))</v>
      </c>
      <c r="DO86" t="s">
        <v>492</v>
      </c>
    </row>
    <row r="87" spans="6:119" x14ac:dyDescent="0.25">
      <c r="F87" t="s">
        <v>179</v>
      </c>
      <c r="H87" t="s">
        <v>239</v>
      </c>
      <c r="M87" t="s">
        <v>301</v>
      </c>
      <c r="O87" t="s">
        <v>341</v>
      </c>
      <c r="T87" t="s">
        <v>344</v>
      </c>
      <c r="U87" t="s">
        <v>345</v>
      </c>
      <c r="V87" t="s">
        <v>346</v>
      </c>
      <c r="W87" t="s">
        <v>367</v>
      </c>
      <c r="X87" t="s">
        <v>344</v>
      </c>
      <c r="Y87" t="s">
        <v>407</v>
      </c>
      <c r="Z87" t="s">
        <v>27</v>
      </c>
      <c r="AA87" t="s">
        <v>407</v>
      </c>
      <c r="AB87" t="s">
        <v>408</v>
      </c>
      <c r="AC87" t="s">
        <v>407</v>
      </c>
      <c r="AD87" t="s">
        <v>27</v>
      </c>
      <c r="AE87" t="s">
        <v>407</v>
      </c>
      <c r="AF87" t="s">
        <v>408</v>
      </c>
      <c r="AG87" t="s">
        <v>345</v>
      </c>
      <c r="AH87" t="s">
        <v>346</v>
      </c>
      <c r="AI87" t="s">
        <v>367</v>
      </c>
      <c r="AJ87" t="s">
        <v>344</v>
      </c>
      <c r="AK87" t="s">
        <v>407</v>
      </c>
      <c r="AL87" t="s">
        <v>279</v>
      </c>
      <c r="AM87" t="s">
        <v>407</v>
      </c>
      <c r="AN87" t="s">
        <v>408</v>
      </c>
      <c r="AO87" t="s">
        <v>407</v>
      </c>
      <c r="AP87" t="s">
        <v>53</v>
      </c>
      <c r="AQ87" t="s">
        <v>407</v>
      </c>
      <c r="AR87" t="s">
        <v>408</v>
      </c>
      <c r="AS87" t="s">
        <v>407</v>
      </c>
      <c r="AT87" t="s">
        <v>407</v>
      </c>
      <c r="AU87" t="s">
        <v>409</v>
      </c>
      <c r="AV87" t="s">
        <v>409</v>
      </c>
      <c r="AW87" t="str">
        <f t="shared" si="2"/>
        <v>#if(J39#"JE","JE",if(J39#"Drilled","JC",""))</v>
      </c>
      <c r="BC87" t="s">
        <v>433</v>
      </c>
      <c r="BJ87" t="s">
        <v>496</v>
      </c>
      <c r="BQ87" t="s">
        <v>600</v>
      </c>
      <c r="BR87" t="s">
        <v>346</v>
      </c>
      <c r="BS87" t="s">
        <v>556</v>
      </c>
      <c r="BT87" t="s">
        <v>596</v>
      </c>
      <c r="BU87" t="s">
        <v>407</v>
      </c>
      <c r="BV87" t="s">
        <v>157</v>
      </c>
      <c r="BW87" t="s">
        <v>407</v>
      </c>
      <c r="BX87" t="s">
        <v>408</v>
      </c>
      <c r="BY87" t="s">
        <v>407</v>
      </c>
      <c r="BZ87" t="s">
        <v>80</v>
      </c>
      <c r="CA87" t="s">
        <v>407</v>
      </c>
      <c r="CB87" t="s">
        <v>408</v>
      </c>
      <c r="CC87" t="s">
        <v>597</v>
      </c>
      <c r="CD87" t="s">
        <v>346</v>
      </c>
      <c r="CE87" t="s">
        <v>556</v>
      </c>
      <c r="CF87" t="s">
        <v>596</v>
      </c>
      <c r="CG87" s="32" t="s">
        <v>407</v>
      </c>
      <c r="CH87" t="s">
        <v>411</v>
      </c>
      <c r="CI87" t="s">
        <v>407</v>
      </c>
      <c r="CJ87" t="s">
        <v>408</v>
      </c>
      <c r="CK87" s="32" t="s">
        <v>407</v>
      </c>
      <c r="CL87" t="s">
        <v>29</v>
      </c>
      <c r="CM87" t="s">
        <v>407</v>
      </c>
      <c r="CN87" t="s">
        <v>408</v>
      </c>
      <c r="CO87" t="s">
        <v>597</v>
      </c>
      <c r="CP87" t="s">
        <v>346</v>
      </c>
      <c r="CQ87" t="s">
        <v>556</v>
      </c>
      <c r="CR87" t="s">
        <v>596</v>
      </c>
      <c r="CS87" s="32" t="s">
        <v>407</v>
      </c>
      <c r="CT87" t="s">
        <v>475</v>
      </c>
      <c r="CU87" t="s">
        <v>407</v>
      </c>
      <c r="CV87" t="s">
        <v>408</v>
      </c>
      <c r="CW87" s="32" t="s">
        <v>407</v>
      </c>
      <c r="CX87" t="s">
        <v>83</v>
      </c>
      <c r="CY87" t="s">
        <v>407</v>
      </c>
      <c r="CZ87" t="s">
        <v>408</v>
      </c>
      <c r="DA87" t="s">
        <v>407</v>
      </c>
      <c r="DB87" t="s">
        <v>598</v>
      </c>
      <c r="DC87" t="s">
        <v>407</v>
      </c>
      <c r="DD87" t="s">
        <v>599</v>
      </c>
      <c r="DE87" t="str">
        <f t="shared" si="3"/>
        <v>%IF(K39%"Poplar","PAINT",IF(K39%"Red Oak","SGO",IF(K39%"Maple","SM","SPPN")))</v>
      </c>
      <c r="DO87" t="s">
        <v>493</v>
      </c>
    </row>
    <row r="88" spans="6:119" x14ac:dyDescent="0.25">
      <c r="F88" t="s">
        <v>179</v>
      </c>
      <c r="H88" t="s">
        <v>239</v>
      </c>
      <c r="M88" t="s">
        <v>301</v>
      </c>
      <c r="O88" t="s">
        <v>341</v>
      </c>
      <c r="T88" t="s">
        <v>344</v>
      </c>
      <c r="U88" t="s">
        <v>345</v>
      </c>
      <c r="V88" t="s">
        <v>346</v>
      </c>
      <c r="W88" t="s">
        <v>367</v>
      </c>
      <c r="X88" t="s">
        <v>344</v>
      </c>
      <c r="Y88" t="s">
        <v>407</v>
      </c>
      <c r="Z88" t="s">
        <v>27</v>
      </c>
      <c r="AA88" t="s">
        <v>407</v>
      </c>
      <c r="AB88" t="s">
        <v>408</v>
      </c>
      <c r="AC88" t="s">
        <v>407</v>
      </c>
      <c r="AD88" t="s">
        <v>27</v>
      </c>
      <c r="AE88" t="s">
        <v>407</v>
      </c>
      <c r="AF88" t="s">
        <v>408</v>
      </c>
      <c r="AG88" t="s">
        <v>345</v>
      </c>
      <c r="AH88" t="s">
        <v>346</v>
      </c>
      <c r="AI88" t="s">
        <v>367</v>
      </c>
      <c r="AJ88" t="s">
        <v>344</v>
      </c>
      <c r="AK88" t="s">
        <v>407</v>
      </c>
      <c r="AL88" t="s">
        <v>279</v>
      </c>
      <c r="AM88" t="s">
        <v>407</v>
      </c>
      <c r="AN88" t="s">
        <v>408</v>
      </c>
      <c r="AO88" t="s">
        <v>407</v>
      </c>
      <c r="AP88" t="s">
        <v>53</v>
      </c>
      <c r="AQ88" t="s">
        <v>407</v>
      </c>
      <c r="AR88" t="s">
        <v>408</v>
      </c>
      <c r="AS88" t="s">
        <v>407</v>
      </c>
      <c r="AT88" t="s">
        <v>407</v>
      </c>
      <c r="AU88" t="s">
        <v>409</v>
      </c>
      <c r="AV88" t="s">
        <v>409</v>
      </c>
      <c r="AW88" t="str">
        <f t="shared" si="2"/>
        <v>#if(J39#"JE","JE",if(J39#"Drilled","JC",""))</v>
      </c>
      <c r="BC88" t="s">
        <v>433</v>
      </c>
      <c r="BJ88" t="s">
        <v>496</v>
      </c>
      <c r="BQ88" t="s">
        <v>600</v>
      </c>
      <c r="BR88" t="s">
        <v>346</v>
      </c>
      <c r="BS88" t="s">
        <v>556</v>
      </c>
      <c r="BT88" t="s">
        <v>596</v>
      </c>
      <c r="BU88" t="s">
        <v>407</v>
      </c>
      <c r="BV88" t="s">
        <v>157</v>
      </c>
      <c r="BW88" t="s">
        <v>407</v>
      </c>
      <c r="BX88" t="s">
        <v>408</v>
      </c>
      <c r="BY88" t="s">
        <v>407</v>
      </c>
      <c r="BZ88" t="s">
        <v>80</v>
      </c>
      <c r="CA88" t="s">
        <v>407</v>
      </c>
      <c r="CB88" t="s">
        <v>408</v>
      </c>
      <c r="CC88" t="s">
        <v>597</v>
      </c>
      <c r="CD88" t="s">
        <v>346</v>
      </c>
      <c r="CE88" t="s">
        <v>556</v>
      </c>
      <c r="CF88" t="s">
        <v>596</v>
      </c>
      <c r="CG88" s="32" t="s">
        <v>407</v>
      </c>
      <c r="CH88" t="s">
        <v>411</v>
      </c>
      <c r="CI88" t="s">
        <v>407</v>
      </c>
      <c r="CJ88" t="s">
        <v>408</v>
      </c>
      <c r="CK88" s="32" t="s">
        <v>407</v>
      </c>
      <c r="CL88" t="s">
        <v>29</v>
      </c>
      <c r="CM88" t="s">
        <v>407</v>
      </c>
      <c r="CN88" t="s">
        <v>408</v>
      </c>
      <c r="CO88" t="s">
        <v>597</v>
      </c>
      <c r="CP88" t="s">
        <v>346</v>
      </c>
      <c r="CQ88" t="s">
        <v>556</v>
      </c>
      <c r="CR88" t="s">
        <v>596</v>
      </c>
      <c r="CS88" s="32" t="s">
        <v>407</v>
      </c>
      <c r="CT88" t="s">
        <v>475</v>
      </c>
      <c r="CU88" t="s">
        <v>407</v>
      </c>
      <c r="CV88" t="s">
        <v>408</v>
      </c>
      <c r="CW88" s="32" t="s">
        <v>407</v>
      </c>
      <c r="CX88" t="s">
        <v>83</v>
      </c>
      <c r="CY88" t="s">
        <v>407</v>
      </c>
      <c r="CZ88" t="s">
        <v>408</v>
      </c>
      <c r="DA88" t="s">
        <v>407</v>
      </c>
      <c r="DB88" t="s">
        <v>598</v>
      </c>
      <c r="DC88" t="s">
        <v>407</v>
      </c>
      <c r="DD88" t="s">
        <v>599</v>
      </c>
      <c r="DE88" t="str">
        <f t="shared" si="3"/>
        <v>%IF(K39%"Poplar","PAINT",IF(K39%"Red Oak","SGO",IF(K39%"Maple","SM","SPPN")))</v>
      </c>
      <c r="DO88" t="s">
        <v>493</v>
      </c>
    </row>
    <row r="89" spans="6:119" x14ac:dyDescent="0.25">
      <c r="F89" t="s">
        <v>180</v>
      </c>
      <c r="H89" t="s">
        <v>240</v>
      </c>
      <c r="M89" t="s">
        <v>302</v>
      </c>
      <c r="O89" t="s">
        <v>341</v>
      </c>
      <c r="T89" t="s">
        <v>344</v>
      </c>
      <c r="U89" t="s">
        <v>345</v>
      </c>
      <c r="V89" t="s">
        <v>346</v>
      </c>
      <c r="W89" t="s">
        <v>368</v>
      </c>
      <c r="X89" t="s">
        <v>344</v>
      </c>
      <c r="Y89" t="s">
        <v>407</v>
      </c>
      <c r="Z89" t="s">
        <v>27</v>
      </c>
      <c r="AA89" t="s">
        <v>407</v>
      </c>
      <c r="AB89" t="s">
        <v>408</v>
      </c>
      <c r="AC89" t="s">
        <v>407</v>
      </c>
      <c r="AD89" t="s">
        <v>27</v>
      </c>
      <c r="AE89" t="s">
        <v>407</v>
      </c>
      <c r="AF89" t="s">
        <v>408</v>
      </c>
      <c r="AG89" t="s">
        <v>345</v>
      </c>
      <c r="AH89" t="s">
        <v>346</v>
      </c>
      <c r="AI89" t="s">
        <v>368</v>
      </c>
      <c r="AJ89" t="s">
        <v>344</v>
      </c>
      <c r="AK89" t="s">
        <v>407</v>
      </c>
      <c r="AL89" t="s">
        <v>279</v>
      </c>
      <c r="AM89" t="s">
        <v>407</v>
      </c>
      <c r="AN89" t="s">
        <v>408</v>
      </c>
      <c r="AO89" t="s">
        <v>407</v>
      </c>
      <c r="AP89" t="s">
        <v>53</v>
      </c>
      <c r="AQ89" t="s">
        <v>407</v>
      </c>
      <c r="AR89" t="s">
        <v>408</v>
      </c>
      <c r="AS89" t="s">
        <v>407</v>
      </c>
      <c r="AT89" t="s">
        <v>407</v>
      </c>
      <c r="AU89" t="s">
        <v>409</v>
      </c>
      <c r="AV89" t="s">
        <v>409</v>
      </c>
      <c r="AW89" t="str">
        <f t="shared" si="2"/>
        <v>#if(J40#"JE","JE",if(J40#"Drilled","JC",""))</v>
      </c>
      <c r="BC89" t="s">
        <v>434</v>
      </c>
      <c r="BJ89" t="s">
        <v>497</v>
      </c>
      <c r="BQ89" t="s">
        <v>600</v>
      </c>
      <c r="BR89" t="s">
        <v>346</v>
      </c>
      <c r="BS89" t="s">
        <v>557</v>
      </c>
      <c r="BT89" t="s">
        <v>596</v>
      </c>
      <c r="BU89" t="s">
        <v>407</v>
      </c>
      <c r="BV89" t="s">
        <v>157</v>
      </c>
      <c r="BW89" t="s">
        <v>407</v>
      </c>
      <c r="BX89" t="s">
        <v>408</v>
      </c>
      <c r="BY89" t="s">
        <v>407</v>
      </c>
      <c r="BZ89" t="s">
        <v>80</v>
      </c>
      <c r="CA89" t="s">
        <v>407</v>
      </c>
      <c r="CB89" t="s">
        <v>408</v>
      </c>
      <c r="CC89" t="s">
        <v>597</v>
      </c>
      <c r="CD89" t="s">
        <v>346</v>
      </c>
      <c r="CE89" t="s">
        <v>557</v>
      </c>
      <c r="CF89" t="s">
        <v>596</v>
      </c>
      <c r="CG89" s="32" t="s">
        <v>407</v>
      </c>
      <c r="CH89" t="s">
        <v>411</v>
      </c>
      <c r="CI89" t="s">
        <v>407</v>
      </c>
      <c r="CJ89" t="s">
        <v>408</v>
      </c>
      <c r="CK89" s="32" t="s">
        <v>407</v>
      </c>
      <c r="CL89" t="s">
        <v>29</v>
      </c>
      <c r="CM89" t="s">
        <v>407</v>
      </c>
      <c r="CN89" t="s">
        <v>408</v>
      </c>
      <c r="CO89" t="s">
        <v>597</v>
      </c>
      <c r="CP89" t="s">
        <v>346</v>
      </c>
      <c r="CQ89" t="s">
        <v>557</v>
      </c>
      <c r="CR89" t="s">
        <v>596</v>
      </c>
      <c r="CS89" s="32" t="s">
        <v>407</v>
      </c>
      <c r="CT89" t="s">
        <v>475</v>
      </c>
      <c r="CU89" t="s">
        <v>407</v>
      </c>
      <c r="CV89" t="s">
        <v>408</v>
      </c>
      <c r="CW89" s="32" t="s">
        <v>407</v>
      </c>
      <c r="CX89" t="s">
        <v>83</v>
      </c>
      <c r="CY89" t="s">
        <v>407</v>
      </c>
      <c r="CZ89" t="s">
        <v>408</v>
      </c>
      <c r="DA89" t="s">
        <v>407</v>
      </c>
      <c r="DB89" t="s">
        <v>598</v>
      </c>
      <c r="DC89" t="s">
        <v>407</v>
      </c>
      <c r="DD89" t="s">
        <v>599</v>
      </c>
      <c r="DE89" t="str">
        <f t="shared" si="3"/>
        <v>%IF(K40%"Poplar","PAINT",IF(K40%"Red Oak","SGO",IF(K40%"Maple","SM","SPPN")))</v>
      </c>
      <c r="DO89" t="s">
        <v>493</v>
      </c>
    </row>
    <row r="90" spans="6:119" x14ac:dyDescent="0.25">
      <c r="F90" t="s">
        <v>180</v>
      </c>
      <c r="H90" t="s">
        <v>240</v>
      </c>
      <c r="M90" t="s">
        <v>302</v>
      </c>
      <c r="O90" t="s">
        <v>341</v>
      </c>
      <c r="T90" t="s">
        <v>344</v>
      </c>
      <c r="U90" t="s">
        <v>345</v>
      </c>
      <c r="V90" t="s">
        <v>346</v>
      </c>
      <c r="W90" t="s">
        <v>368</v>
      </c>
      <c r="X90" t="s">
        <v>344</v>
      </c>
      <c r="Y90" t="s">
        <v>407</v>
      </c>
      <c r="Z90" t="s">
        <v>27</v>
      </c>
      <c r="AA90" t="s">
        <v>407</v>
      </c>
      <c r="AB90" t="s">
        <v>408</v>
      </c>
      <c r="AC90" t="s">
        <v>407</v>
      </c>
      <c r="AD90" t="s">
        <v>27</v>
      </c>
      <c r="AE90" t="s">
        <v>407</v>
      </c>
      <c r="AF90" t="s">
        <v>408</v>
      </c>
      <c r="AG90" t="s">
        <v>345</v>
      </c>
      <c r="AH90" t="s">
        <v>346</v>
      </c>
      <c r="AI90" t="s">
        <v>368</v>
      </c>
      <c r="AJ90" t="s">
        <v>344</v>
      </c>
      <c r="AK90" t="s">
        <v>407</v>
      </c>
      <c r="AL90" t="s">
        <v>279</v>
      </c>
      <c r="AM90" t="s">
        <v>407</v>
      </c>
      <c r="AN90" t="s">
        <v>408</v>
      </c>
      <c r="AO90" t="s">
        <v>407</v>
      </c>
      <c r="AP90" t="s">
        <v>53</v>
      </c>
      <c r="AQ90" t="s">
        <v>407</v>
      </c>
      <c r="AR90" t="s">
        <v>408</v>
      </c>
      <c r="AS90" t="s">
        <v>407</v>
      </c>
      <c r="AT90" t="s">
        <v>407</v>
      </c>
      <c r="AU90" t="s">
        <v>409</v>
      </c>
      <c r="AV90" t="s">
        <v>409</v>
      </c>
      <c r="AW90" t="str">
        <f t="shared" si="2"/>
        <v>#if(J40#"JE","JE",if(J40#"Drilled","JC",""))</v>
      </c>
      <c r="BC90" t="s">
        <v>434</v>
      </c>
      <c r="BJ90" t="s">
        <v>497</v>
      </c>
      <c r="BQ90" t="s">
        <v>600</v>
      </c>
      <c r="BR90" t="s">
        <v>346</v>
      </c>
      <c r="BS90" t="s">
        <v>557</v>
      </c>
      <c r="BT90" t="s">
        <v>596</v>
      </c>
      <c r="BU90" t="s">
        <v>407</v>
      </c>
      <c r="BV90" t="s">
        <v>157</v>
      </c>
      <c r="BW90" t="s">
        <v>407</v>
      </c>
      <c r="BX90" t="s">
        <v>408</v>
      </c>
      <c r="BY90" t="s">
        <v>407</v>
      </c>
      <c r="BZ90" t="s">
        <v>80</v>
      </c>
      <c r="CA90" t="s">
        <v>407</v>
      </c>
      <c r="CB90" t="s">
        <v>408</v>
      </c>
      <c r="CC90" t="s">
        <v>597</v>
      </c>
      <c r="CD90" t="s">
        <v>346</v>
      </c>
      <c r="CE90" t="s">
        <v>557</v>
      </c>
      <c r="CF90" t="s">
        <v>596</v>
      </c>
      <c r="CG90" s="32" t="s">
        <v>407</v>
      </c>
      <c r="CH90" t="s">
        <v>411</v>
      </c>
      <c r="CI90" t="s">
        <v>407</v>
      </c>
      <c r="CJ90" t="s">
        <v>408</v>
      </c>
      <c r="CK90" s="32" t="s">
        <v>407</v>
      </c>
      <c r="CL90" t="s">
        <v>29</v>
      </c>
      <c r="CM90" t="s">
        <v>407</v>
      </c>
      <c r="CN90" t="s">
        <v>408</v>
      </c>
      <c r="CO90" t="s">
        <v>597</v>
      </c>
      <c r="CP90" t="s">
        <v>346</v>
      </c>
      <c r="CQ90" t="s">
        <v>557</v>
      </c>
      <c r="CR90" t="s">
        <v>596</v>
      </c>
      <c r="CS90" s="32" t="s">
        <v>407</v>
      </c>
      <c r="CT90" t="s">
        <v>475</v>
      </c>
      <c r="CU90" t="s">
        <v>407</v>
      </c>
      <c r="CV90" t="s">
        <v>408</v>
      </c>
      <c r="CW90" s="32" t="s">
        <v>407</v>
      </c>
      <c r="CX90" t="s">
        <v>83</v>
      </c>
      <c r="CY90" t="s">
        <v>407</v>
      </c>
      <c r="CZ90" t="s">
        <v>408</v>
      </c>
      <c r="DA90" t="s">
        <v>407</v>
      </c>
      <c r="DB90" t="s">
        <v>598</v>
      </c>
      <c r="DC90" t="s">
        <v>407</v>
      </c>
      <c r="DD90" t="s">
        <v>599</v>
      </c>
      <c r="DE90" t="str">
        <f t="shared" si="3"/>
        <v>%IF(K40%"Poplar","PAINT",IF(K40%"Red Oak","SGO",IF(K40%"Maple","SM","SPPN")))</v>
      </c>
      <c r="DO90" t="s">
        <v>493</v>
      </c>
    </row>
    <row r="91" spans="6:119" x14ac:dyDescent="0.25">
      <c r="F91" t="s">
        <v>180</v>
      </c>
      <c r="H91" t="s">
        <v>240</v>
      </c>
      <c r="M91" t="s">
        <v>302</v>
      </c>
      <c r="O91" t="s">
        <v>341</v>
      </c>
      <c r="T91" t="s">
        <v>344</v>
      </c>
      <c r="U91" t="s">
        <v>345</v>
      </c>
      <c r="V91" t="s">
        <v>346</v>
      </c>
      <c r="W91" t="s">
        <v>368</v>
      </c>
      <c r="X91" t="s">
        <v>344</v>
      </c>
      <c r="Y91" t="s">
        <v>407</v>
      </c>
      <c r="Z91" t="s">
        <v>27</v>
      </c>
      <c r="AA91" t="s">
        <v>407</v>
      </c>
      <c r="AB91" t="s">
        <v>408</v>
      </c>
      <c r="AC91" t="s">
        <v>407</v>
      </c>
      <c r="AD91" t="s">
        <v>27</v>
      </c>
      <c r="AE91" t="s">
        <v>407</v>
      </c>
      <c r="AF91" t="s">
        <v>408</v>
      </c>
      <c r="AG91" t="s">
        <v>345</v>
      </c>
      <c r="AH91" t="s">
        <v>346</v>
      </c>
      <c r="AI91" t="s">
        <v>368</v>
      </c>
      <c r="AJ91" t="s">
        <v>344</v>
      </c>
      <c r="AK91" t="s">
        <v>407</v>
      </c>
      <c r="AL91" t="s">
        <v>279</v>
      </c>
      <c r="AM91" t="s">
        <v>407</v>
      </c>
      <c r="AN91" t="s">
        <v>408</v>
      </c>
      <c r="AO91" t="s">
        <v>407</v>
      </c>
      <c r="AP91" t="s">
        <v>53</v>
      </c>
      <c r="AQ91" t="s">
        <v>407</v>
      </c>
      <c r="AR91" t="s">
        <v>408</v>
      </c>
      <c r="AS91" t="s">
        <v>407</v>
      </c>
      <c r="AT91" t="s">
        <v>407</v>
      </c>
      <c r="AU91" t="s">
        <v>409</v>
      </c>
      <c r="AV91" t="s">
        <v>409</v>
      </c>
      <c r="AW91" t="str">
        <f t="shared" si="2"/>
        <v>#if(J40#"JE","JE",if(J40#"Drilled","JC",""))</v>
      </c>
      <c r="BC91" t="s">
        <v>434</v>
      </c>
      <c r="BJ91" t="s">
        <v>497</v>
      </c>
      <c r="BQ91" t="s">
        <v>600</v>
      </c>
      <c r="BR91" t="s">
        <v>346</v>
      </c>
      <c r="BS91" t="s">
        <v>557</v>
      </c>
      <c r="BT91" t="s">
        <v>596</v>
      </c>
      <c r="BU91" t="s">
        <v>407</v>
      </c>
      <c r="BV91" t="s">
        <v>157</v>
      </c>
      <c r="BW91" t="s">
        <v>407</v>
      </c>
      <c r="BX91" t="s">
        <v>408</v>
      </c>
      <c r="BY91" t="s">
        <v>407</v>
      </c>
      <c r="BZ91" t="s">
        <v>80</v>
      </c>
      <c r="CA91" t="s">
        <v>407</v>
      </c>
      <c r="CB91" t="s">
        <v>408</v>
      </c>
      <c r="CC91" t="s">
        <v>597</v>
      </c>
      <c r="CD91" t="s">
        <v>346</v>
      </c>
      <c r="CE91" t="s">
        <v>557</v>
      </c>
      <c r="CF91" t="s">
        <v>596</v>
      </c>
      <c r="CG91" s="32" t="s">
        <v>407</v>
      </c>
      <c r="CH91" t="s">
        <v>411</v>
      </c>
      <c r="CI91" t="s">
        <v>407</v>
      </c>
      <c r="CJ91" t="s">
        <v>408</v>
      </c>
      <c r="CK91" s="32" t="s">
        <v>407</v>
      </c>
      <c r="CL91" t="s">
        <v>29</v>
      </c>
      <c r="CM91" t="s">
        <v>407</v>
      </c>
      <c r="CN91" t="s">
        <v>408</v>
      </c>
      <c r="CO91" t="s">
        <v>597</v>
      </c>
      <c r="CP91" t="s">
        <v>346</v>
      </c>
      <c r="CQ91" t="s">
        <v>557</v>
      </c>
      <c r="CR91" t="s">
        <v>596</v>
      </c>
      <c r="CS91" s="32" t="s">
        <v>407</v>
      </c>
      <c r="CT91" t="s">
        <v>475</v>
      </c>
      <c r="CU91" t="s">
        <v>407</v>
      </c>
      <c r="CV91" t="s">
        <v>408</v>
      </c>
      <c r="CW91" s="32" t="s">
        <v>407</v>
      </c>
      <c r="CX91" t="s">
        <v>83</v>
      </c>
      <c r="CY91" t="s">
        <v>407</v>
      </c>
      <c r="CZ91" t="s">
        <v>408</v>
      </c>
      <c r="DA91" t="s">
        <v>407</v>
      </c>
      <c r="DB91" t="s">
        <v>598</v>
      </c>
      <c r="DC91" t="s">
        <v>407</v>
      </c>
      <c r="DD91" t="s">
        <v>599</v>
      </c>
      <c r="DE91" t="str">
        <f t="shared" si="3"/>
        <v>%IF(K40%"Poplar","PAINT",IF(K40%"Red Oak","SGO",IF(K40%"Maple","SM","SPPN")))</v>
      </c>
      <c r="DO91" t="s">
        <v>494</v>
      </c>
    </row>
    <row r="92" spans="6:119" x14ac:dyDescent="0.25">
      <c r="F92" t="s">
        <v>180</v>
      </c>
      <c r="H92" t="s">
        <v>240</v>
      </c>
      <c r="M92" t="s">
        <v>302</v>
      </c>
      <c r="O92" t="s">
        <v>341</v>
      </c>
      <c r="T92" t="s">
        <v>344</v>
      </c>
      <c r="U92" t="s">
        <v>345</v>
      </c>
      <c r="V92" t="s">
        <v>346</v>
      </c>
      <c r="W92" t="s">
        <v>368</v>
      </c>
      <c r="X92" t="s">
        <v>344</v>
      </c>
      <c r="Y92" t="s">
        <v>407</v>
      </c>
      <c r="Z92" t="s">
        <v>27</v>
      </c>
      <c r="AA92" t="s">
        <v>407</v>
      </c>
      <c r="AB92" t="s">
        <v>408</v>
      </c>
      <c r="AC92" t="s">
        <v>407</v>
      </c>
      <c r="AD92" t="s">
        <v>27</v>
      </c>
      <c r="AE92" t="s">
        <v>407</v>
      </c>
      <c r="AF92" t="s">
        <v>408</v>
      </c>
      <c r="AG92" t="s">
        <v>345</v>
      </c>
      <c r="AH92" t="s">
        <v>346</v>
      </c>
      <c r="AI92" t="s">
        <v>368</v>
      </c>
      <c r="AJ92" t="s">
        <v>344</v>
      </c>
      <c r="AK92" t="s">
        <v>407</v>
      </c>
      <c r="AL92" t="s">
        <v>279</v>
      </c>
      <c r="AM92" t="s">
        <v>407</v>
      </c>
      <c r="AN92" t="s">
        <v>408</v>
      </c>
      <c r="AO92" t="s">
        <v>407</v>
      </c>
      <c r="AP92" t="s">
        <v>53</v>
      </c>
      <c r="AQ92" t="s">
        <v>407</v>
      </c>
      <c r="AR92" t="s">
        <v>408</v>
      </c>
      <c r="AS92" t="s">
        <v>407</v>
      </c>
      <c r="AT92" t="s">
        <v>407</v>
      </c>
      <c r="AU92" t="s">
        <v>409</v>
      </c>
      <c r="AV92" t="s">
        <v>409</v>
      </c>
      <c r="AW92" t="str">
        <f t="shared" si="2"/>
        <v>#if(J40#"JE","JE",if(J40#"Drilled","JC",""))</v>
      </c>
      <c r="BC92" t="s">
        <v>434</v>
      </c>
      <c r="BJ92" t="s">
        <v>497</v>
      </c>
      <c r="BQ92" t="s">
        <v>600</v>
      </c>
      <c r="BR92" t="s">
        <v>346</v>
      </c>
      <c r="BS92" t="s">
        <v>557</v>
      </c>
      <c r="BT92" t="s">
        <v>596</v>
      </c>
      <c r="BU92" t="s">
        <v>407</v>
      </c>
      <c r="BV92" t="s">
        <v>157</v>
      </c>
      <c r="BW92" t="s">
        <v>407</v>
      </c>
      <c r="BX92" t="s">
        <v>408</v>
      </c>
      <c r="BY92" t="s">
        <v>407</v>
      </c>
      <c r="BZ92" t="s">
        <v>80</v>
      </c>
      <c r="CA92" t="s">
        <v>407</v>
      </c>
      <c r="CB92" t="s">
        <v>408</v>
      </c>
      <c r="CC92" t="s">
        <v>597</v>
      </c>
      <c r="CD92" t="s">
        <v>346</v>
      </c>
      <c r="CE92" t="s">
        <v>557</v>
      </c>
      <c r="CF92" t="s">
        <v>596</v>
      </c>
      <c r="CG92" s="32" t="s">
        <v>407</v>
      </c>
      <c r="CH92" t="s">
        <v>411</v>
      </c>
      <c r="CI92" t="s">
        <v>407</v>
      </c>
      <c r="CJ92" t="s">
        <v>408</v>
      </c>
      <c r="CK92" s="32" t="s">
        <v>407</v>
      </c>
      <c r="CL92" t="s">
        <v>29</v>
      </c>
      <c r="CM92" t="s">
        <v>407</v>
      </c>
      <c r="CN92" t="s">
        <v>408</v>
      </c>
      <c r="CO92" t="s">
        <v>597</v>
      </c>
      <c r="CP92" t="s">
        <v>346</v>
      </c>
      <c r="CQ92" t="s">
        <v>557</v>
      </c>
      <c r="CR92" t="s">
        <v>596</v>
      </c>
      <c r="CS92" s="32" t="s">
        <v>407</v>
      </c>
      <c r="CT92" t="s">
        <v>475</v>
      </c>
      <c r="CU92" t="s">
        <v>407</v>
      </c>
      <c r="CV92" t="s">
        <v>408</v>
      </c>
      <c r="CW92" s="32" t="s">
        <v>407</v>
      </c>
      <c r="CX92" t="s">
        <v>83</v>
      </c>
      <c r="CY92" t="s">
        <v>407</v>
      </c>
      <c r="CZ92" t="s">
        <v>408</v>
      </c>
      <c r="DA92" t="s">
        <v>407</v>
      </c>
      <c r="DB92" t="s">
        <v>598</v>
      </c>
      <c r="DC92" t="s">
        <v>407</v>
      </c>
      <c r="DD92" t="s">
        <v>599</v>
      </c>
      <c r="DE92" t="str">
        <f t="shared" si="3"/>
        <v>%IF(K40%"Poplar","PAINT",IF(K40%"Red Oak","SGO",IF(K40%"Maple","SM","SPPN")))</v>
      </c>
      <c r="DO92" t="s">
        <v>494</v>
      </c>
    </row>
    <row r="93" spans="6:119" x14ac:dyDescent="0.25">
      <c r="F93" t="s">
        <v>181</v>
      </c>
      <c r="H93" t="s">
        <v>241</v>
      </c>
      <c r="M93" t="s">
        <v>303</v>
      </c>
      <c r="O93" t="s">
        <v>341</v>
      </c>
      <c r="T93" t="s">
        <v>344</v>
      </c>
      <c r="U93" t="s">
        <v>345</v>
      </c>
      <c r="V93" t="s">
        <v>346</v>
      </c>
      <c r="W93" t="s">
        <v>369</v>
      </c>
      <c r="X93" t="s">
        <v>344</v>
      </c>
      <c r="Y93" t="s">
        <v>407</v>
      </c>
      <c r="Z93" t="s">
        <v>27</v>
      </c>
      <c r="AA93" t="s">
        <v>407</v>
      </c>
      <c r="AB93" t="s">
        <v>408</v>
      </c>
      <c r="AC93" t="s">
        <v>407</v>
      </c>
      <c r="AD93" t="s">
        <v>27</v>
      </c>
      <c r="AE93" t="s">
        <v>407</v>
      </c>
      <c r="AF93" t="s">
        <v>408</v>
      </c>
      <c r="AG93" t="s">
        <v>345</v>
      </c>
      <c r="AH93" t="s">
        <v>346</v>
      </c>
      <c r="AI93" t="s">
        <v>369</v>
      </c>
      <c r="AJ93" t="s">
        <v>344</v>
      </c>
      <c r="AK93" t="s">
        <v>407</v>
      </c>
      <c r="AL93" t="s">
        <v>279</v>
      </c>
      <c r="AM93" t="s">
        <v>407</v>
      </c>
      <c r="AN93" t="s">
        <v>408</v>
      </c>
      <c r="AO93" t="s">
        <v>407</v>
      </c>
      <c r="AP93" t="s">
        <v>53</v>
      </c>
      <c r="AQ93" t="s">
        <v>407</v>
      </c>
      <c r="AR93" t="s">
        <v>408</v>
      </c>
      <c r="AS93" t="s">
        <v>407</v>
      </c>
      <c r="AT93" t="s">
        <v>407</v>
      </c>
      <c r="AU93" t="s">
        <v>409</v>
      </c>
      <c r="AV93" t="s">
        <v>409</v>
      </c>
      <c r="AW93" t="str">
        <f t="shared" si="2"/>
        <v>#if(J41#"JE","JE",if(J41#"Drilled","JC",""))</v>
      </c>
      <c r="BC93" t="s">
        <v>435</v>
      </c>
      <c r="BJ93" t="s">
        <v>498</v>
      </c>
      <c r="BQ93" t="s">
        <v>600</v>
      </c>
      <c r="BR93" t="s">
        <v>346</v>
      </c>
      <c r="BS93" t="s">
        <v>558</v>
      </c>
      <c r="BT93" t="s">
        <v>596</v>
      </c>
      <c r="BU93" t="s">
        <v>407</v>
      </c>
      <c r="BV93" t="s">
        <v>157</v>
      </c>
      <c r="BW93" t="s">
        <v>407</v>
      </c>
      <c r="BX93" t="s">
        <v>408</v>
      </c>
      <c r="BY93" t="s">
        <v>407</v>
      </c>
      <c r="BZ93" t="s">
        <v>80</v>
      </c>
      <c r="CA93" t="s">
        <v>407</v>
      </c>
      <c r="CB93" t="s">
        <v>408</v>
      </c>
      <c r="CC93" t="s">
        <v>597</v>
      </c>
      <c r="CD93" t="s">
        <v>346</v>
      </c>
      <c r="CE93" t="s">
        <v>558</v>
      </c>
      <c r="CF93" t="s">
        <v>596</v>
      </c>
      <c r="CG93" s="32" t="s">
        <v>407</v>
      </c>
      <c r="CH93" t="s">
        <v>411</v>
      </c>
      <c r="CI93" t="s">
        <v>407</v>
      </c>
      <c r="CJ93" t="s">
        <v>408</v>
      </c>
      <c r="CK93" s="32" t="s">
        <v>407</v>
      </c>
      <c r="CL93" t="s">
        <v>29</v>
      </c>
      <c r="CM93" t="s">
        <v>407</v>
      </c>
      <c r="CN93" t="s">
        <v>408</v>
      </c>
      <c r="CO93" t="s">
        <v>597</v>
      </c>
      <c r="CP93" t="s">
        <v>346</v>
      </c>
      <c r="CQ93" t="s">
        <v>558</v>
      </c>
      <c r="CR93" t="s">
        <v>596</v>
      </c>
      <c r="CS93" s="32" t="s">
        <v>407</v>
      </c>
      <c r="CT93" t="s">
        <v>475</v>
      </c>
      <c r="CU93" t="s">
        <v>407</v>
      </c>
      <c r="CV93" t="s">
        <v>408</v>
      </c>
      <c r="CW93" s="32" t="s">
        <v>407</v>
      </c>
      <c r="CX93" t="s">
        <v>83</v>
      </c>
      <c r="CY93" t="s">
        <v>407</v>
      </c>
      <c r="CZ93" t="s">
        <v>408</v>
      </c>
      <c r="DA93" t="s">
        <v>407</v>
      </c>
      <c r="DB93" t="s">
        <v>598</v>
      </c>
      <c r="DC93" t="s">
        <v>407</v>
      </c>
      <c r="DD93" t="s">
        <v>599</v>
      </c>
      <c r="DE93" t="str">
        <f t="shared" si="3"/>
        <v>%IF(K41%"Poplar","PAINT",IF(K41%"Red Oak","SGO",IF(K41%"Maple","SM","SPPN")))</v>
      </c>
      <c r="DO93" t="s">
        <v>494</v>
      </c>
    </row>
    <row r="94" spans="6:119" x14ac:dyDescent="0.25">
      <c r="F94" t="s">
        <v>181</v>
      </c>
      <c r="H94" t="s">
        <v>241</v>
      </c>
      <c r="M94" t="s">
        <v>303</v>
      </c>
      <c r="O94" t="s">
        <v>341</v>
      </c>
      <c r="T94" t="s">
        <v>344</v>
      </c>
      <c r="U94" t="s">
        <v>345</v>
      </c>
      <c r="V94" t="s">
        <v>346</v>
      </c>
      <c r="W94" t="s">
        <v>369</v>
      </c>
      <c r="X94" t="s">
        <v>344</v>
      </c>
      <c r="Y94" t="s">
        <v>407</v>
      </c>
      <c r="Z94" t="s">
        <v>27</v>
      </c>
      <c r="AA94" t="s">
        <v>407</v>
      </c>
      <c r="AB94" t="s">
        <v>408</v>
      </c>
      <c r="AC94" t="s">
        <v>407</v>
      </c>
      <c r="AD94" t="s">
        <v>27</v>
      </c>
      <c r="AE94" t="s">
        <v>407</v>
      </c>
      <c r="AF94" t="s">
        <v>408</v>
      </c>
      <c r="AG94" t="s">
        <v>345</v>
      </c>
      <c r="AH94" t="s">
        <v>346</v>
      </c>
      <c r="AI94" t="s">
        <v>369</v>
      </c>
      <c r="AJ94" t="s">
        <v>344</v>
      </c>
      <c r="AK94" t="s">
        <v>407</v>
      </c>
      <c r="AL94" t="s">
        <v>279</v>
      </c>
      <c r="AM94" t="s">
        <v>407</v>
      </c>
      <c r="AN94" t="s">
        <v>408</v>
      </c>
      <c r="AO94" t="s">
        <v>407</v>
      </c>
      <c r="AP94" t="s">
        <v>53</v>
      </c>
      <c r="AQ94" t="s">
        <v>407</v>
      </c>
      <c r="AR94" t="s">
        <v>408</v>
      </c>
      <c r="AS94" t="s">
        <v>407</v>
      </c>
      <c r="AT94" t="s">
        <v>407</v>
      </c>
      <c r="AU94" t="s">
        <v>409</v>
      </c>
      <c r="AV94" t="s">
        <v>409</v>
      </c>
      <c r="AW94" t="str">
        <f t="shared" si="2"/>
        <v>#if(J41#"JE","JE",if(J41#"Drilled","JC",""))</v>
      </c>
      <c r="BC94" t="s">
        <v>435</v>
      </c>
      <c r="BJ94" t="s">
        <v>498</v>
      </c>
      <c r="BQ94" t="s">
        <v>600</v>
      </c>
      <c r="BR94" t="s">
        <v>346</v>
      </c>
      <c r="BS94" t="s">
        <v>558</v>
      </c>
      <c r="BT94" t="s">
        <v>596</v>
      </c>
      <c r="BU94" t="s">
        <v>407</v>
      </c>
      <c r="BV94" t="s">
        <v>157</v>
      </c>
      <c r="BW94" t="s">
        <v>407</v>
      </c>
      <c r="BX94" t="s">
        <v>408</v>
      </c>
      <c r="BY94" t="s">
        <v>407</v>
      </c>
      <c r="BZ94" t="s">
        <v>80</v>
      </c>
      <c r="CA94" t="s">
        <v>407</v>
      </c>
      <c r="CB94" t="s">
        <v>408</v>
      </c>
      <c r="CC94" t="s">
        <v>597</v>
      </c>
      <c r="CD94" t="s">
        <v>346</v>
      </c>
      <c r="CE94" t="s">
        <v>558</v>
      </c>
      <c r="CF94" t="s">
        <v>596</v>
      </c>
      <c r="CG94" s="32" t="s">
        <v>407</v>
      </c>
      <c r="CH94" t="s">
        <v>411</v>
      </c>
      <c r="CI94" t="s">
        <v>407</v>
      </c>
      <c r="CJ94" t="s">
        <v>408</v>
      </c>
      <c r="CK94" s="32" t="s">
        <v>407</v>
      </c>
      <c r="CL94" t="s">
        <v>29</v>
      </c>
      <c r="CM94" t="s">
        <v>407</v>
      </c>
      <c r="CN94" t="s">
        <v>408</v>
      </c>
      <c r="CO94" t="s">
        <v>597</v>
      </c>
      <c r="CP94" t="s">
        <v>346</v>
      </c>
      <c r="CQ94" t="s">
        <v>558</v>
      </c>
      <c r="CR94" t="s">
        <v>596</v>
      </c>
      <c r="CS94" s="32" t="s">
        <v>407</v>
      </c>
      <c r="CT94" t="s">
        <v>475</v>
      </c>
      <c r="CU94" t="s">
        <v>407</v>
      </c>
      <c r="CV94" t="s">
        <v>408</v>
      </c>
      <c r="CW94" s="32" t="s">
        <v>407</v>
      </c>
      <c r="CX94" t="s">
        <v>83</v>
      </c>
      <c r="CY94" t="s">
        <v>407</v>
      </c>
      <c r="CZ94" t="s">
        <v>408</v>
      </c>
      <c r="DA94" t="s">
        <v>407</v>
      </c>
      <c r="DB94" t="s">
        <v>598</v>
      </c>
      <c r="DC94" t="s">
        <v>407</v>
      </c>
      <c r="DD94" t="s">
        <v>599</v>
      </c>
      <c r="DE94" t="str">
        <f t="shared" si="3"/>
        <v>%IF(K41%"Poplar","PAINT",IF(K41%"Red Oak","SGO",IF(K41%"Maple","SM","SPPN")))</v>
      </c>
      <c r="DO94" t="s">
        <v>494</v>
      </c>
    </row>
    <row r="95" spans="6:119" x14ac:dyDescent="0.25">
      <c r="F95" t="s">
        <v>181</v>
      </c>
      <c r="H95" t="s">
        <v>241</v>
      </c>
      <c r="M95" t="s">
        <v>303</v>
      </c>
      <c r="O95" t="s">
        <v>341</v>
      </c>
      <c r="T95" t="s">
        <v>344</v>
      </c>
      <c r="U95" t="s">
        <v>345</v>
      </c>
      <c r="V95" t="s">
        <v>346</v>
      </c>
      <c r="W95" t="s">
        <v>369</v>
      </c>
      <c r="X95" t="s">
        <v>344</v>
      </c>
      <c r="Y95" t="s">
        <v>407</v>
      </c>
      <c r="Z95" t="s">
        <v>27</v>
      </c>
      <c r="AA95" t="s">
        <v>407</v>
      </c>
      <c r="AB95" t="s">
        <v>408</v>
      </c>
      <c r="AC95" t="s">
        <v>407</v>
      </c>
      <c r="AD95" t="s">
        <v>27</v>
      </c>
      <c r="AE95" t="s">
        <v>407</v>
      </c>
      <c r="AF95" t="s">
        <v>408</v>
      </c>
      <c r="AG95" t="s">
        <v>345</v>
      </c>
      <c r="AH95" t="s">
        <v>346</v>
      </c>
      <c r="AI95" t="s">
        <v>369</v>
      </c>
      <c r="AJ95" t="s">
        <v>344</v>
      </c>
      <c r="AK95" t="s">
        <v>407</v>
      </c>
      <c r="AL95" t="s">
        <v>279</v>
      </c>
      <c r="AM95" t="s">
        <v>407</v>
      </c>
      <c r="AN95" t="s">
        <v>408</v>
      </c>
      <c r="AO95" t="s">
        <v>407</v>
      </c>
      <c r="AP95" t="s">
        <v>53</v>
      </c>
      <c r="AQ95" t="s">
        <v>407</v>
      </c>
      <c r="AR95" t="s">
        <v>408</v>
      </c>
      <c r="AS95" t="s">
        <v>407</v>
      </c>
      <c r="AT95" t="s">
        <v>407</v>
      </c>
      <c r="AU95" t="s">
        <v>409</v>
      </c>
      <c r="AV95" t="s">
        <v>409</v>
      </c>
      <c r="AW95" t="str">
        <f t="shared" si="2"/>
        <v>#if(J41#"JE","JE",if(J41#"Drilled","JC",""))</v>
      </c>
      <c r="BC95" t="s">
        <v>435</v>
      </c>
      <c r="BJ95" t="s">
        <v>498</v>
      </c>
      <c r="BQ95" t="s">
        <v>600</v>
      </c>
      <c r="BR95" t="s">
        <v>346</v>
      </c>
      <c r="BS95" t="s">
        <v>558</v>
      </c>
      <c r="BT95" t="s">
        <v>596</v>
      </c>
      <c r="BU95" t="s">
        <v>407</v>
      </c>
      <c r="BV95" t="s">
        <v>157</v>
      </c>
      <c r="BW95" t="s">
        <v>407</v>
      </c>
      <c r="BX95" t="s">
        <v>408</v>
      </c>
      <c r="BY95" t="s">
        <v>407</v>
      </c>
      <c r="BZ95" t="s">
        <v>80</v>
      </c>
      <c r="CA95" t="s">
        <v>407</v>
      </c>
      <c r="CB95" t="s">
        <v>408</v>
      </c>
      <c r="CC95" t="s">
        <v>597</v>
      </c>
      <c r="CD95" t="s">
        <v>346</v>
      </c>
      <c r="CE95" t="s">
        <v>558</v>
      </c>
      <c r="CF95" t="s">
        <v>596</v>
      </c>
      <c r="CG95" s="32" t="s">
        <v>407</v>
      </c>
      <c r="CH95" t="s">
        <v>411</v>
      </c>
      <c r="CI95" t="s">
        <v>407</v>
      </c>
      <c r="CJ95" t="s">
        <v>408</v>
      </c>
      <c r="CK95" s="32" t="s">
        <v>407</v>
      </c>
      <c r="CL95" t="s">
        <v>29</v>
      </c>
      <c r="CM95" t="s">
        <v>407</v>
      </c>
      <c r="CN95" t="s">
        <v>408</v>
      </c>
      <c r="CO95" t="s">
        <v>597</v>
      </c>
      <c r="CP95" t="s">
        <v>346</v>
      </c>
      <c r="CQ95" t="s">
        <v>558</v>
      </c>
      <c r="CR95" t="s">
        <v>596</v>
      </c>
      <c r="CS95" s="32" t="s">
        <v>407</v>
      </c>
      <c r="CT95" t="s">
        <v>475</v>
      </c>
      <c r="CU95" t="s">
        <v>407</v>
      </c>
      <c r="CV95" t="s">
        <v>408</v>
      </c>
      <c r="CW95" s="32" t="s">
        <v>407</v>
      </c>
      <c r="CX95" t="s">
        <v>83</v>
      </c>
      <c r="CY95" t="s">
        <v>407</v>
      </c>
      <c r="CZ95" t="s">
        <v>408</v>
      </c>
      <c r="DA95" t="s">
        <v>407</v>
      </c>
      <c r="DB95" t="s">
        <v>598</v>
      </c>
      <c r="DC95" t="s">
        <v>407</v>
      </c>
      <c r="DD95" t="s">
        <v>599</v>
      </c>
      <c r="DE95" t="str">
        <f t="shared" si="3"/>
        <v>%IF(K41%"Poplar","PAINT",IF(K41%"Red Oak","SGO",IF(K41%"Maple","SM","SPPN")))</v>
      </c>
      <c r="DO95" t="s">
        <v>495</v>
      </c>
    </row>
    <row r="96" spans="6:119" x14ac:dyDescent="0.25">
      <c r="F96" t="s">
        <v>181</v>
      </c>
      <c r="H96" t="s">
        <v>241</v>
      </c>
      <c r="M96" t="s">
        <v>303</v>
      </c>
      <c r="O96" t="s">
        <v>341</v>
      </c>
      <c r="T96" t="s">
        <v>344</v>
      </c>
      <c r="U96" t="s">
        <v>345</v>
      </c>
      <c r="V96" t="s">
        <v>346</v>
      </c>
      <c r="W96" t="s">
        <v>369</v>
      </c>
      <c r="X96" t="s">
        <v>344</v>
      </c>
      <c r="Y96" t="s">
        <v>407</v>
      </c>
      <c r="Z96" t="s">
        <v>27</v>
      </c>
      <c r="AA96" t="s">
        <v>407</v>
      </c>
      <c r="AB96" t="s">
        <v>408</v>
      </c>
      <c r="AC96" t="s">
        <v>407</v>
      </c>
      <c r="AD96" t="s">
        <v>27</v>
      </c>
      <c r="AE96" t="s">
        <v>407</v>
      </c>
      <c r="AF96" t="s">
        <v>408</v>
      </c>
      <c r="AG96" t="s">
        <v>345</v>
      </c>
      <c r="AH96" t="s">
        <v>346</v>
      </c>
      <c r="AI96" t="s">
        <v>369</v>
      </c>
      <c r="AJ96" t="s">
        <v>344</v>
      </c>
      <c r="AK96" t="s">
        <v>407</v>
      </c>
      <c r="AL96" t="s">
        <v>279</v>
      </c>
      <c r="AM96" t="s">
        <v>407</v>
      </c>
      <c r="AN96" t="s">
        <v>408</v>
      </c>
      <c r="AO96" t="s">
        <v>407</v>
      </c>
      <c r="AP96" t="s">
        <v>53</v>
      </c>
      <c r="AQ96" t="s">
        <v>407</v>
      </c>
      <c r="AR96" t="s">
        <v>408</v>
      </c>
      <c r="AS96" t="s">
        <v>407</v>
      </c>
      <c r="AT96" t="s">
        <v>407</v>
      </c>
      <c r="AU96" t="s">
        <v>409</v>
      </c>
      <c r="AV96" t="s">
        <v>409</v>
      </c>
      <c r="AW96" t="str">
        <f t="shared" si="2"/>
        <v>#if(J41#"JE","JE",if(J41#"Drilled","JC",""))</v>
      </c>
      <c r="BC96" t="s">
        <v>435</v>
      </c>
      <c r="BJ96" t="s">
        <v>498</v>
      </c>
      <c r="BQ96" t="s">
        <v>600</v>
      </c>
      <c r="BR96" t="s">
        <v>346</v>
      </c>
      <c r="BS96" t="s">
        <v>558</v>
      </c>
      <c r="BT96" t="s">
        <v>596</v>
      </c>
      <c r="BU96" t="s">
        <v>407</v>
      </c>
      <c r="BV96" t="s">
        <v>157</v>
      </c>
      <c r="BW96" t="s">
        <v>407</v>
      </c>
      <c r="BX96" t="s">
        <v>408</v>
      </c>
      <c r="BY96" t="s">
        <v>407</v>
      </c>
      <c r="BZ96" t="s">
        <v>80</v>
      </c>
      <c r="CA96" t="s">
        <v>407</v>
      </c>
      <c r="CB96" t="s">
        <v>408</v>
      </c>
      <c r="CC96" t="s">
        <v>597</v>
      </c>
      <c r="CD96" t="s">
        <v>346</v>
      </c>
      <c r="CE96" t="s">
        <v>558</v>
      </c>
      <c r="CF96" t="s">
        <v>596</v>
      </c>
      <c r="CG96" s="32" t="s">
        <v>407</v>
      </c>
      <c r="CH96" t="s">
        <v>411</v>
      </c>
      <c r="CI96" t="s">
        <v>407</v>
      </c>
      <c r="CJ96" t="s">
        <v>408</v>
      </c>
      <c r="CK96" s="32" t="s">
        <v>407</v>
      </c>
      <c r="CL96" t="s">
        <v>29</v>
      </c>
      <c r="CM96" t="s">
        <v>407</v>
      </c>
      <c r="CN96" t="s">
        <v>408</v>
      </c>
      <c r="CO96" t="s">
        <v>597</v>
      </c>
      <c r="CP96" t="s">
        <v>346</v>
      </c>
      <c r="CQ96" t="s">
        <v>558</v>
      </c>
      <c r="CR96" t="s">
        <v>596</v>
      </c>
      <c r="CS96" s="32" t="s">
        <v>407</v>
      </c>
      <c r="CT96" t="s">
        <v>475</v>
      </c>
      <c r="CU96" t="s">
        <v>407</v>
      </c>
      <c r="CV96" t="s">
        <v>408</v>
      </c>
      <c r="CW96" s="32" t="s">
        <v>407</v>
      </c>
      <c r="CX96" t="s">
        <v>83</v>
      </c>
      <c r="CY96" t="s">
        <v>407</v>
      </c>
      <c r="CZ96" t="s">
        <v>408</v>
      </c>
      <c r="DA96" t="s">
        <v>407</v>
      </c>
      <c r="DB96" t="s">
        <v>598</v>
      </c>
      <c r="DC96" t="s">
        <v>407</v>
      </c>
      <c r="DD96" t="s">
        <v>599</v>
      </c>
      <c r="DE96" t="str">
        <f t="shared" si="3"/>
        <v>%IF(K41%"Poplar","PAINT",IF(K41%"Red Oak","SGO",IF(K41%"Maple","SM","SPPN")))</v>
      </c>
      <c r="DO96" t="s">
        <v>495</v>
      </c>
    </row>
    <row r="97" spans="6:119" x14ac:dyDescent="0.25">
      <c r="F97" t="s">
        <v>182</v>
      </c>
      <c r="H97" t="s">
        <v>242</v>
      </c>
      <c r="M97" t="s">
        <v>304</v>
      </c>
      <c r="O97" t="s">
        <v>341</v>
      </c>
      <c r="T97" t="s">
        <v>344</v>
      </c>
      <c r="U97" t="s">
        <v>345</v>
      </c>
      <c r="V97" t="s">
        <v>346</v>
      </c>
      <c r="W97" t="s">
        <v>370</v>
      </c>
      <c r="X97" t="s">
        <v>344</v>
      </c>
      <c r="Y97" t="s">
        <v>407</v>
      </c>
      <c r="Z97" t="s">
        <v>27</v>
      </c>
      <c r="AA97" t="s">
        <v>407</v>
      </c>
      <c r="AB97" t="s">
        <v>408</v>
      </c>
      <c r="AC97" t="s">
        <v>407</v>
      </c>
      <c r="AD97" t="s">
        <v>27</v>
      </c>
      <c r="AE97" t="s">
        <v>407</v>
      </c>
      <c r="AF97" t="s">
        <v>408</v>
      </c>
      <c r="AG97" t="s">
        <v>345</v>
      </c>
      <c r="AH97" t="s">
        <v>346</v>
      </c>
      <c r="AI97" t="s">
        <v>370</v>
      </c>
      <c r="AJ97" t="s">
        <v>344</v>
      </c>
      <c r="AK97" t="s">
        <v>407</v>
      </c>
      <c r="AL97" t="s">
        <v>279</v>
      </c>
      <c r="AM97" t="s">
        <v>407</v>
      </c>
      <c r="AN97" t="s">
        <v>408</v>
      </c>
      <c r="AO97" t="s">
        <v>407</v>
      </c>
      <c r="AP97" t="s">
        <v>53</v>
      </c>
      <c r="AQ97" t="s">
        <v>407</v>
      </c>
      <c r="AR97" t="s">
        <v>408</v>
      </c>
      <c r="AS97" t="s">
        <v>407</v>
      </c>
      <c r="AT97" t="s">
        <v>407</v>
      </c>
      <c r="AU97" t="s">
        <v>409</v>
      </c>
      <c r="AV97" t="s">
        <v>409</v>
      </c>
      <c r="AW97" t="str">
        <f t="shared" si="2"/>
        <v>#if(J42#"JE","JE",if(J42#"Drilled","JC",""))</v>
      </c>
      <c r="BC97" t="s">
        <v>436</v>
      </c>
      <c r="BJ97" t="s">
        <v>499</v>
      </c>
      <c r="BQ97" t="s">
        <v>600</v>
      </c>
      <c r="BR97" t="s">
        <v>346</v>
      </c>
      <c r="BS97" t="s">
        <v>559</v>
      </c>
      <c r="BT97" t="s">
        <v>596</v>
      </c>
      <c r="BU97" t="s">
        <v>407</v>
      </c>
      <c r="BV97" t="s">
        <v>157</v>
      </c>
      <c r="BW97" t="s">
        <v>407</v>
      </c>
      <c r="BX97" t="s">
        <v>408</v>
      </c>
      <c r="BY97" t="s">
        <v>407</v>
      </c>
      <c r="BZ97" t="s">
        <v>80</v>
      </c>
      <c r="CA97" t="s">
        <v>407</v>
      </c>
      <c r="CB97" t="s">
        <v>408</v>
      </c>
      <c r="CC97" t="s">
        <v>597</v>
      </c>
      <c r="CD97" t="s">
        <v>346</v>
      </c>
      <c r="CE97" t="s">
        <v>559</v>
      </c>
      <c r="CF97" t="s">
        <v>596</v>
      </c>
      <c r="CG97" s="32" t="s">
        <v>407</v>
      </c>
      <c r="CH97" t="s">
        <v>411</v>
      </c>
      <c r="CI97" t="s">
        <v>407</v>
      </c>
      <c r="CJ97" t="s">
        <v>408</v>
      </c>
      <c r="CK97" s="32" t="s">
        <v>407</v>
      </c>
      <c r="CL97" t="s">
        <v>29</v>
      </c>
      <c r="CM97" t="s">
        <v>407</v>
      </c>
      <c r="CN97" t="s">
        <v>408</v>
      </c>
      <c r="CO97" t="s">
        <v>597</v>
      </c>
      <c r="CP97" t="s">
        <v>346</v>
      </c>
      <c r="CQ97" t="s">
        <v>559</v>
      </c>
      <c r="CR97" t="s">
        <v>596</v>
      </c>
      <c r="CS97" s="32" t="s">
        <v>407</v>
      </c>
      <c r="CT97" t="s">
        <v>475</v>
      </c>
      <c r="CU97" t="s">
        <v>407</v>
      </c>
      <c r="CV97" t="s">
        <v>408</v>
      </c>
      <c r="CW97" s="32" t="s">
        <v>407</v>
      </c>
      <c r="CX97" t="s">
        <v>83</v>
      </c>
      <c r="CY97" t="s">
        <v>407</v>
      </c>
      <c r="CZ97" t="s">
        <v>408</v>
      </c>
      <c r="DA97" t="s">
        <v>407</v>
      </c>
      <c r="DB97" t="s">
        <v>598</v>
      </c>
      <c r="DC97" t="s">
        <v>407</v>
      </c>
      <c r="DD97" t="s">
        <v>599</v>
      </c>
      <c r="DE97" t="str">
        <f t="shared" si="3"/>
        <v>%IF(K42%"Poplar","PAINT",IF(K42%"Red Oak","SGO",IF(K42%"Maple","SM","SPPN")))</v>
      </c>
      <c r="DO97" t="s">
        <v>495</v>
      </c>
    </row>
    <row r="98" spans="6:119" x14ac:dyDescent="0.25">
      <c r="F98" t="s">
        <v>182</v>
      </c>
      <c r="H98" t="s">
        <v>242</v>
      </c>
      <c r="M98" t="s">
        <v>304</v>
      </c>
      <c r="O98" t="s">
        <v>341</v>
      </c>
      <c r="T98" t="s">
        <v>344</v>
      </c>
      <c r="U98" t="s">
        <v>345</v>
      </c>
      <c r="V98" t="s">
        <v>346</v>
      </c>
      <c r="W98" t="s">
        <v>370</v>
      </c>
      <c r="X98" t="s">
        <v>344</v>
      </c>
      <c r="Y98" t="s">
        <v>407</v>
      </c>
      <c r="Z98" t="s">
        <v>27</v>
      </c>
      <c r="AA98" t="s">
        <v>407</v>
      </c>
      <c r="AB98" t="s">
        <v>408</v>
      </c>
      <c r="AC98" t="s">
        <v>407</v>
      </c>
      <c r="AD98" t="s">
        <v>27</v>
      </c>
      <c r="AE98" t="s">
        <v>407</v>
      </c>
      <c r="AF98" t="s">
        <v>408</v>
      </c>
      <c r="AG98" t="s">
        <v>345</v>
      </c>
      <c r="AH98" t="s">
        <v>346</v>
      </c>
      <c r="AI98" t="s">
        <v>370</v>
      </c>
      <c r="AJ98" t="s">
        <v>344</v>
      </c>
      <c r="AK98" t="s">
        <v>407</v>
      </c>
      <c r="AL98" t="s">
        <v>279</v>
      </c>
      <c r="AM98" t="s">
        <v>407</v>
      </c>
      <c r="AN98" t="s">
        <v>408</v>
      </c>
      <c r="AO98" t="s">
        <v>407</v>
      </c>
      <c r="AP98" t="s">
        <v>53</v>
      </c>
      <c r="AQ98" t="s">
        <v>407</v>
      </c>
      <c r="AR98" t="s">
        <v>408</v>
      </c>
      <c r="AS98" t="s">
        <v>407</v>
      </c>
      <c r="AT98" t="s">
        <v>407</v>
      </c>
      <c r="AU98" t="s">
        <v>409</v>
      </c>
      <c r="AV98" t="s">
        <v>409</v>
      </c>
      <c r="AW98" t="str">
        <f t="shared" si="2"/>
        <v>#if(J42#"JE","JE",if(J42#"Drilled","JC",""))</v>
      </c>
      <c r="BC98" t="s">
        <v>436</v>
      </c>
      <c r="BJ98" t="s">
        <v>499</v>
      </c>
      <c r="BQ98" t="s">
        <v>600</v>
      </c>
      <c r="BR98" t="s">
        <v>346</v>
      </c>
      <c r="BS98" t="s">
        <v>559</v>
      </c>
      <c r="BT98" t="s">
        <v>596</v>
      </c>
      <c r="BU98" t="s">
        <v>407</v>
      </c>
      <c r="BV98" t="s">
        <v>157</v>
      </c>
      <c r="BW98" t="s">
        <v>407</v>
      </c>
      <c r="BX98" t="s">
        <v>408</v>
      </c>
      <c r="BY98" t="s">
        <v>407</v>
      </c>
      <c r="BZ98" t="s">
        <v>80</v>
      </c>
      <c r="CA98" t="s">
        <v>407</v>
      </c>
      <c r="CB98" t="s">
        <v>408</v>
      </c>
      <c r="CC98" t="s">
        <v>597</v>
      </c>
      <c r="CD98" t="s">
        <v>346</v>
      </c>
      <c r="CE98" t="s">
        <v>559</v>
      </c>
      <c r="CF98" t="s">
        <v>596</v>
      </c>
      <c r="CG98" s="32" t="s">
        <v>407</v>
      </c>
      <c r="CH98" t="s">
        <v>411</v>
      </c>
      <c r="CI98" t="s">
        <v>407</v>
      </c>
      <c r="CJ98" t="s">
        <v>408</v>
      </c>
      <c r="CK98" s="32" t="s">
        <v>407</v>
      </c>
      <c r="CL98" t="s">
        <v>29</v>
      </c>
      <c r="CM98" t="s">
        <v>407</v>
      </c>
      <c r="CN98" t="s">
        <v>408</v>
      </c>
      <c r="CO98" t="s">
        <v>597</v>
      </c>
      <c r="CP98" t="s">
        <v>346</v>
      </c>
      <c r="CQ98" t="s">
        <v>559</v>
      </c>
      <c r="CR98" t="s">
        <v>596</v>
      </c>
      <c r="CS98" s="32" t="s">
        <v>407</v>
      </c>
      <c r="CT98" t="s">
        <v>475</v>
      </c>
      <c r="CU98" t="s">
        <v>407</v>
      </c>
      <c r="CV98" t="s">
        <v>408</v>
      </c>
      <c r="CW98" s="32" t="s">
        <v>407</v>
      </c>
      <c r="CX98" t="s">
        <v>83</v>
      </c>
      <c r="CY98" t="s">
        <v>407</v>
      </c>
      <c r="CZ98" t="s">
        <v>408</v>
      </c>
      <c r="DA98" t="s">
        <v>407</v>
      </c>
      <c r="DB98" t="s">
        <v>598</v>
      </c>
      <c r="DC98" t="s">
        <v>407</v>
      </c>
      <c r="DD98" t="s">
        <v>599</v>
      </c>
      <c r="DE98" t="str">
        <f t="shared" si="3"/>
        <v>%IF(K42%"Poplar","PAINT",IF(K42%"Red Oak","SGO",IF(K42%"Maple","SM","SPPN")))</v>
      </c>
      <c r="DO98" t="s">
        <v>495</v>
      </c>
    </row>
    <row r="99" spans="6:119" x14ac:dyDescent="0.25">
      <c r="F99" t="s">
        <v>182</v>
      </c>
      <c r="H99" t="s">
        <v>242</v>
      </c>
      <c r="M99" t="s">
        <v>304</v>
      </c>
      <c r="O99" t="s">
        <v>341</v>
      </c>
      <c r="T99" t="s">
        <v>344</v>
      </c>
      <c r="U99" t="s">
        <v>345</v>
      </c>
      <c r="V99" t="s">
        <v>346</v>
      </c>
      <c r="W99" t="s">
        <v>370</v>
      </c>
      <c r="X99" t="s">
        <v>344</v>
      </c>
      <c r="Y99" t="s">
        <v>407</v>
      </c>
      <c r="Z99" t="s">
        <v>27</v>
      </c>
      <c r="AA99" t="s">
        <v>407</v>
      </c>
      <c r="AB99" t="s">
        <v>408</v>
      </c>
      <c r="AC99" t="s">
        <v>407</v>
      </c>
      <c r="AD99" t="s">
        <v>27</v>
      </c>
      <c r="AE99" t="s">
        <v>407</v>
      </c>
      <c r="AF99" t="s">
        <v>408</v>
      </c>
      <c r="AG99" t="s">
        <v>345</v>
      </c>
      <c r="AH99" t="s">
        <v>346</v>
      </c>
      <c r="AI99" t="s">
        <v>370</v>
      </c>
      <c r="AJ99" t="s">
        <v>344</v>
      </c>
      <c r="AK99" t="s">
        <v>407</v>
      </c>
      <c r="AL99" t="s">
        <v>279</v>
      </c>
      <c r="AM99" t="s">
        <v>407</v>
      </c>
      <c r="AN99" t="s">
        <v>408</v>
      </c>
      <c r="AO99" t="s">
        <v>407</v>
      </c>
      <c r="AP99" t="s">
        <v>53</v>
      </c>
      <c r="AQ99" t="s">
        <v>407</v>
      </c>
      <c r="AR99" t="s">
        <v>408</v>
      </c>
      <c r="AS99" t="s">
        <v>407</v>
      </c>
      <c r="AT99" t="s">
        <v>407</v>
      </c>
      <c r="AU99" t="s">
        <v>409</v>
      </c>
      <c r="AV99" t="s">
        <v>409</v>
      </c>
      <c r="AW99" t="str">
        <f t="shared" si="2"/>
        <v>#if(J42#"JE","JE",if(J42#"Drilled","JC",""))</v>
      </c>
      <c r="BC99" t="s">
        <v>436</v>
      </c>
      <c r="BJ99" t="s">
        <v>499</v>
      </c>
      <c r="BQ99" t="s">
        <v>600</v>
      </c>
      <c r="BR99" t="s">
        <v>346</v>
      </c>
      <c r="BS99" t="s">
        <v>559</v>
      </c>
      <c r="BT99" t="s">
        <v>596</v>
      </c>
      <c r="BU99" t="s">
        <v>407</v>
      </c>
      <c r="BV99" t="s">
        <v>157</v>
      </c>
      <c r="BW99" t="s">
        <v>407</v>
      </c>
      <c r="BX99" t="s">
        <v>408</v>
      </c>
      <c r="BY99" t="s">
        <v>407</v>
      </c>
      <c r="BZ99" t="s">
        <v>80</v>
      </c>
      <c r="CA99" t="s">
        <v>407</v>
      </c>
      <c r="CB99" t="s">
        <v>408</v>
      </c>
      <c r="CC99" t="s">
        <v>597</v>
      </c>
      <c r="CD99" t="s">
        <v>346</v>
      </c>
      <c r="CE99" t="s">
        <v>559</v>
      </c>
      <c r="CF99" t="s">
        <v>596</v>
      </c>
      <c r="CG99" s="32" t="s">
        <v>407</v>
      </c>
      <c r="CH99" t="s">
        <v>411</v>
      </c>
      <c r="CI99" t="s">
        <v>407</v>
      </c>
      <c r="CJ99" t="s">
        <v>408</v>
      </c>
      <c r="CK99" s="32" t="s">
        <v>407</v>
      </c>
      <c r="CL99" t="s">
        <v>29</v>
      </c>
      <c r="CM99" t="s">
        <v>407</v>
      </c>
      <c r="CN99" t="s">
        <v>408</v>
      </c>
      <c r="CO99" t="s">
        <v>597</v>
      </c>
      <c r="CP99" t="s">
        <v>346</v>
      </c>
      <c r="CQ99" t="s">
        <v>559</v>
      </c>
      <c r="CR99" t="s">
        <v>596</v>
      </c>
      <c r="CS99" s="32" t="s">
        <v>407</v>
      </c>
      <c r="CT99" t="s">
        <v>475</v>
      </c>
      <c r="CU99" t="s">
        <v>407</v>
      </c>
      <c r="CV99" t="s">
        <v>408</v>
      </c>
      <c r="CW99" s="32" t="s">
        <v>407</v>
      </c>
      <c r="CX99" t="s">
        <v>83</v>
      </c>
      <c r="CY99" t="s">
        <v>407</v>
      </c>
      <c r="CZ99" t="s">
        <v>408</v>
      </c>
      <c r="DA99" t="s">
        <v>407</v>
      </c>
      <c r="DB99" t="s">
        <v>598</v>
      </c>
      <c r="DC99" t="s">
        <v>407</v>
      </c>
      <c r="DD99" t="s">
        <v>599</v>
      </c>
      <c r="DE99" t="str">
        <f t="shared" si="3"/>
        <v>%IF(K42%"Poplar","PAINT",IF(K42%"Red Oak","SGO",IF(K42%"Maple","SM","SPPN")))</v>
      </c>
      <c r="DO99" t="s">
        <v>496</v>
      </c>
    </row>
    <row r="100" spans="6:119" x14ac:dyDescent="0.25">
      <c r="F100" t="s">
        <v>182</v>
      </c>
      <c r="H100" t="s">
        <v>242</v>
      </c>
      <c r="M100" t="s">
        <v>304</v>
      </c>
      <c r="O100" t="s">
        <v>341</v>
      </c>
      <c r="T100" t="s">
        <v>344</v>
      </c>
      <c r="U100" t="s">
        <v>345</v>
      </c>
      <c r="V100" t="s">
        <v>346</v>
      </c>
      <c r="W100" t="s">
        <v>370</v>
      </c>
      <c r="X100" t="s">
        <v>344</v>
      </c>
      <c r="Y100" t="s">
        <v>407</v>
      </c>
      <c r="Z100" t="s">
        <v>27</v>
      </c>
      <c r="AA100" t="s">
        <v>407</v>
      </c>
      <c r="AB100" t="s">
        <v>408</v>
      </c>
      <c r="AC100" t="s">
        <v>407</v>
      </c>
      <c r="AD100" t="s">
        <v>27</v>
      </c>
      <c r="AE100" t="s">
        <v>407</v>
      </c>
      <c r="AF100" t="s">
        <v>408</v>
      </c>
      <c r="AG100" t="s">
        <v>345</v>
      </c>
      <c r="AH100" t="s">
        <v>346</v>
      </c>
      <c r="AI100" t="s">
        <v>370</v>
      </c>
      <c r="AJ100" t="s">
        <v>344</v>
      </c>
      <c r="AK100" t="s">
        <v>407</v>
      </c>
      <c r="AL100" t="s">
        <v>279</v>
      </c>
      <c r="AM100" t="s">
        <v>407</v>
      </c>
      <c r="AN100" t="s">
        <v>408</v>
      </c>
      <c r="AO100" t="s">
        <v>407</v>
      </c>
      <c r="AP100" t="s">
        <v>53</v>
      </c>
      <c r="AQ100" t="s">
        <v>407</v>
      </c>
      <c r="AR100" t="s">
        <v>408</v>
      </c>
      <c r="AS100" t="s">
        <v>407</v>
      </c>
      <c r="AT100" t="s">
        <v>407</v>
      </c>
      <c r="AU100" t="s">
        <v>409</v>
      </c>
      <c r="AV100" t="s">
        <v>409</v>
      </c>
      <c r="AW100" t="str">
        <f t="shared" si="2"/>
        <v>#if(J42#"JE","JE",if(J42#"Drilled","JC",""))</v>
      </c>
      <c r="BC100" t="s">
        <v>436</v>
      </c>
      <c r="BJ100" t="s">
        <v>499</v>
      </c>
      <c r="BQ100" t="s">
        <v>600</v>
      </c>
      <c r="BR100" t="s">
        <v>346</v>
      </c>
      <c r="BS100" t="s">
        <v>559</v>
      </c>
      <c r="BT100" t="s">
        <v>596</v>
      </c>
      <c r="BU100" t="s">
        <v>407</v>
      </c>
      <c r="BV100" t="s">
        <v>157</v>
      </c>
      <c r="BW100" t="s">
        <v>407</v>
      </c>
      <c r="BX100" t="s">
        <v>408</v>
      </c>
      <c r="BY100" t="s">
        <v>407</v>
      </c>
      <c r="BZ100" t="s">
        <v>80</v>
      </c>
      <c r="CA100" t="s">
        <v>407</v>
      </c>
      <c r="CB100" t="s">
        <v>408</v>
      </c>
      <c r="CC100" t="s">
        <v>597</v>
      </c>
      <c r="CD100" t="s">
        <v>346</v>
      </c>
      <c r="CE100" t="s">
        <v>559</v>
      </c>
      <c r="CF100" t="s">
        <v>596</v>
      </c>
      <c r="CG100" s="32" t="s">
        <v>407</v>
      </c>
      <c r="CH100" t="s">
        <v>411</v>
      </c>
      <c r="CI100" t="s">
        <v>407</v>
      </c>
      <c r="CJ100" t="s">
        <v>408</v>
      </c>
      <c r="CK100" s="32" t="s">
        <v>407</v>
      </c>
      <c r="CL100" t="s">
        <v>29</v>
      </c>
      <c r="CM100" t="s">
        <v>407</v>
      </c>
      <c r="CN100" t="s">
        <v>408</v>
      </c>
      <c r="CO100" t="s">
        <v>597</v>
      </c>
      <c r="CP100" t="s">
        <v>346</v>
      </c>
      <c r="CQ100" t="s">
        <v>559</v>
      </c>
      <c r="CR100" t="s">
        <v>596</v>
      </c>
      <c r="CS100" s="32" t="s">
        <v>407</v>
      </c>
      <c r="CT100" t="s">
        <v>475</v>
      </c>
      <c r="CU100" t="s">
        <v>407</v>
      </c>
      <c r="CV100" t="s">
        <v>408</v>
      </c>
      <c r="CW100" s="32" t="s">
        <v>407</v>
      </c>
      <c r="CX100" t="s">
        <v>83</v>
      </c>
      <c r="CY100" t="s">
        <v>407</v>
      </c>
      <c r="CZ100" t="s">
        <v>408</v>
      </c>
      <c r="DA100" t="s">
        <v>407</v>
      </c>
      <c r="DB100" t="s">
        <v>598</v>
      </c>
      <c r="DC100" t="s">
        <v>407</v>
      </c>
      <c r="DD100" t="s">
        <v>599</v>
      </c>
      <c r="DE100" t="str">
        <f t="shared" si="3"/>
        <v>%IF(K42%"Poplar","PAINT",IF(K42%"Red Oak","SGO",IF(K42%"Maple","SM","SPPN")))</v>
      </c>
      <c r="DO100" t="s">
        <v>496</v>
      </c>
    </row>
    <row r="101" spans="6:119" x14ac:dyDescent="0.25">
      <c r="F101" t="s">
        <v>183</v>
      </c>
      <c r="H101" t="s">
        <v>243</v>
      </c>
      <c r="M101" t="s">
        <v>305</v>
      </c>
      <c r="O101" t="s">
        <v>341</v>
      </c>
      <c r="T101" t="s">
        <v>344</v>
      </c>
      <c r="U101" t="s">
        <v>345</v>
      </c>
      <c r="V101" t="s">
        <v>346</v>
      </c>
      <c r="W101" t="s">
        <v>371</v>
      </c>
      <c r="X101" t="s">
        <v>344</v>
      </c>
      <c r="Y101" t="s">
        <v>407</v>
      </c>
      <c r="Z101" t="s">
        <v>27</v>
      </c>
      <c r="AA101" t="s">
        <v>407</v>
      </c>
      <c r="AB101" t="s">
        <v>408</v>
      </c>
      <c r="AC101" t="s">
        <v>407</v>
      </c>
      <c r="AD101" t="s">
        <v>27</v>
      </c>
      <c r="AE101" t="s">
        <v>407</v>
      </c>
      <c r="AF101" t="s">
        <v>408</v>
      </c>
      <c r="AG101" t="s">
        <v>345</v>
      </c>
      <c r="AH101" t="s">
        <v>346</v>
      </c>
      <c r="AI101" t="s">
        <v>371</v>
      </c>
      <c r="AJ101" t="s">
        <v>344</v>
      </c>
      <c r="AK101" t="s">
        <v>407</v>
      </c>
      <c r="AL101" t="s">
        <v>279</v>
      </c>
      <c r="AM101" t="s">
        <v>407</v>
      </c>
      <c r="AN101" t="s">
        <v>408</v>
      </c>
      <c r="AO101" t="s">
        <v>407</v>
      </c>
      <c r="AP101" t="s">
        <v>53</v>
      </c>
      <c r="AQ101" t="s">
        <v>407</v>
      </c>
      <c r="AR101" t="s">
        <v>408</v>
      </c>
      <c r="AS101" t="s">
        <v>407</v>
      </c>
      <c r="AT101" t="s">
        <v>407</v>
      </c>
      <c r="AU101" t="s">
        <v>409</v>
      </c>
      <c r="AV101" t="s">
        <v>409</v>
      </c>
      <c r="AW101" t="str">
        <f t="shared" si="2"/>
        <v>#if(J43#"JE","JE",if(J43#"Drilled","JC",""))</v>
      </c>
      <c r="BC101" t="s">
        <v>437</v>
      </c>
      <c r="BJ101" t="s">
        <v>500</v>
      </c>
      <c r="BQ101" t="s">
        <v>600</v>
      </c>
      <c r="BR101" t="s">
        <v>346</v>
      </c>
      <c r="BS101" t="s">
        <v>560</v>
      </c>
      <c r="BT101" t="s">
        <v>596</v>
      </c>
      <c r="BU101" t="s">
        <v>407</v>
      </c>
      <c r="BV101" t="s">
        <v>157</v>
      </c>
      <c r="BW101" t="s">
        <v>407</v>
      </c>
      <c r="BX101" t="s">
        <v>408</v>
      </c>
      <c r="BY101" t="s">
        <v>407</v>
      </c>
      <c r="BZ101" t="s">
        <v>80</v>
      </c>
      <c r="CA101" t="s">
        <v>407</v>
      </c>
      <c r="CB101" t="s">
        <v>408</v>
      </c>
      <c r="CC101" t="s">
        <v>597</v>
      </c>
      <c r="CD101" t="s">
        <v>346</v>
      </c>
      <c r="CE101" t="s">
        <v>560</v>
      </c>
      <c r="CF101" t="s">
        <v>596</v>
      </c>
      <c r="CG101" s="32" t="s">
        <v>407</v>
      </c>
      <c r="CH101" t="s">
        <v>411</v>
      </c>
      <c r="CI101" t="s">
        <v>407</v>
      </c>
      <c r="CJ101" t="s">
        <v>408</v>
      </c>
      <c r="CK101" s="32" t="s">
        <v>407</v>
      </c>
      <c r="CL101" t="s">
        <v>29</v>
      </c>
      <c r="CM101" t="s">
        <v>407</v>
      </c>
      <c r="CN101" t="s">
        <v>408</v>
      </c>
      <c r="CO101" t="s">
        <v>597</v>
      </c>
      <c r="CP101" t="s">
        <v>346</v>
      </c>
      <c r="CQ101" t="s">
        <v>560</v>
      </c>
      <c r="CR101" t="s">
        <v>596</v>
      </c>
      <c r="CS101" s="32" t="s">
        <v>407</v>
      </c>
      <c r="CT101" t="s">
        <v>475</v>
      </c>
      <c r="CU101" t="s">
        <v>407</v>
      </c>
      <c r="CV101" t="s">
        <v>408</v>
      </c>
      <c r="CW101" s="32" t="s">
        <v>407</v>
      </c>
      <c r="CX101" t="s">
        <v>83</v>
      </c>
      <c r="CY101" t="s">
        <v>407</v>
      </c>
      <c r="CZ101" t="s">
        <v>408</v>
      </c>
      <c r="DA101" t="s">
        <v>407</v>
      </c>
      <c r="DB101" t="s">
        <v>598</v>
      </c>
      <c r="DC101" t="s">
        <v>407</v>
      </c>
      <c r="DD101" t="s">
        <v>599</v>
      </c>
      <c r="DE101" t="str">
        <f t="shared" si="3"/>
        <v>%IF(K43%"Poplar","PAINT",IF(K43%"Red Oak","SGO",IF(K43%"Maple","SM","SPPN")))</v>
      </c>
      <c r="DO101" t="s">
        <v>496</v>
      </c>
    </row>
    <row r="102" spans="6:119" x14ac:dyDescent="0.25">
      <c r="F102" t="s">
        <v>183</v>
      </c>
      <c r="H102" t="s">
        <v>243</v>
      </c>
      <c r="M102" t="s">
        <v>305</v>
      </c>
      <c r="O102" t="s">
        <v>341</v>
      </c>
      <c r="T102" t="s">
        <v>344</v>
      </c>
      <c r="U102" t="s">
        <v>345</v>
      </c>
      <c r="V102" t="s">
        <v>346</v>
      </c>
      <c r="W102" t="s">
        <v>371</v>
      </c>
      <c r="X102" t="s">
        <v>344</v>
      </c>
      <c r="Y102" t="s">
        <v>407</v>
      </c>
      <c r="Z102" t="s">
        <v>27</v>
      </c>
      <c r="AA102" t="s">
        <v>407</v>
      </c>
      <c r="AB102" t="s">
        <v>408</v>
      </c>
      <c r="AC102" t="s">
        <v>407</v>
      </c>
      <c r="AD102" t="s">
        <v>27</v>
      </c>
      <c r="AE102" t="s">
        <v>407</v>
      </c>
      <c r="AF102" t="s">
        <v>408</v>
      </c>
      <c r="AG102" t="s">
        <v>345</v>
      </c>
      <c r="AH102" t="s">
        <v>346</v>
      </c>
      <c r="AI102" t="s">
        <v>371</v>
      </c>
      <c r="AJ102" t="s">
        <v>344</v>
      </c>
      <c r="AK102" t="s">
        <v>407</v>
      </c>
      <c r="AL102" t="s">
        <v>279</v>
      </c>
      <c r="AM102" t="s">
        <v>407</v>
      </c>
      <c r="AN102" t="s">
        <v>408</v>
      </c>
      <c r="AO102" t="s">
        <v>407</v>
      </c>
      <c r="AP102" t="s">
        <v>53</v>
      </c>
      <c r="AQ102" t="s">
        <v>407</v>
      </c>
      <c r="AR102" t="s">
        <v>408</v>
      </c>
      <c r="AS102" t="s">
        <v>407</v>
      </c>
      <c r="AT102" t="s">
        <v>407</v>
      </c>
      <c r="AU102" t="s">
        <v>409</v>
      </c>
      <c r="AV102" t="s">
        <v>409</v>
      </c>
      <c r="AW102" t="str">
        <f t="shared" si="2"/>
        <v>#if(J43#"JE","JE",if(J43#"Drilled","JC",""))</v>
      </c>
      <c r="BC102" t="s">
        <v>437</v>
      </c>
      <c r="BJ102" t="s">
        <v>500</v>
      </c>
      <c r="BQ102" t="s">
        <v>600</v>
      </c>
      <c r="BR102" t="s">
        <v>346</v>
      </c>
      <c r="BS102" t="s">
        <v>560</v>
      </c>
      <c r="BT102" t="s">
        <v>596</v>
      </c>
      <c r="BU102" t="s">
        <v>407</v>
      </c>
      <c r="BV102" t="s">
        <v>157</v>
      </c>
      <c r="BW102" t="s">
        <v>407</v>
      </c>
      <c r="BX102" t="s">
        <v>408</v>
      </c>
      <c r="BY102" t="s">
        <v>407</v>
      </c>
      <c r="BZ102" t="s">
        <v>80</v>
      </c>
      <c r="CA102" t="s">
        <v>407</v>
      </c>
      <c r="CB102" t="s">
        <v>408</v>
      </c>
      <c r="CC102" t="s">
        <v>597</v>
      </c>
      <c r="CD102" t="s">
        <v>346</v>
      </c>
      <c r="CE102" t="s">
        <v>560</v>
      </c>
      <c r="CF102" t="s">
        <v>596</v>
      </c>
      <c r="CG102" s="32" t="s">
        <v>407</v>
      </c>
      <c r="CH102" t="s">
        <v>411</v>
      </c>
      <c r="CI102" t="s">
        <v>407</v>
      </c>
      <c r="CJ102" t="s">
        <v>408</v>
      </c>
      <c r="CK102" s="32" t="s">
        <v>407</v>
      </c>
      <c r="CL102" t="s">
        <v>29</v>
      </c>
      <c r="CM102" t="s">
        <v>407</v>
      </c>
      <c r="CN102" t="s">
        <v>408</v>
      </c>
      <c r="CO102" t="s">
        <v>597</v>
      </c>
      <c r="CP102" t="s">
        <v>346</v>
      </c>
      <c r="CQ102" t="s">
        <v>560</v>
      </c>
      <c r="CR102" t="s">
        <v>596</v>
      </c>
      <c r="CS102" s="32" t="s">
        <v>407</v>
      </c>
      <c r="CT102" t="s">
        <v>475</v>
      </c>
      <c r="CU102" t="s">
        <v>407</v>
      </c>
      <c r="CV102" t="s">
        <v>408</v>
      </c>
      <c r="CW102" s="32" t="s">
        <v>407</v>
      </c>
      <c r="CX102" t="s">
        <v>83</v>
      </c>
      <c r="CY102" t="s">
        <v>407</v>
      </c>
      <c r="CZ102" t="s">
        <v>408</v>
      </c>
      <c r="DA102" t="s">
        <v>407</v>
      </c>
      <c r="DB102" t="s">
        <v>598</v>
      </c>
      <c r="DC102" t="s">
        <v>407</v>
      </c>
      <c r="DD102" t="s">
        <v>599</v>
      </c>
      <c r="DE102" t="str">
        <f t="shared" si="3"/>
        <v>%IF(K43%"Poplar","PAINT",IF(K43%"Red Oak","SGO",IF(K43%"Maple","SM","SPPN")))</v>
      </c>
      <c r="DO102" t="s">
        <v>496</v>
      </c>
    </row>
    <row r="103" spans="6:119" x14ac:dyDescent="0.25">
      <c r="F103" t="s">
        <v>183</v>
      </c>
      <c r="H103" t="s">
        <v>243</v>
      </c>
      <c r="M103" t="s">
        <v>305</v>
      </c>
      <c r="O103" t="s">
        <v>341</v>
      </c>
      <c r="T103" t="s">
        <v>344</v>
      </c>
      <c r="U103" t="s">
        <v>345</v>
      </c>
      <c r="V103" t="s">
        <v>346</v>
      </c>
      <c r="W103" t="s">
        <v>371</v>
      </c>
      <c r="X103" t="s">
        <v>344</v>
      </c>
      <c r="Y103" t="s">
        <v>407</v>
      </c>
      <c r="Z103" t="s">
        <v>27</v>
      </c>
      <c r="AA103" t="s">
        <v>407</v>
      </c>
      <c r="AB103" t="s">
        <v>408</v>
      </c>
      <c r="AC103" t="s">
        <v>407</v>
      </c>
      <c r="AD103" t="s">
        <v>27</v>
      </c>
      <c r="AE103" t="s">
        <v>407</v>
      </c>
      <c r="AF103" t="s">
        <v>408</v>
      </c>
      <c r="AG103" t="s">
        <v>345</v>
      </c>
      <c r="AH103" t="s">
        <v>346</v>
      </c>
      <c r="AI103" t="s">
        <v>371</v>
      </c>
      <c r="AJ103" t="s">
        <v>344</v>
      </c>
      <c r="AK103" t="s">
        <v>407</v>
      </c>
      <c r="AL103" t="s">
        <v>279</v>
      </c>
      <c r="AM103" t="s">
        <v>407</v>
      </c>
      <c r="AN103" t="s">
        <v>408</v>
      </c>
      <c r="AO103" t="s">
        <v>407</v>
      </c>
      <c r="AP103" t="s">
        <v>53</v>
      </c>
      <c r="AQ103" t="s">
        <v>407</v>
      </c>
      <c r="AR103" t="s">
        <v>408</v>
      </c>
      <c r="AS103" t="s">
        <v>407</v>
      </c>
      <c r="AT103" t="s">
        <v>407</v>
      </c>
      <c r="AU103" t="s">
        <v>409</v>
      </c>
      <c r="AV103" t="s">
        <v>409</v>
      </c>
      <c r="AW103" t="str">
        <f t="shared" si="2"/>
        <v>#if(J43#"JE","JE",if(J43#"Drilled","JC",""))</v>
      </c>
      <c r="BC103" t="s">
        <v>437</v>
      </c>
      <c r="BJ103" t="s">
        <v>500</v>
      </c>
      <c r="BQ103" t="s">
        <v>600</v>
      </c>
      <c r="BR103" t="s">
        <v>346</v>
      </c>
      <c r="BS103" t="s">
        <v>560</v>
      </c>
      <c r="BT103" t="s">
        <v>596</v>
      </c>
      <c r="BU103" t="s">
        <v>407</v>
      </c>
      <c r="BV103" t="s">
        <v>157</v>
      </c>
      <c r="BW103" t="s">
        <v>407</v>
      </c>
      <c r="BX103" t="s">
        <v>408</v>
      </c>
      <c r="BY103" t="s">
        <v>407</v>
      </c>
      <c r="BZ103" t="s">
        <v>80</v>
      </c>
      <c r="CA103" t="s">
        <v>407</v>
      </c>
      <c r="CB103" t="s">
        <v>408</v>
      </c>
      <c r="CC103" t="s">
        <v>597</v>
      </c>
      <c r="CD103" t="s">
        <v>346</v>
      </c>
      <c r="CE103" t="s">
        <v>560</v>
      </c>
      <c r="CF103" t="s">
        <v>596</v>
      </c>
      <c r="CG103" s="32" t="s">
        <v>407</v>
      </c>
      <c r="CH103" t="s">
        <v>411</v>
      </c>
      <c r="CI103" t="s">
        <v>407</v>
      </c>
      <c r="CJ103" t="s">
        <v>408</v>
      </c>
      <c r="CK103" s="32" t="s">
        <v>407</v>
      </c>
      <c r="CL103" t="s">
        <v>29</v>
      </c>
      <c r="CM103" t="s">
        <v>407</v>
      </c>
      <c r="CN103" t="s">
        <v>408</v>
      </c>
      <c r="CO103" t="s">
        <v>597</v>
      </c>
      <c r="CP103" t="s">
        <v>346</v>
      </c>
      <c r="CQ103" t="s">
        <v>560</v>
      </c>
      <c r="CR103" t="s">
        <v>596</v>
      </c>
      <c r="CS103" s="32" t="s">
        <v>407</v>
      </c>
      <c r="CT103" t="s">
        <v>475</v>
      </c>
      <c r="CU103" t="s">
        <v>407</v>
      </c>
      <c r="CV103" t="s">
        <v>408</v>
      </c>
      <c r="CW103" s="32" t="s">
        <v>407</v>
      </c>
      <c r="CX103" t="s">
        <v>83</v>
      </c>
      <c r="CY103" t="s">
        <v>407</v>
      </c>
      <c r="CZ103" t="s">
        <v>408</v>
      </c>
      <c r="DA103" t="s">
        <v>407</v>
      </c>
      <c r="DB103" t="s">
        <v>598</v>
      </c>
      <c r="DC103" t="s">
        <v>407</v>
      </c>
      <c r="DD103" t="s">
        <v>599</v>
      </c>
      <c r="DE103" t="str">
        <f t="shared" si="3"/>
        <v>%IF(K43%"Poplar","PAINT",IF(K43%"Red Oak","SGO",IF(K43%"Maple","SM","SPPN")))</v>
      </c>
      <c r="DO103" t="s">
        <v>497</v>
      </c>
    </row>
    <row r="104" spans="6:119" x14ac:dyDescent="0.25">
      <c r="F104" t="s">
        <v>183</v>
      </c>
      <c r="H104" t="s">
        <v>243</v>
      </c>
      <c r="M104" t="s">
        <v>305</v>
      </c>
      <c r="O104" t="s">
        <v>341</v>
      </c>
      <c r="T104" t="s">
        <v>344</v>
      </c>
      <c r="U104" t="s">
        <v>345</v>
      </c>
      <c r="V104" t="s">
        <v>346</v>
      </c>
      <c r="W104" t="s">
        <v>371</v>
      </c>
      <c r="X104" t="s">
        <v>344</v>
      </c>
      <c r="Y104" t="s">
        <v>407</v>
      </c>
      <c r="Z104" t="s">
        <v>27</v>
      </c>
      <c r="AA104" t="s">
        <v>407</v>
      </c>
      <c r="AB104" t="s">
        <v>408</v>
      </c>
      <c r="AC104" t="s">
        <v>407</v>
      </c>
      <c r="AD104" t="s">
        <v>27</v>
      </c>
      <c r="AE104" t="s">
        <v>407</v>
      </c>
      <c r="AF104" t="s">
        <v>408</v>
      </c>
      <c r="AG104" t="s">
        <v>345</v>
      </c>
      <c r="AH104" t="s">
        <v>346</v>
      </c>
      <c r="AI104" t="s">
        <v>371</v>
      </c>
      <c r="AJ104" t="s">
        <v>344</v>
      </c>
      <c r="AK104" t="s">
        <v>407</v>
      </c>
      <c r="AL104" t="s">
        <v>279</v>
      </c>
      <c r="AM104" t="s">
        <v>407</v>
      </c>
      <c r="AN104" t="s">
        <v>408</v>
      </c>
      <c r="AO104" t="s">
        <v>407</v>
      </c>
      <c r="AP104" t="s">
        <v>53</v>
      </c>
      <c r="AQ104" t="s">
        <v>407</v>
      </c>
      <c r="AR104" t="s">
        <v>408</v>
      </c>
      <c r="AS104" t="s">
        <v>407</v>
      </c>
      <c r="AT104" t="s">
        <v>407</v>
      </c>
      <c r="AU104" t="s">
        <v>409</v>
      </c>
      <c r="AV104" t="s">
        <v>409</v>
      </c>
      <c r="AW104" t="str">
        <f t="shared" si="2"/>
        <v>#if(J43#"JE","JE",if(J43#"Drilled","JC",""))</v>
      </c>
      <c r="BC104" t="s">
        <v>437</v>
      </c>
      <c r="BJ104" t="s">
        <v>500</v>
      </c>
      <c r="BQ104" t="s">
        <v>600</v>
      </c>
      <c r="BR104" t="s">
        <v>346</v>
      </c>
      <c r="BS104" t="s">
        <v>560</v>
      </c>
      <c r="BT104" t="s">
        <v>596</v>
      </c>
      <c r="BU104" t="s">
        <v>407</v>
      </c>
      <c r="BV104" t="s">
        <v>157</v>
      </c>
      <c r="BW104" t="s">
        <v>407</v>
      </c>
      <c r="BX104" t="s">
        <v>408</v>
      </c>
      <c r="BY104" t="s">
        <v>407</v>
      </c>
      <c r="BZ104" t="s">
        <v>80</v>
      </c>
      <c r="CA104" t="s">
        <v>407</v>
      </c>
      <c r="CB104" t="s">
        <v>408</v>
      </c>
      <c r="CC104" t="s">
        <v>597</v>
      </c>
      <c r="CD104" t="s">
        <v>346</v>
      </c>
      <c r="CE104" t="s">
        <v>560</v>
      </c>
      <c r="CF104" t="s">
        <v>596</v>
      </c>
      <c r="CG104" s="32" t="s">
        <v>407</v>
      </c>
      <c r="CH104" t="s">
        <v>411</v>
      </c>
      <c r="CI104" t="s">
        <v>407</v>
      </c>
      <c r="CJ104" t="s">
        <v>408</v>
      </c>
      <c r="CK104" s="32" t="s">
        <v>407</v>
      </c>
      <c r="CL104" t="s">
        <v>29</v>
      </c>
      <c r="CM104" t="s">
        <v>407</v>
      </c>
      <c r="CN104" t="s">
        <v>408</v>
      </c>
      <c r="CO104" t="s">
        <v>597</v>
      </c>
      <c r="CP104" t="s">
        <v>346</v>
      </c>
      <c r="CQ104" t="s">
        <v>560</v>
      </c>
      <c r="CR104" t="s">
        <v>596</v>
      </c>
      <c r="CS104" s="32" t="s">
        <v>407</v>
      </c>
      <c r="CT104" t="s">
        <v>475</v>
      </c>
      <c r="CU104" t="s">
        <v>407</v>
      </c>
      <c r="CV104" t="s">
        <v>408</v>
      </c>
      <c r="CW104" s="32" t="s">
        <v>407</v>
      </c>
      <c r="CX104" t="s">
        <v>83</v>
      </c>
      <c r="CY104" t="s">
        <v>407</v>
      </c>
      <c r="CZ104" t="s">
        <v>408</v>
      </c>
      <c r="DA104" t="s">
        <v>407</v>
      </c>
      <c r="DB104" t="s">
        <v>598</v>
      </c>
      <c r="DC104" t="s">
        <v>407</v>
      </c>
      <c r="DD104" t="s">
        <v>599</v>
      </c>
      <c r="DE104" t="str">
        <f t="shared" si="3"/>
        <v>%IF(K43%"Poplar","PAINT",IF(K43%"Red Oak","SGO",IF(K43%"Maple","SM","SPPN")))</v>
      </c>
      <c r="DO104" t="s">
        <v>497</v>
      </c>
    </row>
    <row r="105" spans="6:119" x14ac:dyDescent="0.25">
      <c r="F105" t="s">
        <v>184</v>
      </c>
      <c r="H105" t="s">
        <v>244</v>
      </c>
      <c r="M105" t="s">
        <v>306</v>
      </c>
      <c r="O105" t="s">
        <v>341</v>
      </c>
      <c r="T105" t="s">
        <v>344</v>
      </c>
      <c r="U105" t="s">
        <v>345</v>
      </c>
      <c r="V105" t="s">
        <v>346</v>
      </c>
      <c r="W105" t="s">
        <v>372</v>
      </c>
      <c r="X105" t="s">
        <v>344</v>
      </c>
      <c r="Y105" t="s">
        <v>407</v>
      </c>
      <c r="Z105" t="s">
        <v>27</v>
      </c>
      <c r="AA105" t="s">
        <v>407</v>
      </c>
      <c r="AB105" t="s">
        <v>408</v>
      </c>
      <c r="AC105" t="s">
        <v>407</v>
      </c>
      <c r="AD105" t="s">
        <v>27</v>
      </c>
      <c r="AE105" t="s">
        <v>407</v>
      </c>
      <c r="AF105" t="s">
        <v>408</v>
      </c>
      <c r="AG105" t="s">
        <v>345</v>
      </c>
      <c r="AH105" t="s">
        <v>346</v>
      </c>
      <c r="AI105" t="s">
        <v>372</v>
      </c>
      <c r="AJ105" t="s">
        <v>344</v>
      </c>
      <c r="AK105" t="s">
        <v>407</v>
      </c>
      <c r="AL105" t="s">
        <v>279</v>
      </c>
      <c r="AM105" t="s">
        <v>407</v>
      </c>
      <c r="AN105" t="s">
        <v>408</v>
      </c>
      <c r="AO105" t="s">
        <v>407</v>
      </c>
      <c r="AP105" t="s">
        <v>53</v>
      </c>
      <c r="AQ105" t="s">
        <v>407</v>
      </c>
      <c r="AR105" t="s">
        <v>408</v>
      </c>
      <c r="AS105" t="s">
        <v>407</v>
      </c>
      <c r="AT105" t="s">
        <v>407</v>
      </c>
      <c r="AU105" t="s">
        <v>409</v>
      </c>
      <c r="AV105" t="s">
        <v>409</v>
      </c>
      <c r="AW105" t="str">
        <f t="shared" si="2"/>
        <v>#if(J44#"JE","JE",if(J44#"Drilled","JC",""))</v>
      </c>
      <c r="BC105" t="s">
        <v>438</v>
      </c>
      <c r="BJ105" t="s">
        <v>501</v>
      </c>
      <c r="BQ105" t="s">
        <v>600</v>
      </c>
      <c r="BR105" t="s">
        <v>346</v>
      </c>
      <c r="BS105" t="s">
        <v>561</v>
      </c>
      <c r="BT105" t="s">
        <v>596</v>
      </c>
      <c r="BU105" t="s">
        <v>407</v>
      </c>
      <c r="BV105" t="s">
        <v>157</v>
      </c>
      <c r="BW105" t="s">
        <v>407</v>
      </c>
      <c r="BX105" t="s">
        <v>408</v>
      </c>
      <c r="BY105" t="s">
        <v>407</v>
      </c>
      <c r="BZ105" t="s">
        <v>80</v>
      </c>
      <c r="CA105" t="s">
        <v>407</v>
      </c>
      <c r="CB105" t="s">
        <v>408</v>
      </c>
      <c r="CC105" t="s">
        <v>597</v>
      </c>
      <c r="CD105" t="s">
        <v>346</v>
      </c>
      <c r="CE105" t="s">
        <v>561</v>
      </c>
      <c r="CF105" t="s">
        <v>596</v>
      </c>
      <c r="CG105" s="32" t="s">
        <v>407</v>
      </c>
      <c r="CH105" t="s">
        <v>411</v>
      </c>
      <c r="CI105" t="s">
        <v>407</v>
      </c>
      <c r="CJ105" t="s">
        <v>408</v>
      </c>
      <c r="CK105" s="32" t="s">
        <v>407</v>
      </c>
      <c r="CL105" t="s">
        <v>29</v>
      </c>
      <c r="CM105" t="s">
        <v>407</v>
      </c>
      <c r="CN105" t="s">
        <v>408</v>
      </c>
      <c r="CO105" t="s">
        <v>597</v>
      </c>
      <c r="CP105" t="s">
        <v>346</v>
      </c>
      <c r="CQ105" t="s">
        <v>561</v>
      </c>
      <c r="CR105" t="s">
        <v>596</v>
      </c>
      <c r="CS105" s="32" t="s">
        <v>407</v>
      </c>
      <c r="CT105" t="s">
        <v>475</v>
      </c>
      <c r="CU105" t="s">
        <v>407</v>
      </c>
      <c r="CV105" t="s">
        <v>408</v>
      </c>
      <c r="CW105" s="32" t="s">
        <v>407</v>
      </c>
      <c r="CX105" t="s">
        <v>83</v>
      </c>
      <c r="CY105" t="s">
        <v>407</v>
      </c>
      <c r="CZ105" t="s">
        <v>408</v>
      </c>
      <c r="DA105" t="s">
        <v>407</v>
      </c>
      <c r="DB105" t="s">
        <v>598</v>
      </c>
      <c r="DC105" t="s">
        <v>407</v>
      </c>
      <c r="DD105" t="s">
        <v>599</v>
      </c>
      <c r="DE105" t="str">
        <f t="shared" si="3"/>
        <v>%IF(K44%"Poplar","PAINT",IF(K44%"Red Oak","SGO",IF(K44%"Maple","SM","SPPN")))</v>
      </c>
      <c r="DO105" t="s">
        <v>497</v>
      </c>
    </row>
    <row r="106" spans="6:119" x14ac:dyDescent="0.25">
      <c r="F106" t="s">
        <v>184</v>
      </c>
      <c r="H106" t="s">
        <v>244</v>
      </c>
      <c r="M106" t="s">
        <v>306</v>
      </c>
      <c r="O106" t="s">
        <v>341</v>
      </c>
      <c r="T106" t="s">
        <v>344</v>
      </c>
      <c r="U106" t="s">
        <v>345</v>
      </c>
      <c r="V106" t="s">
        <v>346</v>
      </c>
      <c r="W106" t="s">
        <v>372</v>
      </c>
      <c r="X106" t="s">
        <v>344</v>
      </c>
      <c r="Y106" t="s">
        <v>407</v>
      </c>
      <c r="Z106" t="s">
        <v>27</v>
      </c>
      <c r="AA106" t="s">
        <v>407</v>
      </c>
      <c r="AB106" t="s">
        <v>408</v>
      </c>
      <c r="AC106" t="s">
        <v>407</v>
      </c>
      <c r="AD106" t="s">
        <v>27</v>
      </c>
      <c r="AE106" t="s">
        <v>407</v>
      </c>
      <c r="AF106" t="s">
        <v>408</v>
      </c>
      <c r="AG106" t="s">
        <v>345</v>
      </c>
      <c r="AH106" t="s">
        <v>346</v>
      </c>
      <c r="AI106" t="s">
        <v>372</v>
      </c>
      <c r="AJ106" t="s">
        <v>344</v>
      </c>
      <c r="AK106" t="s">
        <v>407</v>
      </c>
      <c r="AL106" t="s">
        <v>279</v>
      </c>
      <c r="AM106" t="s">
        <v>407</v>
      </c>
      <c r="AN106" t="s">
        <v>408</v>
      </c>
      <c r="AO106" t="s">
        <v>407</v>
      </c>
      <c r="AP106" t="s">
        <v>53</v>
      </c>
      <c r="AQ106" t="s">
        <v>407</v>
      </c>
      <c r="AR106" t="s">
        <v>408</v>
      </c>
      <c r="AS106" t="s">
        <v>407</v>
      </c>
      <c r="AT106" t="s">
        <v>407</v>
      </c>
      <c r="AU106" t="s">
        <v>409</v>
      </c>
      <c r="AV106" t="s">
        <v>409</v>
      </c>
      <c r="AW106" t="str">
        <f t="shared" si="2"/>
        <v>#if(J44#"JE","JE",if(J44#"Drilled","JC",""))</v>
      </c>
      <c r="BC106" t="s">
        <v>438</v>
      </c>
      <c r="BJ106" t="s">
        <v>501</v>
      </c>
      <c r="BQ106" t="s">
        <v>600</v>
      </c>
      <c r="BR106" t="s">
        <v>346</v>
      </c>
      <c r="BS106" t="s">
        <v>561</v>
      </c>
      <c r="BT106" t="s">
        <v>596</v>
      </c>
      <c r="BU106" t="s">
        <v>407</v>
      </c>
      <c r="BV106" t="s">
        <v>157</v>
      </c>
      <c r="BW106" t="s">
        <v>407</v>
      </c>
      <c r="BX106" t="s">
        <v>408</v>
      </c>
      <c r="BY106" t="s">
        <v>407</v>
      </c>
      <c r="BZ106" t="s">
        <v>80</v>
      </c>
      <c r="CA106" t="s">
        <v>407</v>
      </c>
      <c r="CB106" t="s">
        <v>408</v>
      </c>
      <c r="CC106" t="s">
        <v>597</v>
      </c>
      <c r="CD106" t="s">
        <v>346</v>
      </c>
      <c r="CE106" t="s">
        <v>561</v>
      </c>
      <c r="CF106" t="s">
        <v>596</v>
      </c>
      <c r="CG106" s="32" t="s">
        <v>407</v>
      </c>
      <c r="CH106" t="s">
        <v>411</v>
      </c>
      <c r="CI106" t="s">
        <v>407</v>
      </c>
      <c r="CJ106" t="s">
        <v>408</v>
      </c>
      <c r="CK106" s="32" t="s">
        <v>407</v>
      </c>
      <c r="CL106" t="s">
        <v>29</v>
      </c>
      <c r="CM106" t="s">
        <v>407</v>
      </c>
      <c r="CN106" t="s">
        <v>408</v>
      </c>
      <c r="CO106" t="s">
        <v>597</v>
      </c>
      <c r="CP106" t="s">
        <v>346</v>
      </c>
      <c r="CQ106" t="s">
        <v>561</v>
      </c>
      <c r="CR106" t="s">
        <v>596</v>
      </c>
      <c r="CS106" s="32" t="s">
        <v>407</v>
      </c>
      <c r="CT106" t="s">
        <v>475</v>
      </c>
      <c r="CU106" t="s">
        <v>407</v>
      </c>
      <c r="CV106" t="s">
        <v>408</v>
      </c>
      <c r="CW106" s="32" t="s">
        <v>407</v>
      </c>
      <c r="CX106" t="s">
        <v>83</v>
      </c>
      <c r="CY106" t="s">
        <v>407</v>
      </c>
      <c r="CZ106" t="s">
        <v>408</v>
      </c>
      <c r="DA106" t="s">
        <v>407</v>
      </c>
      <c r="DB106" t="s">
        <v>598</v>
      </c>
      <c r="DC106" t="s">
        <v>407</v>
      </c>
      <c r="DD106" t="s">
        <v>599</v>
      </c>
      <c r="DE106" t="str">
        <f t="shared" si="3"/>
        <v>%IF(K44%"Poplar","PAINT",IF(K44%"Red Oak","SGO",IF(K44%"Maple","SM","SPPN")))</v>
      </c>
      <c r="DO106" t="s">
        <v>497</v>
      </c>
    </row>
    <row r="107" spans="6:119" x14ac:dyDescent="0.25">
      <c r="F107" t="s">
        <v>184</v>
      </c>
      <c r="H107" t="s">
        <v>244</v>
      </c>
      <c r="M107" t="s">
        <v>306</v>
      </c>
      <c r="O107" t="s">
        <v>341</v>
      </c>
      <c r="T107" t="s">
        <v>344</v>
      </c>
      <c r="U107" t="s">
        <v>345</v>
      </c>
      <c r="V107" t="s">
        <v>346</v>
      </c>
      <c r="W107" t="s">
        <v>372</v>
      </c>
      <c r="X107" t="s">
        <v>344</v>
      </c>
      <c r="Y107" t="s">
        <v>407</v>
      </c>
      <c r="Z107" t="s">
        <v>27</v>
      </c>
      <c r="AA107" t="s">
        <v>407</v>
      </c>
      <c r="AB107" t="s">
        <v>408</v>
      </c>
      <c r="AC107" t="s">
        <v>407</v>
      </c>
      <c r="AD107" t="s">
        <v>27</v>
      </c>
      <c r="AE107" t="s">
        <v>407</v>
      </c>
      <c r="AF107" t="s">
        <v>408</v>
      </c>
      <c r="AG107" t="s">
        <v>345</v>
      </c>
      <c r="AH107" t="s">
        <v>346</v>
      </c>
      <c r="AI107" t="s">
        <v>372</v>
      </c>
      <c r="AJ107" t="s">
        <v>344</v>
      </c>
      <c r="AK107" t="s">
        <v>407</v>
      </c>
      <c r="AL107" t="s">
        <v>279</v>
      </c>
      <c r="AM107" t="s">
        <v>407</v>
      </c>
      <c r="AN107" t="s">
        <v>408</v>
      </c>
      <c r="AO107" t="s">
        <v>407</v>
      </c>
      <c r="AP107" t="s">
        <v>53</v>
      </c>
      <c r="AQ107" t="s">
        <v>407</v>
      </c>
      <c r="AR107" t="s">
        <v>408</v>
      </c>
      <c r="AS107" t="s">
        <v>407</v>
      </c>
      <c r="AT107" t="s">
        <v>407</v>
      </c>
      <c r="AU107" t="s">
        <v>409</v>
      </c>
      <c r="AV107" t="s">
        <v>409</v>
      </c>
      <c r="AW107" t="str">
        <f t="shared" si="2"/>
        <v>#if(J44#"JE","JE",if(J44#"Drilled","JC",""))</v>
      </c>
      <c r="BC107" t="s">
        <v>438</v>
      </c>
      <c r="BJ107" t="s">
        <v>501</v>
      </c>
      <c r="BQ107" t="s">
        <v>600</v>
      </c>
      <c r="BR107" t="s">
        <v>346</v>
      </c>
      <c r="BS107" t="s">
        <v>561</v>
      </c>
      <c r="BT107" t="s">
        <v>596</v>
      </c>
      <c r="BU107" t="s">
        <v>407</v>
      </c>
      <c r="BV107" t="s">
        <v>157</v>
      </c>
      <c r="BW107" t="s">
        <v>407</v>
      </c>
      <c r="BX107" t="s">
        <v>408</v>
      </c>
      <c r="BY107" t="s">
        <v>407</v>
      </c>
      <c r="BZ107" t="s">
        <v>80</v>
      </c>
      <c r="CA107" t="s">
        <v>407</v>
      </c>
      <c r="CB107" t="s">
        <v>408</v>
      </c>
      <c r="CC107" t="s">
        <v>597</v>
      </c>
      <c r="CD107" t="s">
        <v>346</v>
      </c>
      <c r="CE107" t="s">
        <v>561</v>
      </c>
      <c r="CF107" t="s">
        <v>596</v>
      </c>
      <c r="CG107" s="32" t="s">
        <v>407</v>
      </c>
      <c r="CH107" t="s">
        <v>411</v>
      </c>
      <c r="CI107" t="s">
        <v>407</v>
      </c>
      <c r="CJ107" t="s">
        <v>408</v>
      </c>
      <c r="CK107" s="32" t="s">
        <v>407</v>
      </c>
      <c r="CL107" t="s">
        <v>29</v>
      </c>
      <c r="CM107" t="s">
        <v>407</v>
      </c>
      <c r="CN107" t="s">
        <v>408</v>
      </c>
      <c r="CO107" t="s">
        <v>597</v>
      </c>
      <c r="CP107" t="s">
        <v>346</v>
      </c>
      <c r="CQ107" t="s">
        <v>561</v>
      </c>
      <c r="CR107" t="s">
        <v>596</v>
      </c>
      <c r="CS107" s="32" t="s">
        <v>407</v>
      </c>
      <c r="CT107" t="s">
        <v>475</v>
      </c>
      <c r="CU107" t="s">
        <v>407</v>
      </c>
      <c r="CV107" t="s">
        <v>408</v>
      </c>
      <c r="CW107" s="32" t="s">
        <v>407</v>
      </c>
      <c r="CX107" t="s">
        <v>83</v>
      </c>
      <c r="CY107" t="s">
        <v>407</v>
      </c>
      <c r="CZ107" t="s">
        <v>408</v>
      </c>
      <c r="DA107" t="s">
        <v>407</v>
      </c>
      <c r="DB107" t="s">
        <v>598</v>
      </c>
      <c r="DC107" t="s">
        <v>407</v>
      </c>
      <c r="DD107" t="s">
        <v>599</v>
      </c>
      <c r="DE107" t="str">
        <f t="shared" si="3"/>
        <v>%IF(K44%"Poplar","PAINT",IF(K44%"Red Oak","SGO",IF(K44%"Maple","SM","SPPN")))</v>
      </c>
      <c r="DO107" t="s">
        <v>498</v>
      </c>
    </row>
    <row r="108" spans="6:119" x14ac:dyDescent="0.25">
      <c r="F108" t="s">
        <v>184</v>
      </c>
      <c r="H108" t="s">
        <v>244</v>
      </c>
      <c r="M108" t="s">
        <v>306</v>
      </c>
      <c r="O108" t="s">
        <v>341</v>
      </c>
      <c r="T108" t="s">
        <v>344</v>
      </c>
      <c r="U108" t="s">
        <v>345</v>
      </c>
      <c r="V108" t="s">
        <v>346</v>
      </c>
      <c r="W108" t="s">
        <v>372</v>
      </c>
      <c r="X108" t="s">
        <v>344</v>
      </c>
      <c r="Y108" t="s">
        <v>407</v>
      </c>
      <c r="Z108" t="s">
        <v>27</v>
      </c>
      <c r="AA108" t="s">
        <v>407</v>
      </c>
      <c r="AB108" t="s">
        <v>408</v>
      </c>
      <c r="AC108" t="s">
        <v>407</v>
      </c>
      <c r="AD108" t="s">
        <v>27</v>
      </c>
      <c r="AE108" t="s">
        <v>407</v>
      </c>
      <c r="AF108" t="s">
        <v>408</v>
      </c>
      <c r="AG108" t="s">
        <v>345</v>
      </c>
      <c r="AH108" t="s">
        <v>346</v>
      </c>
      <c r="AI108" t="s">
        <v>372</v>
      </c>
      <c r="AJ108" t="s">
        <v>344</v>
      </c>
      <c r="AK108" t="s">
        <v>407</v>
      </c>
      <c r="AL108" t="s">
        <v>279</v>
      </c>
      <c r="AM108" t="s">
        <v>407</v>
      </c>
      <c r="AN108" t="s">
        <v>408</v>
      </c>
      <c r="AO108" t="s">
        <v>407</v>
      </c>
      <c r="AP108" t="s">
        <v>53</v>
      </c>
      <c r="AQ108" t="s">
        <v>407</v>
      </c>
      <c r="AR108" t="s">
        <v>408</v>
      </c>
      <c r="AS108" t="s">
        <v>407</v>
      </c>
      <c r="AT108" t="s">
        <v>407</v>
      </c>
      <c r="AU108" t="s">
        <v>409</v>
      </c>
      <c r="AV108" t="s">
        <v>409</v>
      </c>
      <c r="AW108" t="str">
        <f t="shared" si="2"/>
        <v>#if(J44#"JE","JE",if(J44#"Drilled","JC",""))</v>
      </c>
      <c r="BC108" t="s">
        <v>438</v>
      </c>
      <c r="BJ108" t="s">
        <v>501</v>
      </c>
      <c r="BQ108" t="s">
        <v>600</v>
      </c>
      <c r="BR108" t="s">
        <v>346</v>
      </c>
      <c r="BS108" t="s">
        <v>561</v>
      </c>
      <c r="BT108" t="s">
        <v>596</v>
      </c>
      <c r="BU108" t="s">
        <v>407</v>
      </c>
      <c r="BV108" t="s">
        <v>157</v>
      </c>
      <c r="BW108" t="s">
        <v>407</v>
      </c>
      <c r="BX108" t="s">
        <v>408</v>
      </c>
      <c r="BY108" t="s">
        <v>407</v>
      </c>
      <c r="BZ108" t="s">
        <v>80</v>
      </c>
      <c r="CA108" t="s">
        <v>407</v>
      </c>
      <c r="CB108" t="s">
        <v>408</v>
      </c>
      <c r="CC108" t="s">
        <v>597</v>
      </c>
      <c r="CD108" t="s">
        <v>346</v>
      </c>
      <c r="CE108" t="s">
        <v>561</v>
      </c>
      <c r="CF108" t="s">
        <v>596</v>
      </c>
      <c r="CG108" s="32" t="s">
        <v>407</v>
      </c>
      <c r="CH108" t="s">
        <v>411</v>
      </c>
      <c r="CI108" t="s">
        <v>407</v>
      </c>
      <c r="CJ108" t="s">
        <v>408</v>
      </c>
      <c r="CK108" s="32" t="s">
        <v>407</v>
      </c>
      <c r="CL108" t="s">
        <v>29</v>
      </c>
      <c r="CM108" t="s">
        <v>407</v>
      </c>
      <c r="CN108" t="s">
        <v>408</v>
      </c>
      <c r="CO108" t="s">
        <v>597</v>
      </c>
      <c r="CP108" t="s">
        <v>346</v>
      </c>
      <c r="CQ108" t="s">
        <v>561</v>
      </c>
      <c r="CR108" t="s">
        <v>596</v>
      </c>
      <c r="CS108" s="32" t="s">
        <v>407</v>
      </c>
      <c r="CT108" t="s">
        <v>475</v>
      </c>
      <c r="CU108" t="s">
        <v>407</v>
      </c>
      <c r="CV108" t="s">
        <v>408</v>
      </c>
      <c r="CW108" s="32" t="s">
        <v>407</v>
      </c>
      <c r="CX108" t="s">
        <v>83</v>
      </c>
      <c r="CY108" t="s">
        <v>407</v>
      </c>
      <c r="CZ108" t="s">
        <v>408</v>
      </c>
      <c r="DA108" t="s">
        <v>407</v>
      </c>
      <c r="DB108" t="s">
        <v>598</v>
      </c>
      <c r="DC108" t="s">
        <v>407</v>
      </c>
      <c r="DD108" t="s">
        <v>599</v>
      </c>
      <c r="DE108" t="str">
        <f t="shared" si="3"/>
        <v>%IF(K44%"Poplar","PAINT",IF(K44%"Red Oak","SGO",IF(K44%"Maple","SM","SPPN")))</v>
      </c>
      <c r="DO108" t="s">
        <v>498</v>
      </c>
    </row>
    <row r="109" spans="6:119" x14ac:dyDescent="0.25">
      <c r="F109" t="s">
        <v>185</v>
      </c>
      <c r="H109" t="s">
        <v>245</v>
      </c>
      <c r="M109" t="s">
        <v>307</v>
      </c>
      <c r="O109" t="s">
        <v>341</v>
      </c>
      <c r="T109" t="s">
        <v>344</v>
      </c>
      <c r="U109" t="s">
        <v>345</v>
      </c>
      <c r="V109" t="s">
        <v>346</v>
      </c>
      <c r="W109" t="s">
        <v>373</v>
      </c>
      <c r="X109" t="s">
        <v>344</v>
      </c>
      <c r="Y109" t="s">
        <v>407</v>
      </c>
      <c r="Z109" t="s">
        <v>27</v>
      </c>
      <c r="AA109" t="s">
        <v>407</v>
      </c>
      <c r="AB109" t="s">
        <v>408</v>
      </c>
      <c r="AC109" t="s">
        <v>407</v>
      </c>
      <c r="AD109" t="s">
        <v>27</v>
      </c>
      <c r="AE109" t="s">
        <v>407</v>
      </c>
      <c r="AF109" t="s">
        <v>408</v>
      </c>
      <c r="AG109" t="s">
        <v>345</v>
      </c>
      <c r="AH109" t="s">
        <v>346</v>
      </c>
      <c r="AI109" t="s">
        <v>373</v>
      </c>
      <c r="AJ109" t="s">
        <v>344</v>
      </c>
      <c r="AK109" t="s">
        <v>407</v>
      </c>
      <c r="AL109" t="s">
        <v>279</v>
      </c>
      <c r="AM109" t="s">
        <v>407</v>
      </c>
      <c r="AN109" t="s">
        <v>408</v>
      </c>
      <c r="AO109" t="s">
        <v>407</v>
      </c>
      <c r="AP109" t="s">
        <v>53</v>
      </c>
      <c r="AQ109" t="s">
        <v>407</v>
      </c>
      <c r="AR109" t="s">
        <v>408</v>
      </c>
      <c r="AS109" t="s">
        <v>407</v>
      </c>
      <c r="AT109" t="s">
        <v>407</v>
      </c>
      <c r="AU109" t="s">
        <v>409</v>
      </c>
      <c r="AV109" t="s">
        <v>409</v>
      </c>
      <c r="AW109" t="str">
        <f t="shared" si="2"/>
        <v>#if(J45#"JE","JE",if(J45#"Drilled","JC",""))</v>
      </c>
      <c r="BC109" t="s">
        <v>439</v>
      </c>
      <c r="BJ109" t="s">
        <v>502</v>
      </c>
      <c r="BQ109" t="s">
        <v>600</v>
      </c>
      <c r="BR109" t="s">
        <v>346</v>
      </c>
      <c r="BS109" t="s">
        <v>562</v>
      </c>
      <c r="BT109" t="s">
        <v>596</v>
      </c>
      <c r="BU109" t="s">
        <v>407</v>
      </c>
      <c r="BV109" t="s">
        <v>157</v>
      </c>
      <c r="BW109" t="s">
        <v>407</v>
      </c>
      <c r="BX109" t="s">
        <v>408</v>
      </c>
      <c r="BY109" t="s">
        <v>407</v>
      </c>
      <c r="BZ109" t="s">
        <v>80</v>
      </c>
      <c r="CA109" t="s">
        <v>407</v>
      </c>
      <c r="CB109" t="s">
        <v>408</v>
      </c>
      <c r="CC109" t="s">
        <v>597</v>
      </c>
      <c r="CD109" t="s">
        <v>346</v>
      </c>
      <c r="CE109" t="s">
        <v>562</v>
      </c>
      <c r="CF109" t="s">
        <v>596</v>
      </c>
      <c r="CG109" s="32" t="s">
        <v>407</v>
      </c>
      <c r="CH109" t="s">
        <v>411</v>
      </c>
      <c r="CI109" t="s">
        <v>407</v>
      </c>
      <c r="CJ109" t="s">
        <v>408</v>
      </c>
      <c r="CK109" s="32" t="s">
        <v>407</v>
      </c>
      <c r="CL109" t="s">
        <v>29</v>
      </c>
      <c r="CM109" t="s">
        <v>407</v>
      </c>
      <c r="CN109" t="s">
        <v>408</v>
      </c>
      <c r="CO109" t="s">
        <v>597</v>
      </c>
      <c r="CP109" t="s">
        <v>346</v>
      </c>
      <c r="CQ109" t="s">
        <v>562</v>
      </c>
      <c r="CR109" t="s">
        <v>596</v>
      </c>
      <c r="CS109" s="32" t="s">
        <v>407</v>
      </c>
      <c r="CT109" t="s">
        <v>475</v>
      </c>
      <c r="CU109" t="s">
        <v>407</v>
      </c>
      <c r="CV109" t="s">
        <v>408</v>
      </c>
      <c r="CW109" s="32" t="s">
        <v>407</v>
      </c>
      <c r="CX109" t="s">
        <v>83</v>
      </c>
      <c r="CY109" t="s">
        <v>407</v>
      </c>
      <c r="CZ109" t="s">
        <v>408</v>
      </c>
      <c r="DA109" t="s">
        <v>407</v>
      </c>
      <c r="DB109" t="s">
        <v>598</v>
      </c>
      <c r="DC109" t="s">
        <v>407</v>
      </c>
      <c r="DD109" t="s">
        <v>599</v>
      </c>
      <c r="DE109" t="str">
        <f t="shared" si="3"/>
        <v>%IF(K45%"Poplar","PAINT",IF(K45%"Red Oak","SGO",IF(K45%"Maple","SM","SPPN")))</v>
      </c>
      <c r="DO109" t="s">
        <v>498</v>
      </c>
    </row>
    <row r="110" spans="6:119" x14ac:dyDescent="0.25">
      <c r="F110" t="s">
        <v>185</v>
      </c>
      <c r="H110" t="s">
        <v>245</v>
      </c>
      <c r="M110" t="s">
        <v>307</v>
      </c>
      <c r="O110" t="s">
        <v>341</v>
      </c>
      <c r="T110" t="s">
        <v>344</v>
      </c>
      <c r="U110" t="s">
        <v>345</v>
      </c>
      <c r="V110" t="s">
        <v>346</v>
      </c>
      <c r="W110" t="s">
        <v>373</v>
      </c>
      <c r="X110" t="s">
        <v>344</v>
      </c>
      <c r="Y110" t="s">
        <v>407</v>
      </c>
      <c r="Z110" t="s">
        <v>27</v>
      </c>
      <c r="AA110" t="s">
        <v>407</v>
      </c>
      <c r="AB110" t="s">
        <v>408</v>
      </c>
      <c r="AC110" t="s">
        <v>407</v>
      </c>
      <c r="AD110" t="s">
        <v>27</v>
      </c>
      <c r="AE110" t="s">
        <v>407</v>
      </c>
      <c r="AF110" t="s">
        <v>408</v>
      </c>
      <c r="AG110" t="s">
        <v>345</v>
      </c>
      <c r="AH110" t="s">
        <v>346</v>
      </c>
      <c r="AI110" t="s">
        <v>373</v>
      </c>
      <c r="AJ110" t="s">
        <v>344</v>
      </c>
      <c r="AK110" t="s">
        <v>407</v>
      </c>
      <c r="AL110" t="s">
        <v>279</v>
      </c>
      <c r="AM110" t="s">
        <v>407</v>
      </c>
      <c r="AN110" t="s">
        <v>408</v>
      </c>
      <c r="AO110" t="s">
        <v>407</v>
      </c>
      <c r="AP110" t="s">
        <v>53</v>
      </c>
      <c r="AQ110" t="s">
        <v>407</v>
      </c>
      <c r="AR110" t="s">
        <v>408</v>
      </c>
      <c r="AS110" t="s">
        <v>407</v>
      </c>
      <c r="AT110" t="s">
        <v>407</v>
      </c>
      <c r="AU110" t="s">
        <v>409</v>
      </c>
      <c r="AV110" t="s">
        <v>409</v>
      </c>
      <c r="AW110" t="str">
        <f t="shared" si="2"/>
        <v>#if(J45#"JE","JE",if(J45#"Drilled","JC",""))</v>
      </c>
      <c r="BC110" t="s">
        <v>439</v>
      </c>
      <c r="BJ110" t="s">
        <v>502</v>
      </c>
      <c r="BQ110" t="s">
        <v>600</v>
      </c>
      <c r="BR110" t="s">
        <v>346</v>
      </c>
      <c r="BS110" t="s">
        <v>562</v>
      </c>
      <c r="BT110" t="s">
        <v>596</v>
      </c>
      <c r="BU110" t="s">
        <v>407</v>
      </c>
      <c r="BV110" t="s">
        <v>157</v>
      </c>
      <c r="BW110" t="s">
        <v>407</v>
      </c>
      <c r="BX110" t="s">
        <v>408</v>
      </c>
      <c r="BY110" t="s">
        <v>407</v>
      </c>
      <c r="BZ110" t="s">
        <v>80</v>
      </c>
      <c r="CA110" t="s">
        <v>407</v>
      </c>
      <c r="CB110" t="s">
        <v>408</v>
      </c>
      <c r="CC110" t="s">
        <v>597</v>
      </c>
      <c r="CD110" t="s">
        <v>346</v>
      </c>
      <c r="CE110" t="s">
        <v>562</v>
      </c>
      <c r="CF110" t="s">
        <v>596</v>
      </c>
      <c r="CG110" s="32" t="s">
        <v>407</v>
      </c>
      <c r="CH110" t="s">
        <v>411</v>
      </c>
      <c r="CI110" t="s">
        <v>407</v>
      </c>
      <c r="CJ110" t="s">
        <v>408</v>
      </c>
      <c r="CK110" s="32" t="s">
        <v>407</v>
      </c>
      <c r="CL110" t="s">
        <v>29</v>
      </c>
      <c r="CM110" t="s">
        <v>407</v>
      </c>
      <c r="CN110" t="s">
        <v>408</v>
      </c>
      <c r="CO110" t="s">
        <v>597</v>
      </c>
      <c r="CP110" t="s">
        <v>346</v>
      </c>
      <c r="CQ110" t="s">
        <v>562</v>
      </c>
      <c r="CR110" t="s">
        <v>596</v>
      </c>
      <c r="CS110" s="32" t="s">
        <v>407</v>
      </c>
      <c r="CT110" t="s">
        <v>475</v>
      </c>
      <c r="CU110" t="s">
        <v>407</v>
      </c>
      <c r="CV110" t="s">
        <v>408</v>
      </c>
      <c r="CW110" s="32" t="s">
        <v>407</v>
      </c>
      <c r="CX110" t="s">
        <v>83</v>
      </c>
      <c r="CY110" t="s">
        <v>407</v>
      </c>
      <c r="CZ110" t="s">
        <v>408</v>
      </c>
      <c r="DA110" t="s">
        <v>407</v>
      </c>
      <c r="DB110" t="s">
        <v>598</v>
      </c>
      <c r="DC110" t="s">
        <v>407</v>
      </c>
      <c r="DD110" t="s">
        <v>599</v>
      </c>
      <c r="DE110" t="str">
        <f t="shared" si="3"/>
        <v>%IF(K45%"Poplar","PAINT",IF(K45%"Red Oak","SGO",IF(K45%"Maple","SM","SPPN")))</v>
      </c>
      <c r="DO110" t="s">
        <v>498</v>
      </c>
    </row>
    <row r="111" spans="6:119" x14ac:dyDescent="0.25">
      <c r="F111" t="s">
        <v>185</v>
      </c>
      <c r="H111" t="s">
        <v>245</v>
      </c>
      <c r="M111" t="s">
        <v>307</v>
      </c>
      <c r="O111" t="s">
        <v>341</v>
      </c>
      <c r="T111" t="s">
        <v>344</v>
      </c>
      <c r="U111" t="s">
        <v>345</v>
      </c>
      <c r="V111" t="s">
        <v>346</v>
      </c>
      <c r="W111" t="s">
        <v>373</v>
      </c>
      <c r="X111" t="s">
        <v>344</v>
      </c>
      <c r="Y111" t="s">
        <v>407</v>
      </c>
      <c r="Z111" t="s">
        <v>27</v>
      </c>
      <c r="AA111" t="s">
        <v>407</v>
      </c>
      <c r="AB111" t="s">
        <v>408</v>
      </c>
      <c r="AC111" t="s">
        <v>407</v>
      </c>
      <c r="AD111" t="s">
        <v>27</v>
      </c>
      <c r="AE111" t="s">
        <v>407</v>
      </c>
      <c r="AF111" t="s">
        <v>408</v>
      </c>
      <c r="AG111" t="s">
        <v>345</v>
      </c>
      <c r="AH111" t="s">
        <v>346</v>
      </c>
      <c r="AI111" t="s">
        <v>373</v>
      </c>
      <c r="AJ111" t="s">
        <v>344</v>
      </c>
      <c r="AK111" t="s">
        <v>407</v>
      </c>
      <c r="AL111" t="s">
        <v>279</v>
      </c>
      <c r="AM111" t="s">
        <v>407</v>
      </c>
      <c r="AN111" t="s">
        <v>408</v>
      </c>
      <c r="AO111" t="s">
        <v>407</v>
      </c>
      <c r="AP111" t="s">
        <v>53</v>
      </c>
      <c r="AQ111" t="s">
        <v>407</v>
      </c>
      <c r="AR111" t="s">
        <v>408</v>
      </c>
      <c r="AS111" t="s">
        <v>407</v>
      </c>
      <c r="AT111" t="s">
        <v>407</v>
      </c>
      <c r="AU111" t="s">
        <v>409</v>
      </c>
      <c r="AV111" t="s">
        <v>409</v>
      </c>
      <c r="AW111" t="str">
        <f t="shared" si="2"/>
        <v>#if(J45#"JE","JE",if(J45#"Drilled","JC",""))</v>
      </c>
      <c r="BC111" t="s">
        <v>439</v>
      </c>
      <c r="BJ111" t="s">
        <v>502</v>
      </c>
      <c r="BQ111" t="s">
        <v>600</v>
      </c>
      <c r="BR111" t="s">
        <v>346</v>
      </c>
      <c r="BS111" t="s">
        <v>562</v>
      </c>
      <c r="BT111" t="s">
        <v>596</v>
      </c>
      <c r="BU111" t="s">
        <v>407</v>
      </c>
      <c r="BV111" t="s">
        <v>157</v>
      </c>
      <c r="BW111" t="s">
        <v>407</v>
      </c>
      <c r="BX111" t="s">
        <v>408</v>
      </c>
      <c r="BY111" t="s">
        <v>407</v>
      </c>
      <c r="BZ111" t="s">
        <v>80</v>
      </c>
      <c r="CA111" t="s">
        <v>407</v>
      </c>
      <c r="CB111" t="s">
        <v>408</v>
      </c>
      <c r="CC111" t="s">
        <v>597</v>
      </c>
      <c r="CD111" t="s">
        <v>346</v>
      </c>
      <c r="CE111" t="s">
        <v>562</v>
      </c>
      <c r="CF111" t="s">
        <v>596</v>
      </c>
      <c r="CG111" s="32" t="s">
        <v>407</v>
      </c>
      <c r="CH111" t="s">
        <v>411</v>
      </c>
      <c r="CI111" t="s">
        <v>407</v>
      </c>
      <c r="CJ111" t="s">
        <v>408</v>
      </c>
      <c r="CK111" s="32" t="s">
        <v>407</v>
      </c>
      <c r="CL111" t="s">
        <v>29</v>
      </c>
      <c r="CM111" t="s">
        <v>407</v>
      </c>
      <c r="CN111" t="s">
        <v>408</v>
      </c>
      <c r="CO111" t="s">
        <v>597</v>
      </c>
      <c r="CP111" t="s">
        <v>346</v>
      </c>
      <c r="CQ111" t="s">
        <v>562</v>
      </c>
      <c r="CR111" t="s">
        <v>596</v>
      </c>
      <c r="CS111" s="32" t="s">
        <v>407</v>
      </c>
      <c r="CT111" t="s">
        <v>475</v>
      </c>
      <c r="CU111" t="s">
        <v>407</v>
      </c>
      <c r="CV111" t="s">
        <v>408</v>
      </c>
      <c r="CW111" s="32" t="s">
        <v>407</v>
      </c>
      <c r="CX111" t="s">
        <v>83</v>
      </c>
      <c r="CY111" t="s">
        <v>407</v>
      </c>
      <c r="CZ111" t="s">
        <v>408</v>
      </c>
      <c r="DA111" t="s">
        <v>407</v>
      </c>
      <c r="DB111" t="s">
        <v>598</v>
      </c>
      <c r="DC111" t="s">
        <v>407</v>
      </c>
      <c r="DD111" t="s">
        <v>599</v>
      </c>
      <c r="DE111" t="str">
        <f t="shared" si="3"/>
        <v>%IF(K45%"Poplar","PAINT",IF(K45%"Red Oak","SGO",IF(K45%"Maple","SM","SPPN")))</v>
      </c>
      <c r="DO111" t="s">
        <v>499</v>
      </c>
    </row>
    <row r="112" spans="6:119" x14ac:dyDescent="0.25">
      <c r="F112" t="s">
        <v>185</v>
      </c>
      <c r="H112" t="s">
        <v>245</v>
      </c>
      <c r="M112" t="s">
        <v>307</v>
      </c>
      <c r="O112" t="s">
        <v>341</v>
      </c>
      <c r="T112" t="s">
        <v>344</v>
      </c>
      <c r="U112" t="s">
        <v>345</v>
      </c>
      <c r="V112" t="s">
        <v>346</v>
      </c>
      <c r="W112" t="s">
        <v>373</v>
      </c>
      <c r="X112" t="s">
        <v>344</v>
      </c>
      <c r="Y112" t="s">
        <v>407</v>
      </c>
      <c r="Z112" t="s">
        <v>27</v>
      </c>
      <c r="AA112" t="s">
        <v>407</v>
      </c>
      <c r="AB112" t="s">
        <v>408</v>
      </c>
      <c r="AC112" t="s">
        <v>407</v>
      </c>
      <c r="AD112" t="s">
        <v>27</v>
      </c>
      <c r="AE112" t="s">
        <v>407</v>
      </c>
      <c r="AF112" t="s">
        <v>408</v>
      </c>
      <c r="AG112" t="s">
        <v>345</v>
      </c>
      <c r="AH112" t="s">
        <v>346</v>
      </c>
      <c r="AI112" t="s">
        <v>373</v>
      </c>
      <c r="AJ112" t="s">
        <v>344</v>
      </c>
      <c r="AK112" t="s">
        <v>407</v>
      </c>
      <c r="AL112" t="s">
        <v>279</v>
      </c>
      <c r="AM112" t="s">
        <v>407</v>
      </c>
      <c r="AN112" t="s">
        <v>408</v>
      </c>
      <c r="AO112" t="s">
        <v>407</v>
      </c>
      <c r="AP112" t="s">
        <v>53</v>
      </c>
      <c r="AQ112" t="s">
        <v>407</v>
      </c>
      <c r="AR112" t="s">
        <v>408</v>
      </c>
      <c r="AS112" t="s">
        <v>407</v>
      </c>
      <c r="AT112" t="s">
        <v>407</v>
      </c>
      <c r="AU112" t="s">
        <v>409</v>
      </c>
      <c r="AV112" t="s">
        <v>409</v>
      </c>
      <c r="AW112" t="str">
        <f t="shared" si="2"/>
        <v>#if(J45#"JE","JE",if(J45#"Drilled","JC",""))</v>
      </c>
      <c r="BC112" t="s">
        <v>439</v>
      </c>
      <c r="BJ112" t="s">
        <v>502</v>
      </c>
      <c r="BQ112" t="s">
        <v>600</v>
      </c>
      <c r="BR112" t="s">
        <v>346</v>
      </c>
      <c r="BS112" t="s">
        <v>562</v>
      </c>
      <c r="BT112" t="s">
        <v>596</v>
      </c>
      <c r="BU112" t="s">
        <v>407</v>
      </c>
      <c r="BV112" t="s">
        <v>157</v>
      </c>
      <c r="BW112" t="s">
        <v>407</v>
      </c>
      <c r="BX112" t="s">
        <v>408</v>
      </c>
      <c r="BY112" t="s">
        <v>407</v>
      </c>
      <c r="BZ112" t="s">
        <v>80</v>
      </c>
      <c r="CA112" t="s">
        <v>407</v>
      </c>
      <c r="CB112" t="s">
        <v>408</v>
      </c>
      <c r="CC112" t="s">
        <v>597</v>
      </c>
      <c r="CD112" t="s">
        <v>346</v>
      </c>
      <c r="CE112" t="s">
        <v>562</v>
      </c>
      <c r="CF112" t="s">
        <v>596</v>
      </c>
      <c r="CG112" s="32" t="s">
        <v>407</v>
      </c>
      <c r="CH112" t="s">
        <v>411</v>
      </c>
      <c r="CI112" t="s">
        <v>407</v>
      </c>
      <c r="CJ112" t="s">
        <v>408</v>
      </c>
      <c r="CK112" s="32" t="s">
        <v>407</v>
      </c>
      <c r="CL112" t="s">
        <v>29</v>
      </c>
      <c r="CM112" t="s">
        <v>407</v>
      </c>
      <c r="CN112" t="s">
        <v>408</v>
      </c>
      <c r="CO112" t="s">
        <v>597</v>
      </c>
      <c r="CP112" t="s">
        <v>346</v>
      </c>
      <c r="CQ112" t="s">
        <v>562</v>
      </c>
      <c r="CR112" t="s">
        <v>596</v>
      </c>
      <c r="CS112" s="32" t="s">
        <v>407</v>
      </c>
      <c r="CT112" t="s">
        <v>475</v>
      </c>
      <c r="CU112" t="s">
        <v>407</v>
      </c>
      <c r="CV112" t="s">
        <v>408</v>
      </c>
      <c r="CW112" s="32" t="s">
        <v>407</v>
      </c>
      <c r="CX112" t="s">
        <v>83</v>
      </c>
      <c r="CY112" t="s">
        <v>407</v>
      </c>
      <c r="CZ112" t="s">
        <v>408</v>
      </c>
      <c r="DA112" t="s">
        <v>407</v>
      </c>
      <c r="DB112" t="s">
        <v>598</v>
      </c>
      <c r="DC112" t="s">
        <v>407</v>
      </c>
      <c r="DD112" t="s">
        <v>599</v>
      </c>
      <c r="DE112" t="str">
        <f t="shared" si="3"/>
        <v>%IF(K45%"Poplar","PAINT",IF(K45%"Red Oak","SGO",IF(K45%"Maple","SM","SPPN")))</v>
      </c>
      <c r="DO112" t="s">
        <v>499</v>
      </c>
    </row>
    <row r="113" spans="6:119" x14ac:dyDescent="0.25">
      <c r="F113" t="s">
        <v>186</v>
      </c>
      <c r="H113" t="s">
        <v>246</v>
      </c>
      <c r="M113" t="s">
        <v>308</v>
      </c>
      <c r="O113" t="s">
        <v>341</v>
      </c>
      <c r="T113" t="s">
        <v>344</v>
      </c>
      <c r="U113" t="s">
        <v>345</v>
      </c>
      <c r="V113" t="s">
        <v>346</v>
      </c>
      <c r="W113" t="s">
        <v>374</v>
      </c>
      <c r="X113" t="s">
        <v>344</v>
      </c>
      <c r="Y113" t="s">
        <v>407</v>
      </c>
      <c r="Z113" t="s">
        <v>27</v>
      </c>
      <c r="AA113" t="s">
        <v>407</v>
      </c>
      <c r="AB113" t="s">
        <v>408</v>
      </c>
      <c r="AC113" t="s">
        <v>407</v>
      </c>
      <c r="AD113" t="s">
        <v>27</v>
      </c>
      <c r="AE113" t="s">
        <v>407</v>
      </c>
      <c r="AF113" t="s">
        <v>408</v>
      </c>
      <c r="AG113" t="s">
        <v>345</v>
      </c>
      <c r="AH113" t="s">
        <v>346</v>
      </c>
      <c r="AI113" t="s">
        <v>374</v>
      </c>
      <c r="AJ113" t="s">
        <v>344</v>
      </c>
      <c r="AK113" t="s">
        <v>407</v>
      </c>
      <c r="AL113" t="s">
        <v>279</v>
      </c>
      <c r="AM113" t="s">
        <v>407</v>
      </c>
      <c r="AN113" t="s">
        <v>408</v>
      </c>
      <c r="AO113" t="s">
        <v>407</v>
      </c>
      <c r="AP113" t="s">
        <v>53</v>
      </c>
      <c r="AQ113" t="s">
        <v>407</v>
      </c>
      <c r="AR113" t="s">
        <v>408</v>
      </c>
      <c r="AS113" t="s">
        <v>407</v>
      </c>
      <c r="AT113" t="s">
        <v>407</v>
      </c>
      <c r="AU113" t="s">
        <v>409</v>
      </c>
      <c r="AV113" t="s">
        <v>409</v>
      </c>
      <c r="AW113" t="str">
        <f t="shared" si="2"/>
        <v>#if(J46#"JE","JE",if(J46#"Drilled","JC",""))</v>
      </c>
      <c r="BC113" t="s">
        <v>440</v>
      </c>
      <c r="BJ113" t="s">
        <v>503</v>
      </c>
      <c r="BQ113" t="s">
        <v>600</v>
      </c>
      <c r="BR113" t="s">
        <v>346</v>
      </c>
      <c r="BS113" t="s">
        <v>563</v>
      </c>
      <c r="BT113" t="s">
        <v>596</v>
      </c>
      <c r="BU113" t="s">
        <v>407</v>
      </c>
      <c r="BV113" t="s">
        <v>157</v>
      </c>
      <c r="BW113" t="s">
        <v>407</v>
      </c>
      <c r="BX113" t="s">
        <v>408</v>
      </c>
      <c r="BY113" t="s">
        <v>407</v>
      </c>
      <c r="BZ113" t="s">
        <v>80</v>
      </c>
      <c r="CA113" t="s">
        <v>407</v>
      </c>
      <c r="CB113" t="s">
        <v>408</v>
      </c>
      <c r="CC113" t="s">
        <v>597</v>
      </c>
      <c r="CD113" t="s">
        <v>346</v>
      </c>
      <c r="CE113" t="s">
        <v>563</v>
      </c>
      <c r="CF113" t="s">
        <v>596</v>
      </c>
      <c r="CG113" s="32" t="s">
        <v>407</v>
      </c>
      <c r="CH113" t="s">
        <v>411</v>
      </c>
      <c r="CI113" t="s">
        <v>407</v>
      </c>
      <c r="CJ113" t="s">
        <v>408</v>
      </c>
      <c r="CK113" s="32" t="s">
        <v>407</v>
      </c>
      <c r="CL113" t="s">
        <v>29</v>
      </c>
      <c r="CM113" t="s">
        <v>407</v>
      </c>
      <c r="CN113" t="s">
        <v>408</v>
      </c>
      <c r="CO113" t="s">
        <v>597</v>
      </c>
      <c r="CP113" t="s">
        <v>346</v>
      </c>
      <c r="CQ113" t="s">
        <v>563</v>
      </c>
      <c r="CR113" t="s">
        <v>596</v>
      </c>
      <c r="CS113" s="32" t="s">
        <v>407</v>
      </c>
      <c r="CT113" t="s">
        <v>475</v>
      </c>
      <c r="CU113" t="s">
        <v>407</v>
      </c>
      <c r="CV113" t="s">
        <v>408</v>
      </c>
      <c r="CW113" s="32" t="s">
        <v>407</v>
      </c>
      <c r="CX113" t="s">
        <v>83</v>
      </c>
      <c r="CY113" t="s">
        <v>407</v>
      </c>
      <c r="CZ113" t="s">
        <v>408</v>
      </c>
      <c r="DA113" t="s">
        <v>407</v>
      </c>
      <c r="DB113" t="s">
        <v>598</v>
      </c>
      <c r="DC113" t="s">
        <v>407</v>
      </c>
      <c r="DD113" t="s">
        <v>599</v>
      </c>
      <c r="DE113" t="str">
        <f t="shared" si="3"/>
        <v>%IF(K46%"Poplar","PAINT",IF(K46%"Red Oak","SGO",IF(K46%"Maple","SM","SPPN")))</v>
      </c>
      <c r="DO113" t="s">
        <v>499</v>
      </c>
    </row>
    <row r="114" spans="6:119" x14ac:dyDescent="0.25">
      <c r="F114" t="s">
        <v>186</v>
      </c>
      <c r="H114" t="s">
        <v>246</v>
      </c>
      <c r="M114" t="s">
        <v>308</v>
      </c>
      <c r="O114" t="s">
        <v>341</v>
      </c>
      <c r="T114" t="s">
        <v>344</v>
      </c>
      <c r="U114" t="s">
        <v>345</v>
      </c>
      <c r="V114" t="s">
        <v>346</v>
      </c>
      <c r="W114" t="s">
        <v>374</v>
      </c>
      <c r="X114" t="s">
        <v>344</v>
      </c>
      <c r="Y114" t="s">
        <v>407</v>
      </c>
      <c r="Z114" t="s">
        <v>27</v>
      </c>
      <c r="AA114" t="s">
        <v>407</v>
      </c>
      <c r="AB114" t="s">
        <v>408</v>
      </c>
      <c r="AC114" t="s">
        <v>407</v>
      </c>
      <c r="AD114" t="s">
        <v>27</v>
      </c>
      <c r="AE114" t="s">
        <v>407</v>
      </c>
      <c r="AF114" t="s">
        <v>408</v>
      </c>
      <c r="AG114" t="s">
        <v>345</v>
      </c>
      <c r="AH114" t="s">
        <v>346</v>
      </c>
      <c r="AI114" t="s">
        <v>374</v>
      </c>
      <c r="AJ114" t="s">
        <v>344</v>
      </c>
      <c r="AK114" t="s">
        <v>407</v>
      </c>
      <c r="AL114" t="s">
        <v>279</v>
      </c>
      <c r="AM114" t="s">
        <v>407</v>
      </c>
      <c r="AN114" t="s">
        <v>408</v>
      </c>
      <c r="AO114" t="s">
        <v>407</v>
      </c>
      <c r="AP114" t="s">
        <v>53</v>
      </c>
      <c r="AQ114" t="s">
        <v>407</v>
      </c>
      <c r="AR114" t="s">
        <v>408</v>
      </c>
      <c r="AS114" t="s">
        <v>407</v>
      </c>
      <c r="AT114" t="s">
        <v>407</v>
      </c>
      <c r="AU114" t="s">
        <v>409</v>
      </c>
      <c r="AV114" t="s">
        <v>409</v>
      </c>
      <c r="AW114" t="str">
        <f t="shared" si="2"/>
        <v>#if(J46#"JE","JE",if(J46#"Drilled","JC",""))</v>
      </c>
      <c r="BC114" t="s">
        <v>440</v>
      </c>
      <c r="BJ114" t="s">
        <v>503</v>
      </c>
      <c r="BQ114" t="s">
        <v>600</v>
      </c>
      <c r="BR114" t="s">
        <v>346</v>
      </c>
      <c r="BS114" t="s">
        <v>563</v>
      </c>
      <c r="BT114" t="s">
        <v>596</v>
      </c>
      <c r="BU114" t="s">
        <v>407</v>
      </c>
      <c r="BV114" t="s">
        <v>157</v>
      </c>
      <c r="BW114" t="s">
        <v>407</v>
      </c>
      <c r="BX114" t="s">
        <v>408</v>
      </c>
      <c r="BY114" t="s">
        <v>407</v>
      </c>
      <c r="BZ114" t="s">
        <v>80</v>
      </c>
      <c r="CA114" t="s">
        <v>407</v>
      </c>
      <c r="CB114" t="s">
        <v>408</v>
      </c>
      <c r="CC114" t="s">
        <v>597</v>
      </c>
      <c r="CD114" t="s">
        <v>346</v>
      </c>
      <c r="CE114" t="s">
        <v>563</v>
      </c>
      <c r="CF114" t="s">
        <v>596</v>
      </c>
      <c r="CG114" s="32" t="s">
        <v>407</v>
      </c>
      <c r="CH114" t="s">
        <v>411</v>
      </c>
      <c r="CI114" t="s">
        <v>407</v>
      </c>
      <c r="CJ114" t="s">
        <v>408</v>
      </c>
      <c r="CK114" s="32" t="s">
        <v>407</v>
      </c>
      <c r="CL114" t="s">
        <v>29</v>
      </c>
      <c r="CM114" t="s">
        <v>407</v>
      </c>
      <c r="CN114" t="s">
        <v>408</v>
      </c>
      <c r="CO114" t="s">
        <v>597</v>
      </c>
      <c r="CP114" t="s">
        <v>346</v>
      </c>
      <c r="CQ114" t="s">
        <v>563</v>
      </c>
      <c r="CR114" t="s">
        <v>596</v>
      </c>
      <c r="CS114" s="32" t="s">
        <v>407</v>
      </c>
      <c r="CT114" t="s">
        <v>475</v>
      </c>
      <c r="CU114" t="s">
        <v>407</v>
      </c>
      <c r="CV114" t="s">
        <v>408</v>
      </c>
      <c r="CW114" s="32" t="s">
        <v>407</v>
      </c>
      <c r="CX114" t="s">
        <v>83</v>
      </c>
      <c r="CY114" t="s">
        <v>407</v>
      </c>
      <c r="CZ114" t="s">
        <v>408</v>
      </c>
      <c r="DA114" t="s">
        <v>407</v>
      </c>
      <c r="DB114" t="s">
        <v>598</v>
      </c>
      <c r="DC114" t="s">
        <v>407</v>
      </c>
      <c r="DD114" t="s">
        <v>599</v>
      </c>
      <c r="DE114" t="str">
        <f t="shared" si="3"/>
        <v>%IF(K46%"Poplar","PAINT",IF(K46%"Red Oak","SGO",IF(K46%"Maple","SM","SPPN")))</v>
      </c>
      <c r="DO114" t="s">
        <v>499</v>
      </c>
    </row>
    <row r="115" spans="6:119" x14ac:dyDescent="0.25">
      <c r="F115" t="s">
        <v>186</v>
      </c>
      <c r="H115" t="s">
        <v>246</v>
      </c>
      <c r="M115" t="s">
        <v>308</v>
      </c>
      <c r="O115" t="s">
        <v>341</v>
      </c>
      <c r="T115" t="s">
        <v>344</v>
      </c>
      <c r="U115" t="s">
        <v>345</v>
      </c>
      <c r="V115" t="s">
        <v>346</v>
      </c>
      <c r="W115" t="s">
        <v>374</v>
      </c>
      <c r="X115" t="s">
        <v>344</v>
      </c>
      <c r="Y115" t="s">
        <v>407</v>
      </c>
      <c r="Z115" t="s">
        <v>27</v>
      </c>
      <c r="AA115" t="s">
        <v>407</v>
      </c>
      <c r="AB115" t="s">
        <v>408</v>
      </c>
      <c r="AC115" t="s">
        <v>407</v>
      </c>
      <c r="AD115" t="s">
        <v>27</v>
      </c>
      <c r="AE115" t="s">
        <v>407</v>
      </c>
      <c r="AF115" t="s">
        <v>408</v>
      </c>
      <c r="AG115" t="s">
        <v>345</v>
      </c>
      <c r="AH115" t="s">
        <v>346</v>
      </c>
      <c r="AI115" t="s">
        <v>374</v>
      </c>
      <c r="AJ115" t="s">
        <v>344</v>
      </c>
      <c r="AK115" t="s">
        <v>407</v>
      </c>
      <c r="AL115" t="s">
        <v>279</v>
      </c>
      <c r="AM115" t="s">
        <v>407</v>
      </c>
      <c r="AN115" t="s">
        <v>408</v>
      </c>
      <c r="AO115" t="s">
        <v>407</v>
      </c>
      <c r="AP115" t="s">
        <v>53</v>
      </c>
      <c r="AQ115" t="s">
        <v>407</v>
      </c>
      <c r="AR115" t="s">
        <v>408</v>
      </c>
      <c r="AS115" t="s">
        <v>407</v>
      </c>
      <c r="AT115" t="s">
        <v>407</v>
      </c>
      <c r="AU115" t="s">
        <v>409</v>
      </c>
      <c r="AV115" t="s">
        <v>409</v>
      </c>
      <c r="AW115" t="str">
        <f t="shared" si="2"/>
        <v>#if(J46#"JE","JE",if(J46#"Drilled","JC",""))</v>
      </c>
      <c r="BC115" t="s">
        <v>440</v>
      </c>
      <c r="BJ115" t="s">
        <v>503</v>
      </c>
      <c r="BQ115" t="s">
        <v>600</v>
      </c>
      <c r="BR115" t="s">
        <v>346</v>
      </c>
      <c r="BS115" t="s">
        <v>563</v>
      </c>
      <c r="BT115" t="s">
        <v>596</v>
      </c>
      <c r="BU115" t="s">
        <v>407</v>
      </c>
      <c r="BV115" t="s">
        <v>157</v>
      </c>
      <c r="BW115" t="s">
        <v>407</v>
      </c>
      <c r="BX115" t="s">
        <v>408</v>
      </c>
      <c r="BY115" t="s">
        <v>407</v>
      </c>
      <c r="BZ115" t="s">
        <v>80</v>
      </c>
      <c r="CA115" t="s">
        <v>407</v>
      </c>
      <c r="CB115" t="s">
        <v>408</v>
      </c>
      <c r="CC115" t="s">
        <v>597</v>
      </c>
      <c r="CD115" t="s">
        <v>346</v>
      </c>
      <c r="CE115" t="s">
        <v>563</v>
      </c>
      <c r="CF115" t="s">
        <v>596</v>
      </c>
      <c r="CG115" s="32" t="s">
        <v>407</v>
      </c>
      <c r="CH115" t="s">
        <v>411</v>
      </c>
      <c r="CI115" t="s">
        <v>407</v>
      </c>
      <c r="CJ115" t="s">
        <v>408</v>
      </c>
      <c r="CK115" s="32" t="s">
        <v>407</v>
      </c>
      <c r="CL115" t="s">
        <v>29</v>
      </c>
      <c r="CM115" t="s">
        <v>407</v>
      </c>
      <c r="CN115" t="s">
        <v>408</v>
      </c>
      <c r="CO115" t="s">
        <v>597</v>
      </c>
      <c r="CP115" t="s">
        <v>346</v>
      </c>
      <c r="CQ115" t="s">
        <v>563</v>
      </c>
      <c r="CR115" t="s">
        <v>596</v>
      </c>
      <c r="CS115" s="32" t="s">
        <v>407</v>
      </c>
      <c r="CT115" t="s">
        <v>475</v>
      </c>
      <c r="CU115" t="s">
        <v>407</v>
      </c>
      <c r="CV115" t="s">
        <v>408</v>
      </c>
      <c r="CW115" s="32" t="s">
        <v>407</v>
      </c>
      <c r="CX115" t="s">
        <v>83</v>
      </c>
      <c r="CY115" t="s">
        <v>407</v>
      </c>
      <c r="CZ115" t="s">
        <v>408</v>
      </c>
      <c r="DA115" t="s">
        <v>407</v>
      </c>
      <c r="DB115" t="s">
        <v>598</v>
      </c>
      <c r="DC115" t="s">
        <v>407</v>
      </c>
      <c r="DD115" t="s">
        <v>599</v>
      </c>
      <c r="DE115" t="str">
        <f t="shared" si="3"/>
        <v>%IF(K46%"Poplar","PAINT",IF(K46%"Red Oak","SGO",IF(K46%"Maple","SM","SPPN")))</v>
      </c>
      <c r="DO115" t="s">
        <v>500</v>
      </c>
    </row>
    <row r="116" spans="6:119" x14ac:dyDescent="0.25">
      <c r="F116" t="s">
        <v>186</v>
      </c>
      <c r="H116" t="s">
        <v>246</v>
      </c>
      <c r="M116" t="s">
        <v>308</v>
      </c>
      <c r="O116" t="s">
        <v>341</v>
      </c>
      <c r="T116" t="s">
        <v>344</v>
      </c>
      <c r="U116" t="s">
        <v>345</v>
      </c>
      <c r="V116" t="s">
        <v>346</v>
      </c>
      <c r="W116" t="s">
        <v>374</v>
      </c>
      <c r="X116" t="s">
        <v>344</v>
      </c>
      <c r="Y116" t="s">
        <v>407</v>
      </c>
      <c r="Z116" t="s">
        <v>27</v>
      </c>
      <c r="AA116" t="s">
        <v>407</v>
      </c>
      <c r="AB116" t="s">
        <v>408</v>
      </c>
      <c r="AC116" t="s">
        <v>407</v>
      </c>
      <c r="AD116" t="s">
        <v>27</v>
      </c>
      <c r="AE116" t="s">
        <v>407</v>
      </c>
      <c r="AF116" t="s">
        <v>408</v>
      </c>
      <c r="AG116" t="s">
        <v>345</v>
      </c>
      <c r="AH116" t="s">
        <v>346</v>
      </c>
      <c r="AI116" t="s">
        <v>374</v>
      </c>
      <c r="AJ116" t="s">
        <v>344</v>
      </c>
      <c r="AK116" t="s">
        <v>407</v>
      </c>
      <c r="AL116" t="s">
        <v>279</v>
      </c>
      <c r="AM116" t="s">
        <v>407</v>
      </c>
      <c r="AN116" t="s">
        <v>408</v>
      </c>
      <c r="AO116" t="s">
        <v>407</v>
      </c>
      <c r="AP116" t="s">
        <v>53</v>
      </c>
      <c r="AQ116" t="s">
        <v>407</v>
      </c>
      <c r="AR116" t="s">
        <v>408</v>
      </c>
      <c r="AS116" t="s">
        <v>407</v>
      </c>
      <c r="AT116" t="s">
        <v>407</v>
      </c>
      <c r="AU116" t="s">
        <v>409</v>
      </c>
      <c r="AV116" t="s">
        <v>409</v>
      </c>
      <c r="AW116" t="str">
        <f t="shared" si="2"/>
        <v>#if(J46#"JE","JE",if(J46#"Drilled","JC",""))</v>
      </c>
      <c r="BC116" t="s">
        <v>440</v>
      </c>
      <c r="BJ116" t="s">
        <v>503</v>
      </c>
      <c r="BQ116" t="s">
        <v>600</v>
      </c>
      <c r="BR116" t="s">
        <v>346</v>
      </c>
      <c r="BS116" t="s">
        <v>563</v>
      </c>
      <c r="BT116" t="s">
        <v>596</v>
      </c>
      <c r="BU116" t="s">
        <v>407</v>
      </c>
      <c r="BV116" t="s">
        <v>157</v>
      </c>
      <c r="BW116" t="s">
        <v>407</v>
      </c>
      <c r="BX116" t="s">
        <v>408</v>
      </c>
      <c r="BY116" t="s">
        <v>407</v>
      </c>
      <c r="BZ116" t="s">
        <v>80</v>
      </c>
      <c r="CA116" t="s">
        <v>407</v>
      </c>
      <c r="CB116" t="s">
        <v>408</v>
      </c>
      <c r="CC116" t="s">
        <v>597</v>
      </c>
      <c r="CD116" t="s">
        <v>346</v>
      </c>
      <c r="CE116" t="s">
        <v>563</v>
      </c>
      <c r="CF116" t="s">
        <v>596</v>
      </c>
      <c r="CG116" s="32" t="s">
        <v>407</v>
      </c>
      <c r="CH116" t="s">
        <v>411</v>
      </c>
      <c r="CI116" t="s">
        <v>407</v>
      </c>
      <c r="CJ116" t="s">
        <v>408</v>
      </c>
      <c r="CK116" s="32" t="s">
        <v>407</v>
      </c>
      <c r="CL116" t="s">
        <v>29</v>
      </c>
      <c r="CM116" t="s">
        <v>407</v>
      </c>
      <c r="CN116" t="s">
        <v>408</v>
      </c>
      <c r="CO116" t="s">
        <v>597</v>
      </c>
      <c r="CP116" t="s">
        <v>346</v>
      </c>
      <c r="CQ116" t="s">
        <v>563</v>
      </c>
      <c r="CR116" t="s">
        <v>596</v>
      </c>
      <c r="CS116" s="32" t="s">
        <v>407</v>
      </c>
      <c r="CT116" t="s">
        <v>475</v>
      </c>
      <c r="CU116" t="s">
        <v>407</v>
      </c>
      <c r="CV116" t="s">
        <v>408</v>
      </c>
      <c r="CW116" s="32" t="s">
        <v>407</v>
      </c>
      <c r="CX116" t="s">
        <v>83</v>
      </c>
      <c r="CY116" t="s">
        <v>407</v>
      </c>
      <c r="CZ116" t="s">
        <v>408</v>
      </c>
      <c r="DA116" t="s">
        <v>407</v>
      </c>
      <c r="DB116" t="s">
        <v>598</v>
      </c>
      <c r="DC116" t="s">
        <v>407</v>
      </c>
      <c r="DD116" t="s">
        <v>599</v>
      </c>
      <c r="DE116" t="str">
        <f t="shared" si="3"/>
        <v>%IF(K46%"Poplar","PAINT",IF(K46%"Red Oak","SGO",IF(K46%"Maple","SM","SPPN")))</v>
      </c>
      <c r="DO116" t="s">
        <v>500</v>
      </c>
    </row>
    <row r="117" spans="6:119" x14ac:dyDescent="0.25">
      <c r="F117" t="s">
        <v>187</v>
      </c>
      <c r="H117" t="s">
        <v>247</v>
      </c>
      <c r="M117" t="s">
        <v>309</v>
      </c>
      <c r="O117" t="s">
        <v>341</v>
      </c>
      <c r="T117" t="s">
        <v>344</v>
      </c>
      <c r="U117" t="s">
        <v>345</v>
      </c>
      <c r="V117" t="s">
        <v>346</v>
      </c>
      <c r="W117" t="s">
        <v>375</v>
      </c>
      <c r="X117" t="s">
        <v>344</v>
      </c>
      <c r="Y117" t="s">
        <v>407</v>
      </c>
      <c r="Z117" t="s">
        <v>27</v>
      </c>
      <c r="AA117" t="s">
        <v>407</v>
      </c>
      <c r="AB117" t="s">
        <v>408</v>
      </c>
      <c r="AC117" t="s">
        <v>407</v>
      </c>
      <c r="AD117" t="s">
        <v>27</v>
      </c>
      <c r="AE117" t="s">
        <v>407</v>
      </c>
      <c r="AF117" t="s">
        <v>408</v>
      </c>
      <c r="AG117" t="s">
        <v>345</v>
      </c>
      <c r="AH117" t="s">
        <v>346</v>
      </c>
      <c r="AI117" t="s">
        <v>375</v>
      </c>
      <c r="AJ117" t="s">
        <v>344</v>
      </c>
      <c r="AK117" t="s">
        <v>407</v>
      </c>
      <c r="AL117" t="s">
        <v>279</v>
      </c>
      <c r="AM117" t="s">
        <v>407</v>
      </c>
      <c r="AN117" t="s">
        <v>408</v>
      </c>
      <c r="AO117" t="s">
        <v>407</v>
      </c>
      <c r="AP117" t="s">
        <v>53</v>
      </c>
      <c r="AQ117" t="s">
        <v>407</v>
      </c>
      <c r="AR117" t="s">
        <v>408</v>
      </c>
      <c r="AS117" t="s">
        <v>407</v>
      </c>
      <c r="AT117" t="s">
        <v>407</v>
      </c>
      <c r="AU117" t="s">
        <v>409</v>
      </c>
      <c r="AV117" t="s">
        <v>409</v>
      </c>
      <c r="AW117" t="str">
        <f t="shared" si="2"/>
        <v>#if(J47#"JE","JE",if(J47#"Drilled","JC",""))</v>
      </c>
      <c r="BC117" t="s">
        <v>441</v>
      </c>
      <c r="BJ117" t="s">
        <v>504</v>
      </c>
      <c r="BQ117" t="s">
        <v>600</v>
      </c>
      <c r="BR117" t="s">
        <v>346</v>
      </c>
      <c r="BS117" t="s">
        <v>564</v>
      </c>
      <c r="BT117" t="s">
        <v>596</v>
      </c>
      <c r="BU117" t="s">
        <v>407</v>
      </c>
      <c r="BV117" t="s">
        <v>157</v>
      </c>
      <c r="BW117" t="s">
        <v>407</v>
      </c>
      <c r="BX117" t="s">
        <v>408</v>
      </c>
      <c r="BY117" t="s">
        <v>407</v>
      </c>
      <c r="BZ117" t="s">
        <v>80</v>
      </c>
      <c r="CA117" t="s">
        <v>407</v>
      </c>
      <c r="CB117" t="s">
        <v>408</v>
      </c>
      <c r="CC117" t="s">
        <v>597</v>
      </c>
      <c r="CD117" t="s">
        <v>346</v>
      </c>
      <c r="CE117" t="s">
        <v>564</v>
      </c>
      <c r="CF117" t="s">
        <v>596</v>
      </c>
      <c r="CG117" s="32" t="s">
        <v>407</v>
      </c>
      <c r="CH117" t="s">
        <v>411</v>
      </c>
      <c r="CI117" t="s">
        <v>407</v>
      </c>
      <c r="CJ117" t="s">
        <v>408</v>
      </c>
      <c r="CK117" s="32" t="s">
        <v>407</v>
      </c>
      <c r="CL117" t="s">
        <v>29</v>
      </c>
      <c r="CM117" t="s">
        <v>407</v>
      </c>
      <c r="CN117" t="s">
        <v>408</v>
      </c>
      <c r="CO117" t="s">
        <v>597</v>
      </c>
      <c r="CP117" t="s">
        <v>346</v>
      </c>
      <c r="CQ117" t="s">
        <v>564</v>
      </c>
      <c r="CR117" t="s">
        <v>596</v>
      </c>
      <c r="CS117" s="32" t="s">
        <v>407</v>
      </c>
      <c r="CT117" t="s">
        <v>475</v>
      </c>
      <c r="CU117" t="s">
        <v>407</v>
      </c>
      <c r="CV117" t="s">
        <v>408</v>
      </c>
      <c r="CW117" s="32" t="s">
        <v>407</v>
      </c>
      <c r="CX117" t="s">
        <v>83</v>
      </c>
      <c r="CY117" t="s">
        <v>407</v>
      </c>
      <c r="CZ117" t="s">
        <v>408</v>
      </c>
      <c r="DA117" t="s">
        <v>407</v>
      </c>
      <c r="DB117" t="s">
        <v>598</v>
      </c>
      <c r="DC117" t="s">
        <v>407</v>
      </c>
      <c r="DD117" t="s">
        <v>599</v>
      </c>
      <c r="DE117" t="str">
        <f t="shared" si="3"/>
        <v>%IF(K47%"Poplar","PAINT",IF(K47%"Red Oak","SGO",IF(K47%"Maple","SM","SPPN")))</v>
      </c>
      <c r="DO117" t="s">
        <v>500</v>
      </c>
    </row>
    <row r="118" spans="6:119" x14ac:dyDescent="0.25">
      <c r="F118" t="s">
        <v>187</v>
      </c>
      <c r="H118" t="s">
        <v>247</v>
      </c>
      <c r="M118" t="s">
        <v>309</v>
      </c>
      <c r="O118" t="s">
        <v>341</v>
      </c>
      <c r="T118" t="s">
        <v>344</v>
      </c>
      <c r="U118" t="s">
        <v>345</v>
      </c>
      <c r="V118" t="s">
        <v>346</v>
      </c>
      <c r="W118" t="s">
        <v>375</v>
      </c>
      <c r="X118" t="s">
        <v>344</v>
      </c>
      <c r="Y118" t="s">
        <v>407</v>
      </c>
      <c r="Z118" t="s">
        <v>27</v>
      </c>
      <c r="AA118" t="s">
        <v>407</v>
      </c>
      <c r="AB118" t="s">
        <v>408</v>
      </c>
      <c r="AC118" t="s">
        <v>407</v>
      </c>
      <c r="AD118" t="s">
        <v>27</v>
      </c>
      <c r="AE118" t="s">
        <v>407</v>
      </c>
      <c r="AF118" t="s">
        <v>408</v>
      </c>
      <c r="AG118" t="s">
        <v>345</v>
      </c>
      <c r="AH118" t="s">
        <v>346</v>
      </c>
      <c r="AI118" t="s">
        <v>375</v>
      </c>
      <c r="AJ118" t="s">
        <v>344</v>
      </c>
      <c r="AK118" t="s">
        <v>407</v>
      </c>
      <c r="AL118" t="s">
        <v>279</v>
      </c>
      <c r="AM118" t="s">
        <v>407</v>
      </c>
      <c r="AN118" t="s">
        <v>408</v>
      </c>
      <c r="AO118" t="s">
        <v>407</v>
      </c>
      <c r="AP118" t="s">
        <v>53</v>
      </c>
      <c r="AQ118" t="s">
        <v>407</v>
      </c>
      <c r="AR118" t="s">
        <v>408</v>
      </c>
      <c r="AS118" t="s">
        <v>407</v>
      </c>
      <c r="AT118" t="s">
        <v>407</v>
      </c>
      <c r="AU118" t="s">
        <v>409</v>
      </c>
      <c r="AV118" t="s">
        <v>409</v>
      </c>
      <c r="AW118" t="str">
        <f t="shared" si="2"/>
        <v>#if(J47#"JE","JE",if(J47#"Drilled","JC",""))</v>
      </c>
      <c r="BC118" t="s">
        <v>441</v>
      </c>
      <c r="BJ118" t="s">
        <v>504</v>
      </c>
      <c r="BQ118" t="s">
        <v>600</v>
      </c>
      <c r="BR118" t="s">
        <v>346</v>
      </c>
      <c r="BS118" t="s">
        <v>564</v>
      </c>
      <c r="BT118" t="s">
        <v>596</v>
      </c>
      <c r="BU118" t="s">
        <v>407</v>
      </c>
      <c r="BV118" t="s">
        <v>157</v>
      </c>
      <c r="BW118" t="s">
        <v>407</v>
      </c>
      <c r="BX118" t="s">
        <v>408</v>
      </c>
      <c r="BY118" t="s">
        <v>407</v>
      </c>
      <c r="BZ118" t="s">
        <v>80</v>
      </c>
      <c r="CA118" t="s">
        <v>407</v>
      </c>
      <c r="CB118" t="s">
        <v>408</v>
      </c>
      <c r="CC118" t="s">
        <v>597</v>
      </c>
      <c r="CD118" t="s">
        <v>346</v>
      </c>
      <c r="CE118" t="s">
        <v>564</v>
      </c>
      <c r="CF118" t="s">
        <v>596</v>
      </c>
      <c r="CG118" s="32" t="s">
        <v>407</v>
      </c>
      <c r="CH118" t="s">
        <v>411</v>
      </c>
      <c r="CI118" t="s">
        <v>407</v>
      </c>
      <c r="CJ118" t="s">
        <v>408</v>
      </c>
      <c r="CK118" s="32" t="s">
        <v>407</v>
      </c>
      <c r="CL118" t="s">
        <v>29</v>
      </c>
      <c r="CM118" t="s">
        <v>407</v>
      </c>
      <c r="CN118" t="s">
        <v>408</v>
      </c>
      <c r="CO118" t="s">
        <v>597</v>
      </c>
      <c r="CP118" t="s">
        <v>346</v>
      </c>
      <c r="CQ118" t="s">
        <v>564</v>
      </c>
      <c r="CR118" t="s">
        <v>596</v>
      </c>
      <c r="CS118" s="32" t="s">
        <v>407</v>
      </c>
      <c r="CT118" t="s">
        <v>475</v>
      </c>
      <c r="CU118" t="s">
        <v>407</v>
      </c>
      <c r="CV118" t="s">
        <v>408</v>
      </c>
      <c r="CW118" s="32" t="s">
        <v>407</v>
      </c>
      <c r="CX118" t="s">
        <v>83</v>
      </c>
      <c r="CY118" t="s">
        <v>407</v>
      </c>
      <c r="CZ118" t="s">
        <v>408</v>
      </c>
      <c r="DA118" t="s">
        <v>407</v>
      </c>
      <c r="DB118" t="s">
        <v>598</v>
      </c>
      <c r="DC118" t="s">
        <v>407</v>
      </c>
      <c r="DD118" t="s">
        <v>599</v>
      </c>
      <c r="DE118" t="str">
        <f t="shared" si="3"/>
        <v>%IF(K47%"Poplar","PAINT",IF(K47%"Red Oak","SGO",IF(K47%"Maple","SM","SPPN")))</v>
      </c>
      <c r="DO118" t="s">
        <v>500</v>
      </c>
    </row>
    <row r="119" spans="6:119" x14ac:dyDescent="0.25">
      <c r="F119" t="s">
        <v>187</v>
      </c>
      <c r="H119" t="s">
        <v>247</v>
      </c>
      <c r="M119" t="s">
        <v>309</v>
      </c>
      <c r="O119" t="s">
        <v>341</v>
      </c>
      <c r="T119" t="s">
        <v>344</v>
      </c>
      <c r="U119" t="s">
        <v>345</v>
      </c>
      <c r="V119" t="s">
        <v>346</v>
      </c>
      <c r="W119" t="s">
        <v>375</v>
      </c>
      <c r="X119" t="s">
        <v>344</v>
      </c>
      <c r="Y119" t="s">
        <v>407</v>
      </c>
      <c r="Z119" t="s">
        <v>27</v>
      </c>
      <c r="AA119" t="s">
        <v>407</v>
      </c>
      <c r="AB119" t="s">
        <v>408</v>
      </c>
      <c r="AC119" t="s">
        <v>407</v>
      </c>
      <c r="AD119" t="s">
        <v>27</v>
      </c>
      <c r="AE119" t="s">
        <v>407</v>
      </c>
      <c r="AF119" t="s">
        <v>408</v>
      </c>
      <c r="AG119" t="s">
        <v>345</v>
      </c>
      <c r="AH119" t="s">
        <v>346</v>
      </c>
      <c r="AI119" t="s">
        <v>375</v>
      </c>
      <c r="AJ119" t="s">
        <v>344</v>
      </c>
      <c r="AK119" t="s">
        <v>407</v>
      </c>
      <c r="AL119" t="s">
        <v>279</v>
      </c>
      <c r="AM119" t="s">
        <v>407</v>
      </c>
      <c r="AN119" t="s">
        <v>408</v>
      </c>
      <c r="AO119" t="s">
        <v>407</v>
      </c>
      <c r="AP119" t="s">
        <v>53</v>
      </c>
      <c r="AQ119" t="s">
        <v>407</v>
      </c>
      <c r="AR119" t="s">
        <v>408</v>
      </c>
      <c r="AS119" t="s">
        <v>407</v>
      </c>
      <c r="AT119" t="s">
        <v>407</v>
      </c>
      <c r="AU119" t="s">
        <v>409</v>
      </c>
      <c r="AV119" t="s">
        <v>409</v>
      </c>
      <c r="AW119" t="str">
        <f t="shared" si="2"/>
        <v>#if(J47#"JE","JE",if(J47#"Drilled","JC",""))</v>
      </c>
      <c r="BC119" t="s">
        <v>441</v>
      </c>
      <c r="BJ119" t="s">
        <v>504</v>
      </c>
      <c r="BQ119" t="s">
        <v>600</v>
      </c>
      <c r="BR119" t="s">
        <v>346</v>
      </c>
      <c r="BS119" t="s">
        <v>564</v>
      </c>
      <c r="BT119" t="s">
        <v>596</v>
      </c>
      <c r="BU119" t="s">
        <v>407</v>
      </c>
      <c r="BV119" t="s">
        <v>157</v>
      </c>
      <c r="BW119" t="s">
        <v>407</v>
      </c>
      <c r="BX119" t="s">
        <v>408</v>
      </c>
      <c r="BY119" t="s">
        <v>407</v>
      </c>
      <c r="BZ119" t="s">
        <v>80</v>
      </c>
      <c r="CA119" t="s">
        <v>407</v>
      </c>
      <c r="CB119" t="s">
        <v>408</v>
      </c>
      <c r="CC119" t="s">
        <v>597</v>
      </c>
      <c r="CD119" t="s">
        <v>346</v>
      </c>
      <c r="CE119" t="s">
        <v>564</v>
      </c>
      <c r="CF119" t="s">
        <v>596</v>
      </c>
      <c r="CG119" s="32" t="s">
        <v>407</v>
      </c>
      <c r="CH119" t="s">
        <v>411</v>
      </c>
      <c r="CI119" t="s">
        <v>407</v>
      </c>
      <c r="CJ119" t="s">
        <v>408</v>
      </c>
      <c r="CK119" s="32" t="s">
        <v>407</v>
      </c>
      <c r="CL119" t="s">
        <v>29</v>
      </c>
      <c r="CM119" t="s">
        <v>407</v>
      </c>
      <c r="CN119" t="s">
        <v>408</v>
      </c>
      <c r="CO119" t="s">
        <v>597</v>
      </c>
      <c r="CP119" t="s">
        <v>346</v>
      </c>
      <c r="CQ119" t="s">
        <v>564</v>
      </c>
      <c r="CR119" t="s">
        <v>596</v>
      </c>
      <c r="CS119" s="32" t="s">
        <v>407</v>
      </c>
      <c r="CT119" t="s">
        <v>475</v>
      </c>
      <c r="CU119" t="s">
        <v>407</v>
      </c>
      <c r="CV119" t="s">
        <v>408</v>
      </c>
      <c r="CW119" s="32" t="s">
        <v>407</v>
      </c>
      <c r="CX119" t="s">
        <v>83</v>
      </c>
      <c r="CY119" t="s">
        <v>407</v>
      </c>
      <c r="CZ119" t="s">
        <v>408</v>
      </c>
      <c r="DA119" t="s">
        <v>407</v>
      </c>
      <c r="DB119" t="s">
        <v>598</v>
      </c>
      <c r="DC119" t="s">
        <v>407</v>
      </c>
      <c r="DD119" t="s">
        <v>599</v>
      </c>
      <c r="DE119" t="str">
        <f t="shared" si="3"/>
        <v>%IF(K47%"Poplar","PAINT",IF(K47%"Red Oak","SGO",IF(K47%"Maple","SM","SPPN")))</v>
      </c>
      <c r="DO119" t="s">
        <v>501</v>
      </c>
    </row>
    <row r="120" spans="6:119" x14ac:dyDescent="0.25">
      <c r="F120" t="s">
        <v>187</v>
      </c>
      <c r="H120" t="s">
        <v>247</v>
      </c>
      <c r="M120" t="s">
        <v>309</v>
      </c>
      <c r="O120" t="s">
        <v>341</v>
      </c>
      <c r="T120" t="s">
        <v>344</v>
      </c>
      <c r="U120" t="s">
        <v>345</v>
      </c>
      <c r="V120" t="s">
        <v>346</v>
      </c>
      <c r="W120" t="s">
        <v>375</v>
      </c>
      <c r="X120" t="s">
        <v>344</v>
      </c>
      <c r="Y120" t="s">
        <v>407</v>
      </c>
      <c r="Z120" t="s">
        <v>27</v>
      </c>
      <c r="AA120" t="s">
        <v>407</v>
      </c>
      <c r="AB120" t="s">
        <v>408</v>
      </c>
      <c r="AC120" t="s">
        <v>407</v>
      </c>
      <c r="AD120" t="s">
        <v>27</v>
      </c>
      <c r="AE120" t="s">
        <v>407</v>
      </c>
      <c r="AF120" t="s">
        <v>408</v>
      </c>
      <c r="AG120" t="s">
        <v>345</v>
      </c>
      <c r="AH120" t="s">
        <v>346</v>
      </c>
      <c r="AI120" t="s">
        <v>375</v>
      </c>
      <c r="AJ120" t="s">
        <v>344</v>
      </c>
      <c r="AK120" t="s">
        <v>407</v>
      </c>
      <c r="AL120" t="s">
        <v>279</v>
      </c>
      <c r="AM120" t="s">
        <v>407</v>
      </c>
      <c r="AN120" t="s">
        <v>408</v>
      </c>
      <c r="AO120" t="s">
        <v>407</v>
      </c>
      <c r="AP120" t="s">
        <v>53</v>
      </c>
      <c r="AQ120" t="s">
        <v>407</v>
      </c>
      <c r="AR120" t="s">
        <v>408</v>
      </c>
      <c r="AS120" t="s">
        <v>407</v>
      </c>
      <c r="AT120" t="s">
        <v>407</v>
      </c>
      <c r="AU120" t="s">
        <v>409</v>
      </c>
      <c r="AV120" t="s">
        <v>409</v>
      </c>
      <c r="AW120" t="str">
        <f t="shared" si="2"/>
        <v>#if(J47#"JE","JE",if(J47#"Drilled","JC",""))</v>
      </c>
      <c r="BC120" t="s">
        <v>441</v>
      </c>
      <c r="BJ120" t="s">
        <v>504</v>
      </c>
      <c r="BQ120" t="s">
        <v>600</v>
      </c>
      <c r="BR120" t="s">
        <v>346</v>
      </c>
      <c r="BS120" t="s">
        <v>564</v>
      </c>
      <c r="BT120" t="s">
        <v>596</v>
      </c>
      <c r="BU120" t="s">
        <v>407</v>
      </c>
      <c r="BV120" t="s">
        <v>157</v>
      </c>
      <c r="BW120" t="s">
        <v>407</v>
      </c>
      <c r="BX120" t="s">
        <v>408</v>
      </c>
      <c r="BY120" t="s">
        <v>407</v>
      </c>
      <c r="BZ120" t="s">
        <v>80</v>
      </c>
      <c r="CA120" t="s">
        <v>407</v>
      </c>
      <c r="CB120" t="s">
        <v>408</v>
      </c>
      <c r="CC120" t="s">
        <v>597</v>
      </c>
      <c r="CD120" t="s">
        <v>346</v>
      </c>
      <c r="CE120" t="s">
        <v>564</v>
      </c>
      <c r="CF120" t="s">
        <v>596</v>
      </c>
      <c r="CG120" s="32" t="s">
        <v>407</v>
      </c>
      <c r="CH120" t="s">
        <v>411</v>
      </c>
      <c r="CI120" t="s">
        <v>407</v>
      </c>
      <c r="CJ120" t="s">
        <v>408</v>
      </c>
      <c r="CK120" s="32" t="s">
        <v>407</v>
      </c>
      <c r="CL120" t="s">
        <v>29</v>
      </c>
      <c r="CM120" t="s">
        <v>407</v>
      </c>
      <c r="CN120" t="s">
        <v>408</v>
      </c>
      <c r="CO120" t="s">
        <v>597</v>
      </c>
      <c r="CP120" t="s">
        <v>346</v>
      </c>
      <c r="CQ120" t="s">
        <v>564</v>
      </c>
      <c r="CR120" t="s">
        <v>596</v>
      </c>
      <c r="CS120" s="32" t="s">
        <v>407</v>
      </c>
      <c r="CT120" t="s">
        <v>475</v>
      </c>
      <c r="CU120" t="s">
        <v>407</v>
      </c>
      <c r="CV120" t="s">
        <v>408</v>
      </c>
      <c r="CW120" s="32" t="s">
        <v>407</v>
      </c>
      <c r="CX120" t="s">
        <v>83</v>
      </c>
      <c r="CY120" t="s">
        <v>407</v>
      </c>
      <c r="CZ120" t="s">
        <v>408</v>
      </c>
      <c r="DA120" t="s">
        <v>407</v>
      </c>
      <c r="DB120" t="s">
        <v>598</v>
      </c>
      <c r="DC120" t="s">
        <v>407</v>
      </c>
      <c r="DD120" t="s">
        <v>599</v>
      </c>
      <c r="DE120" t="str">
        <f t="shared" si="3"/>
        <v>%IF(K47%"Poplar","PAINT",IF(K47%"Red Oak","SGO",IF(K47%"Maple","SM","SPPN")))</v>
      </c>
      <c r="DO120" t="s">
        <v>501</v>
      </c>
    </row>
    <row r="121" spans="6:119" x14ac:dyDescent="0.25">
      <c r="F121" t="s">
        <v>188</v>
      </c>
      <c r="H121" t="s">
        <v>248</v>
      </c>
      <c r="M121" t="s">
        <v>310</v>
      </c>
      <c r="O121" t="s">
        <v>341</v>
      </c>
      <c r="T121" t="s">
        <v>344</v>
      </c>
      <c r="U121" t="s">
        <v>345</v>
      </c>
      <c r="V121" t="s">
        <v>346</v>
      </c>
      <c r="W121" t="s">
        <v>376</v>
      </c>
      <c r="X121" t="s">
        <v>344</v>
      </c>
      <c r="Y121" t="s">
        <v>407</v>
      </c>
      <c r="Z121" t="s">
        <v>27</v>
      </c>
      <c r="AA121" t="s">
        <v>407</v>
      </c>
      <c r="AB121" t="s">
        <v>408</v>
      </c>
      <c r="AC121" t="s">
        <v>407</v>
      </c>
      <c r="AD121" t="s">
        <v>27</v>
      </c>
      <c r="AE121" t="s">
        <v>407</v>
      </c>
      <c r="AF121" t="s">
        <v>408</v>
      </c>
      <c r="AG121" t="s">
        <v>345</v>
      </c>
      <c r="AH121" t="s">
        <v>346</v>
      </c>
      <c r="AI121" t="s">
        <v>376</v>
      </c>
      <c r="AJ121" t="s">
        <v>344</v>
      </c>
      <c r="AK121" t="s">
        <v>407</v>
      </c>
      <c r="AL121" t="s">
        <v>279</v>
      </c>
      <c r="AM121" t="s">
        <v>407</v>
      </c>
      <c r="AN121" t="s">
        <v>408</v>
      </c>
      <c r="AO121" t="s">
        <v>407</v>
      </c>
      <c r="AP121" t="s">
        <v>53</v>
      </c>
      <c r="AQ121" t="s">
        <v>407</v>
      </c>
      <c r="AR121" t="s">
        <v>408</v>
      </c>
      <c r="AS121" t="s">
        <v>407</v>
      </c>
      <c r="AT121" t="s">
        <v>407</v>
      </c>
      <c r="AU121" t="s">
        <v>409</v>
      </c>
      <c r="AV121" t="s">
        <v>409</v>
      </c>
      <c r="AW121" t="str">
        <f t="shared" si="2"/>
        <v>#if(J48#"JE","JE",if(J48#"Drilled","JC",""))</v>
      </c>
      <c r="BC121" t="s">
        <v>442</v>
      </c>
      <c r="BJ121" t="s">
        <v>505</v>
      </c>
      <c r="BQ121" t="s">
        <v>600</v>
      </c>
      <c r="BR121" t="s">
        <v>346</v>
      </c>
      <c r="BS121" t="s">
        <v>565</v>
      </c>
      <c r="BT121" t="s">
        <v>596</v>
      </c>
      <c r="BU121" t="s">
        <v>407</v>
      </c>
      <c r="BV121" t="s">
        <v>157</v>
      </c>
      <c r="BW121" t="s">
        <v>407</v>
      </c>
      <c r="BX121" t="s">
        <v>408</v>
      </c>
      <c r="BY121" t="s">
        <v>407</v>
      </c>
      <c r="BZ121" t="s">
        <v>80</v>
      </c>
      <c r="CA121" t="s">
        <v>407</v>
      </c>
      <c r="CB121" t="s">
        <v>408</v>
      </c>
      <c r="CC121" t="s">
        <v>597</v>
      </c>
      <c r="CD121" t="s">
        <v>346</v>
      </c>
      <c r="CE121" t="s">
        <v>565</v>
      </c>
      <c r="CF121" t="s">
        <v>596</v>
      </c>
      <c r="CG121" s="32" t="s">
        <v>407</v>
      </c>
      <c r="CH121" t="s">
        <v>411</v>
      </c>
      <c r="CI121" t="s">
        <v>407</v>
      </c>
      <c r="CJ121" t="s">
        <v>408</v>
      </c>
      <c r="CK121" s="32" t="s">
        <v>407</v>
      </c>
      <c r="CL121" t="s">
        <v>29</v>
      </c>
      <c r="CM121" t="s">
        <v>407</v>
      </c>
      <c r="CN121" t="s">
        <v>408</v>
      </c>
      <c r="CO121" t="s">
        <v>597</v>
      </c>
      <c r="CP121" t="s">
        <v>346</v>
      </c>
      <c r="CQ121" t="s">
        <v>565</v>
      </c>
      <c r="CR121" t="s">
        <v>596</v>
      </c>
      <c r="CS121" s="32" t="s">
        <v>407</v>
      </c>
      <c r="CT121" t="s">
        <v>475</v>
      </c>
      <c r="CU121" t="s">
        <v>407</v>
      </c>
      <c r="CV121" t="s">
        <v>408</v>
      </c>
      <c r="CW121" s="32" t="s">
        <v>407</v>
      </c>
      <c r="CX121" t="s">
        <v>83</v>
      </c>
      <c r="CY121" t="s">
        <v>407</v>
      </c>
      <c r="CZ121" t="s">
        <v>408</v>
      </c>
      <c r="DA121" t="s">
        <v>407</v>
      </c>
      <c r="DB121" t="s">
        <v>598</v>
      </c>
      <c r="DC121" t="s">
        <v>407</v>
      </c>
      <c r="DD121" t="s">
        <v>599</v>
      </c>
      <c r="DE121" t="str">
        <f t="shared" si="3"/>
        <v>%IF(K48%"Poplar","PAINT",IF(K48%"Red Oak","SGO",IF(K48%"Maple","SM","SPPN")))</v>
      </c>
      <c r="DO121" t="s">
        <v>501</v>
      </c>
    </row>
    <row r="122" spans="6:119" x14ac:dyDescent="0.25">
      <c r="F122" t="s">
        <v>188</v>
      </c>
      <c r="H122" t="s">
        <v>248</v>
      </c>
      <c r="M122" t="s">
        <v>310</v>
      </c>
      <c r="O122" t="s">
        <v>341</v>
      </c>
      <c r="T122" t="s">
        <v>344</v>
      </c>
      <c r="U122" t="s">
        <v>345</v>
      </c>
      <c r="V122" t="s">
        <v>346</v>
      </c>
      <c r="W122" t="s">
        <v>376</v>
      </c>
      <c r="X122" t="s">
        <v>344</v>
      </c>
      <c r="Y122" t="s">
        <v>407</v>
      </c>
      <c r="Z122" t="s">
        <v>27</v>
      </c>
      <c r="AA122" t="s">
        <v>407</v>
      </c>
      <c r="AB122" t="s">
        <v>408</v>
      </c>
      <c r="AC122" t="s">
        <v>407</v>
      </c>
      <c r="AD122" t="s">
        <v>27</v>
      </c>
      <c r="AE122" t="s">
        <v>407</v>
      </c>
      <c r="AF122" t="s">
        <v>408</v>
      </c>
      <c r="AG122" t="s">
        <v>345</v>
      </c>
      <c r="AH122" t="s">
        <v>346</v>
      </c>
      <c r="AI122" t="s">
        <v>376</v>
      </c>
      <c r="AJ122" t="s">
        <v>344</v>
      </c>
      <c r="AK122" t="s">
        <v>407</v>
      </c>
      <c r="AL122" t="s">
        <v>279</v>
      </c>
      <c r="AM122" t="s">
        <v>407</v>
      </c>
      <c r="AN122" t="s">
        <v>408</v>
      </c>
      <c r="AO122" t="s">
        <v>407</v>
      </c>
      <c r="AP122" t="s">
        <v>53</v>
      </c>
      <c r="AQ122" t="s">
        <v>407</v>
      </c>
      <c r="AR122" t="s">
        <v>408</v>
      </c>
      <c r="AS122" t="s">
        <v>407</v>
      </c>
      <c r="AT122" t="s">
        <v>407</v>
      </c>
      <c r="AU122" t="s">
        <v>409</v>
      </c>
      <c r="AV122" t="s">
        <v>409</v>
      </c>
      <c r="AW122" t="str">
        <f t="shared" si="2"/>
        <v>#if(J48#"JE","JE",if(J48#"Drilled","JC",""))</v>
      </c>
      <c r="BC122" t="s">
        <v>442</v>
      </c>
      <c r="BJ122" t="s">
        <v>505</v>
      </c>
      <c r="BQ122" t="s">
        <v>600</v>
      </c>
      <c r="BR122" t="s">
        <v>346</v>
      </c>
      <c r="BS122" t="s">
        <v>565</v>
      </c>
      <c r="BT122" t="s">
        <v>596</v>
      </c>
      <c r="BU122" t="s">
        <v>407</v>
      </c>
      <c r="BV122" t="s">
        <v>157</v>
      </c>
      <c r="BW122" t="s">
        <v>407</v>
      </c>
      <c r="BX122" t="s">
        <v>408</v>
      </c>
      <c r="BY122" t="s">
        <v>407</v>
      </c>
      <c r="BZ122" t="s">
        <v>80</v>
      </c>
      <c r="CA122" t="s">
        <v>407</v>
      </c>
      <c r="CB122" t="s">
        <v>408</v>
      </c>
      <c r="CC122" t="s">
        <v>597</v>
      </c>
      <c r="CD122" t="s">
        <v>346</v>
      </c>
      <c r="CE122" t="s">
        <v>565</v>
      </c>
      <c r="CF122" t="s">
        <v>596</v>
      </c>
      <c r="CG122" s="32" t="s">
        <v>407</v>
      </c>
      <c r="CH122" t="s">
        <v>411</v>
      </c>
      <c r="CI122" t="s">
        <v>407</v>
      </c>
      <c r="CJ122" t="s">
        <v>408</v>
      </c>
      <c r="CK122" s="32" t="s">
        <v>407</v>
      </c>
      <c r="CL122" t="s">
        <v>29</v>
      </c>
      <c r="CM122" t="s">
        <v>407</v>
      </c>
      <c r="CN122" t="s">
        <v>408</v>
      </c>
      <c r="CO122" t="s">
        <v>597</v>
      </c>
      <c r="CP122" t="s">
        <v>346</v>
      </c>
      <c r="CQ122" t="s">
        <v>565</v>
      </c>
      <c r="CR122" t="s">
        <v>596</v>
      </c>
      <c r="CS122" s="32" t="s">
        <v>407</v>
      </c>
      <c r="CT122" t="s">
        <v>475</v>
      </c>
      <c r="CU122" t="s">
        <v>407</v>
      </c>
      <c r="CV122" t="s">
        <v>408</v>
      </c>
      <c r="CW122" s="32" t="s">
        <v>407</v>
      </c>
      <c r="CX122" t="s">
        <v>83</v>
      </c>
      <c r="CY122" t="s">
        <v>407</v>
      </c>
      <c r="CZ122" t="s">
        <v>408</v>
      </c>
      <c r="DA122" t="s">
        <v>407</v>
      </c>
      <c r="DB122" t="s">
        <v>598</v>
      </c>
      <c r="DC122" t="s">
        <v>407</v>
      </c>
      <c r="DD122" t="s">
        <v>599</v>
      </c>
      <c r="DE122" t="str">
        <f t="shared" si="3"/>
        <v>%IF(K48%"Poplar","PAINT",IF(K48%"Red Oak","SGO",IF(K48%"Maple","SM","SPPN")))</v>
      </c>
      <c r="DO122" t="s">
        <v>501</v>
      </c>
    </row>
    <row r="123" spans="6:119" x14ac:dyDescent="0.25">
      <c r="F123" t="s">
        <v>188</v>
      </c>
      <c r="H123" t="s">
        <v>248</v>
      </c>
      <c r="M123" t="s">
        <v>310</v>
      </c>
      <c r="O123" t="s">
        <v>341</v>
      </c>
      <c r="T123" t="s">
        <v>344</v>
      </c>
      <c r="U123" t="s">
        <v>345</v>
      </c>
      <c r="V123" t="s">
        <v>346</v>
      </c>
      <c r="W123" t="s">
        <v>376</v>
      </c>
      <c r="X123" t="s">
        <v>344</v>
      </c>
      <c r="Y123" t="s">
        <v>407</v>
      </c>
      <c r="Z123" t="s">
        <v>27</v>
      </c>
      <c r="AA123" t="s">
        <v>407</v>
      </c>
      <c r="AB123" t="s">
        <v>408</v>
      </c>
      <c r="AC123" t="s">
        <v>407</v>
      </c>
      <c r="AD123" t="s">
        <v>27</v>
      </c>
      <c r="AE123" t="s">
        <v>407</v>
      </c>
      <c r="AF123" t="s">
        <v>408</v>
      </c>
      <c r="AG123" t="s">
        <v>345</v>
      </c>
      <c r="AH123" t="s">
        <v>346</v>
      </c>
      <c r="AI123" t="s">
        <v>376</v>
      </c>
      <c r="AJ123" t="s">
        <v>344</v>
      </c>
      <c r="AK123" t="s">
        <v>407</v>
      </c>
      <c r="AL123" t="s">
        <v>279</v>
      </c>
      <c r="AM123" t="s">
        <v>407</v>
      </c>
      <c r="AN123" t="s">
        <v>408</v>
      </c>
      <c r="AO123" t="s">
        <v>407</v>
      </c>
      <c r="AP123" t="s">
        <v>53</v>
      </c>
      <c r="AQ123" t="s">
        <v>407</v>
      </c>
      <c r="AR123" t="s">
        <v>408</v>
      </c>
      <c r="AS123" t="s">
        <v>407</v>
      </c>
      <c r="AT123" t="s">
        <v>407</v>
      </c>
      <c r="AU123" t="s">
        <v>409</v>
      </c>
      <c r="AV123" t="s">
        <v>409</v>
      </c>
      <c r="AW123" t="str">
        <f t="shared" si="2"/>
        <v>#if(J48#"JE","JE",if(J48#"Drilled","JC",""))</v>
      </c>
      <c r="BC123" t="s">
        <v>442</v>
      </c>
      <c r="BJ123" t="s">
        <v>505</v>
      </c>
      <c r="BQ123" t="s">
        <v>600</v>
      </c>
      <c r="BR123" t="s">
        <v>346</v>
      </c>
      <c r="BS123" t="s">
        <v>565</v>
      </c>
      <c r="BT123" t="s">
        <v>596</v>
      </c>
      <c r="BU123" t="s">
        <v>407</v>
      </c>
      <c r="BV123" t="s">
        <v>157</v>
      </c>
      <c r="BW123" t="s">
        <v>407</v>
      </c>
      <c r="BX123" t="s">
        <v>408</v>
      </c>
      <c r="BY123" t="s">
        <v>407</v>
      </c>
      <c r="BZ123" t="s">
        <v>80</v>
      </c>
      <c r="CA123" t="s">
        <v>407</v>
      </c>
      <c r="CB123" t="s">
        <v>408</v>
      </c>
      <c r="CC123" t="s">
        <v>597</v>
      </c>
      <c r="CD123" t="s">
        <v>346</v>
      </c>
      <c r="CE123" t="s">
        <v>565</v>
      </c>
      <c r="CF123" t="s">
        <v>596</v>
      </c>
      <c r="CG123" s="32" t="s">
        <v>407</v>
      </c>
      <c r="CH123" t="s">
        <v>411</v>
      </c>
      <c r="CI123" t="s">
        <v>407</v>
      </c>
      <c r="CJ123" t="s">
        <v>408</v>
      </c>
      <c r="CK123" s="32" t="s">
        <v>407</v>
      </c>
      <c r="CL123" t="s">
        <v>29</v>
      </c>
      <c r="CM123" t="s">
        <v>407</v>
      </c>
      <c r="CN123" t="s">
        <v>408</v>
      </c>
      <c r="CO123" t="s">
        <v>597</v>
      </c>
      <c r="CP123" t="s">
        <v>346</v>
      </c>
      <c r="CQ123" t="s">
        <v>565</v>
      </c>
      <c r="CR123" t="s">
        <v>596</v>
      </c>
      <c r="CS123" s="32" t="s">
        <v>407</v>
      </c>
      <c r="CT123" t="s">
        <v>475</v>
      </c>
      <c r="CU123" t="s">
        <v>407</v>
      </c>
      <c r="CV123" t="s">
        <v>408</v>
      </c>
      <c r="CW123" s="32" t="s">
        <v>407</v>
      </c>
      <c r="CX123" t="s">
        <v>83</v>
      </c>
      <c r="CY123" t="s">
        <v>407</v>
      </c>
      <c r="CZ123" t="s">
        <v>408</v>
      </c>
      <c r="DA123" t="s">
        <v>407</v>
      </c>
      <c r="DB123" t="s">
        <v>598</v>
      </c>
      <c r="DC123" t="s">
        <v>407</v>
      </c>
      <c r="DD123" t="s">
        <v>599</v>
      </c>
      <c r="DE123" t="str">
        <f t="shared" si="3"/>
        <v>%IF(K48%"Poplar","PAINT",IF(K48%"Red Oak","SGO",IF(K48%"Maple","SM","SPPN")))</v>
      </c>
      <c r="DO123" t="s">
        <v>502</v>
      </c>
    </row>
    <row r="124" spans="6:119" x14ac:dyDescent="0.25">
      <c r="F124" t="s">
        <v>188</v>
      </c>
      <c r="H124" t="s">
        <v>248</v>
      </c>
      <c r="M124" t="s">
        <v>310</v>
      </c>
      <c r="O124" t="s">
        <v>341</v>
      </c>
      <c r="T124" t="s">
        <v>344</v>
      </c>
      <c r="U124" t="s">
        <v>345</v>
      </c>
      <c r="V124" t="s">
        <v>346</v>
      </c>
      <c r="W124" t="s">
        <v>376</v>
      </c>
      <c r="X124" t="s">
        <v>344</v>
      </c>
      <c r="Y124" t="s">
        <v>407</v>
      </c>
      <c r="Z124" t="s">
        <v>27</v>
      </c>
      <c r="AA124" t="s">
        <v>407</v>
      </c>
      <c r="AB124" t="s">
        <v>408</v>
      </c>
      <c r="AC124" t="s">
        <v>407</v>
      </c>
      <c r="AD124" t="s">
        <v>27</v>
      </c>
      <c r="AE124" t="s">
        <v>407</v>
      </c>
      <c r="AF124" t="s">
        <v>408</v>
      </c>
      <c r="AG124" t="s">
        <v>345</v>
      </c>
      <c r="AH124" t="s">
        <v>346</v>
      </c>
      <c r="AI124" t="s">
        <v>376</v>
      </c>
      <c r="AJ124" t="s">
        <v>344</v>
      </c>
      <c r="AK124" t="s">
        <v>407</v>
      </c>
      <c r="AL124" t="s">
        <v>279</v>
      </c>
      <c r="AM124" t="s">
        <v>407</v>
      </c>
      <c r="AN124" t="s">
        <v>408</v>
      </c>
      <c r="AO124" t="s">
        <v>407</v>
      </c>
      <c r="AP124" t="s">
        <v>53</v>
      </c>
      <c r="AQ124" t="s">
        <v>407</v>
      </c>
      <c r="AR124" t="s">
        <v>408</v>
      </c>
      <c r="AS124" t="s">
        <v>407</v>
      </c>
      <c r="AT124" t="s">
        <v>407</v>
      </c>
      <c r="AU124" t="s">
        <v>409</v>
      </c>
      <c r="AV124" t="s">
        <v>409</v>
      </c>
      <c r="AW124" t="str">
        <f t="shared" si="2"/>
        <v>#if(J48#"JE","JE",if(J48#"Drilled","JC",""))</v>
      </c>
      <c r="BC124" t="s">
        <v>442</v>
      </c>
      <c r="BJ124" t="s">
        <v>505</v>
      </c>
      <c r="BQ124" t="s">
        <v>600</v>
      </c>
      <c r="BR124" t="s">
        <v>346</v>
      </c>
      <c r="BS124" t="s">
        <v>565</v>
      </c>
      <c r="BT124" t="s">
        <v>596</v>
      </c>
      <c r="BU124" t="s">
        <v>407</v>
      </c>
      <c r="BV124" t="s">
        <v>157</v>
      </c>
      <c r="BW124" t="s">
        <v>407</v>
      </c>
      <c r="BX124" t="s">
        <v>408</v>
      </c>
      <c r="BY124" t="s">
        <v>407</v>
      </c>
      <c r="BZ124" t="s">
        <v>80</v>
      </c>
      <c r="CA124" t="s">
        <v>407</v>
      </c>
      <c r="CB124" t="s">
        <v>408</v>
      </c>
      <c r="CC124" t="s">
        <v>597</v>
      </c>
      <c r="CD124" t="s">
        <v>346</v>
      </c>
      <c r="CE124" t="s">
        <v>565</v>
      </c>
      <c r="CF124" t="s">
        <v>596</v>
      </c>
      <c r="CG124" s="32" t="s">
        <v>407</v>
      </c>
      <c r="CH124" t="s">
        <v>411</v>
      </c>
      <c r="CI124" t="s">
        <v>407</v>
      </c>
      <c r="CJ124" t="s">
        <v>408</v>
      </c>
      <c r="CK124" s="32" t="s">
        <v>407</v>
      </c>
      <c r="CL124" t="s">
        <v>29</v>
      </c>
      <c r="CM124" t="s">
        <v>407</v>
      </c>
      <c r="CN124" t="s">
        <v>408</v>
      </c>
      <c r="CO124" t="s">
        <v>597</v>
      </c>
      <c r="CP124" t="s">
        <v>346</v>
      </c>
      <c r="CQ124" t="s">
        <v>565</v>
      </c>
      <c r="CR124" t="s">
        <v>596</v>
      </c>
      <c r="CS124" s="32" t="s">
        <v>407</v>
      </c>
      <c r="CT124" t="s">
        <v>475</v>
      </c>
      <c r="CU124" t="s">
        <v>407</v>
      </c>
      <c r="CV124" t="s">
        <v>408</v>
      </c>
      <c r="CW124" s="32" t="s">
        <v>407</v>
      </c>
      <c r="CX124" t="s">
        <v>83</v>
      </c>
      <c r="CY124" t="s">
        <v>407</v>
      </c>
      <c r="CZ124" t="s">
        <v>408</v>
      </c>
      <c r="DA124" t="s">
        <v>407</v>
      </c>
      <c r="DB124" t="s">
        <v>598</v>
      </c>
      <c r="DC124" t="s">
        <v>407</v>
      </c>
      <c r="DD124" t="s">
        <v>599</v>
      </c>
      <c r="DE124" t="str">
        <f t="shared" si="3"/>
        <v>%IF(K48%"Poplar","PAINT",IF(K48%"Red Oak","SGO",IF(K48%"Maple","SM","SPPN")))</v>
      </c>
      <c r="DO124" t="s">
        <v>502</v>
      </c>
    </row>
    <row r="125" spans="6:119" x14ac:dyDescent="0.25">
      <c r="F125" t="s">
        <v>189</v>
      </c>
      <c r="H125" t="s">
        <v>249</v>
      </c>
      <c r="M125" t="s">
        <v>311</v>
      </c>
      <c r="O125" t="s">
        <v>341</v>
      </c>
      <c r="T125" t="s">
        <v>344</v>
      </c>
      <c r="U125" t="s">
        <v>345</v>
      </c>
      <c r="V125" t="s">
        <v>346</v>
      </c>
      <c r="W125" t="s">
        <v>377</v>
      </c>
      <c r="X125" t="s">
        <v>344</v>
      </c>
      <c r="Y125" t="s">
        <v>407</v>
      </c>
      <c r="Z125" t="s">
        <v>27</v>
      </c>
      <c r="AA125" t="s">
        <v>407</v>
      </c>
      <c r="AB125" t="s">
        <v>408</v>
      </c>
      <c r="AC125" t="s">
        <v>407</v>
      </c>
      <c r="AD125" t="s">
        <v>27</v>
      </c>
      <c r="AE125" t="s">
        <v>407</v>
      </c>
      <c r="AF125" t="s">
        <v>408</v>
      </c>
      <c r="AG125" t="s">
        <v>345</v>
      </c>
      <c r="AH125" t="s">
        <v>346</v>
      </c>
      <c r="AI125" t="s">
        <v>377</v>
      </c>
      <c r="AJ125" t="s">
        <v>344</v>
      </c>
      <c r="AK125" t="s">
        <v>407</v>
      </c>
      <c r="AL125" t="s">
        <v>279</v>
      </c>
      <c r="AM125" t="s">
        <v>407</v>
      </c>
      <c r="AN125" t="s">
        <v>408</v>
      </c>
      <c r="AO125" t="s">
        <v>407</v>
      </c>
      <c r="AP125" t="s">
        <v>53</v>
      </c>
      <c r="AQ125" t="s">
        <v>407</v>
      </c>
      <c r="AR125" t="s">
        <v>408</v>
      </c>
      <c r="AS125" t="s">
        <v>407</v>
      </c>
      <c r="AT125" t="s">
        <v>407</v>
      </c>
      <c r="AU125" t="s">
        <v>409</v>
      </c>
      <c r="AV125" t="s">
        <v>409</v>
      </c>
      <c r="AW125" t="str">
        <f t="shared" si="2"/>
        <v>#if(J49#"JE","JE",if(J49#"Drilled","JC",""))</v>
      </c>
      <c r="BC125" t="s">
        <v>443</v>
      </c>
      <c r="BJ125" t="s">
        <v>506</v>
      </c>
      <c r="BQ125" t="s">
        <v>600</v>
      </c>
      <c r="BR125" t="s">
        <v>346</v>
      </c>
      <c r="BS125" t="s">
        <v>566</v>
      </c>
      <c r="BT125" t="s">
        <v>596</v>
      </c>
      <c r="BU125" t="s">
        <v>407</v>
      </c>
      <c r="BV125" t="s">
        <v>157</v>
      </c>
      <c r="BW125" t="s">
        <v>407</v>
      </c>
      <c r="BX125" t="s">
        <v>408</v>
      </c>
      <c r="BY125" t="s">
        <v>407</v>
      </c>
      <c r="BZ125" t="s">
        <v>80</v>
      </c>
      <c r="CA125" t="s">
        <v>407</v>
      </c>
      <c r="CB125" t="s">
        <v>408</v>
      </c>
      <c r="CC125" t="s">
        <v>597</v>
      </c>
      <c r="CD125" t="s">
        <v>346</v>
      </c>
      <c r="CE125" t="s">
        <v>566</v>
      </c>
      <c r="CF125" t="s">
        <v>596</v>
      </c>
      <c r="CG125" s="32" t="s">
        <v>407</v>
      </c>
      <c r="CH125" t="s">
        <v>411</v>
      </c>
      <c r="CI125" t="s">
        <v>407</v>
      </c>
      <c r="CJ125" t="s">
        <v>408</v>
      </c>
      <c r="CK125" s="32" t="s">
        <v>407</v>
      </c>
      <c r="CL125" t="s">
        <v>29</v>
      </c>
      <c r="CM125" t="s">
        <v>407</v>
      </c>
      <c r="CN125" t="s">
        <v>408</v>
      </c>
      <c r="CO125" t="s">
        <v>597</v>
      </c>
      <c r="CP125" t="s">
        <v>346</v>
      </c>
      <c r="CQ125" t="s">
        <v>566</v>
      </c>
      <c r="CR125" t="s">
        <v>596</v>
      </c>
      <c r="CS125" s="32" t="s">
        <v>407</v>
      </c>
      <c r="CT125" t="s">
        <v>475</v>
      </c>
      <c r="CU125" t="s">
        <v>407</v>
      </c>
      <c r="CV125" t="s">
        <v>408</v>
      </c>
      <c r="CW125" s="32" t="s">
        <v>407</v>
      </c>
      <c r="CX125" t="s">
        <v>83</v>
      </c>
      <c r="CY125" t="s">
        <v>407</v>
      </c>
      <c r="CZ125" t="s">
        <v>408</v>
      </c>
      <c r="DA125" t="s">
        <v>407</v>
      </c>
      <c r="DB125" t="s">
        <v>598</v>
      </c>
      <c r="DC125" t="s">
        <v>407</v>
      </c>
      <c r="DD125" t="s">
        <v>599</v>
      </c>
      <c r="DE125" t="str">
        <f t="shared" si="3"/>
        <v>%IF(K49%"Poplar","PAINT",IF(K49%"Red Oak","SGO",IF(K49%"Maple","SM","SPPN")))</v>
      </c>
      <c r="DO125" t="s">
        <v>502</v>
      </c>
    </row>
    <row r="126" spans="6:119" x14ac:dyDescent="0.25">
      <c r="F126" t="s">
        <v>189</v>
      </c>
      <c r="H126" t="s">
        <v>249</v>
      </c>
      <c r="M126" t="s">
        <v>311</v>
      </c>
      <c r="O126" t="s">
        <v>341</v>
      </c>
      <c r="T126" t="s">
        <v>344</v>
      </c>
      <c r="U126" t="s">
        <v>345</v>
      </c>
      <c r="V126" t="s">
        <v>346</v>
      </c>
      <c r="W126" t="s">
        <v>377</v>
      </c>
      <c r="X126" t="s">
        <v>344</v>
      </c>
      <c r="Y126" t="s">
        <v>407</v>
      </c>
      <c r="Z126" t="s">
        <v>27</v>
      </c>
      <c r="AA126" t="s">
        <v>407</v>
      </c>
      <c r="AB126" t="s">
        <v>408</v>
      </c>
      <c r="AC126" t="s">
        <v>407</v>
      </c>
      <c r="AD126" t="s">
        <v>27</v>
      </c>
      <c r="AE126" t="s">
        <v>407</v>
      </c>
      <c r="AF126" t="s">
        <v>408</v>
      </c>
      <c r="AG126" t="s">
        <v>345</v>
      </c>
      <c r="AH126" t="s">
        <v>346</v>
      </c>
      <c r="AI126" t="s">
        <v>377</v>
      </c>
      <c r="AJ126" t="s">
        <v>344</v>
      </c>
      <c r="AK126" t="s">
        <v>407</v>
      </c>
      <c r="AL126" t="s">
        <v>279</v>
      </c>
      <c r="AM126" t="s">
        <v>407</v>
      </c>
      <c r="AN126" t="s">
        <v>408</v>
      </c>
      <c r="AO126" t="s">
        <v>407</v>
      </c>
      <c r="AP126" t="s">
        <v>53</v>
      </c>
      <c r="AQ126" t="s">
        <v>407</v>
      </c>
      <c r="AR126" t="s">
        <v>408</v>
      </c>
      <c r="AS126" t="s">
        <v>407</v>
      </c>
      <c r="AT126" t="s">
        <v>407</v>
      </c>
      <c r="AU126" t="s">
        <v>409</v>
      </c>
      <c r="AV126" t="s">
        <v>409</v>
      </c>
      <c r="AW126" t="str">
        <f t="shared" si="2"/>
        <v>#if(J49#"JE","JE",if(J49#"Drilled","JC",""))</v>
      </c>
      <c r="BC126" t="s">
        <v>443</v>
      </c>
      <c r="BJ126" t="s">
        <v>506</v>
      </c>
      <c r="BQ126" t="s">
        <v>600</v>
      </c>
      <c r="BR126" t="s">
        <v>346</v>
      </c>
      <c r="BS126" t="s">
        <v>566</v>
      </c>
      <c r="BT126" t="s">
        <v>596</v>
      </c>
      <c r="BU126" t="s">
        <v>407</v>
      </c>
      <c r="BV126" t="s">
        <v>157</v>
      </c>
      <c r="BW126" t="s">
        <v>407</v>
      </c>
      <c r="BX126" t="s">
        <v>408</v>
      </c>
      <c r="BY126" t="s">
        <v>407</v>
      </c>
      <c r="BZ126" t="s">
        <v>80</v>
      </c>
      <c r="CA126" t="s">
        <v>407</v>
      </c>
      <c r="CB126" t="s">
        <v>408</v>
      </c>
      <c r="CC126" t="s">
        <v>597</v>
      </c>
      <c r="CD126" t="s">
        <v>346</v>
      </c>
      <c r="CE126" t="s">
        <v>566</v>
      </c>
      <c r="CF126" t="s">
        <v>596</v>
      </c>
      <c r="CG126" s="32" t="s">
        <v>407</v>
      </c>
      <c r="CH126" t="s">
        <v>411</v>
      </c>
      <c r="CI126" t="s">
        <v>407</v>
      </c>
      <c r="CJ126" t="s">
        <v>408</v>
      </c>
      <c r="CK126" s="32" t="s">
        <v>407</v>
      </c>
      <c r="CL126" t="s">
        <v>29</v>
      </c>
      <c r="CM126" t="s">
        <v>407</v>
      </c>
      <c r="CN126" t="s">
        <v>408</v>
      </c>
      <c r="CO126" t="s">
        <v>597</v>
      </c>
      <c r="CP126" t="s">
        <v>346</v>
      </c>
      <c r="CQ126" t="s">
        <v>566</v>
      </c>
      <c r="CR126" t="s">
        <v>596</v>
      </c>
      <c r="CS126" s="32" t="s">
        <v>407</v>
      </c>
      <c r="CT126" t="s">
        <v>475</v>
      </c>
      <c r="CU126" t="s">
        <v>407</v>
      </c>
      <c r="CV126" t="s">
        <v>408</v>
      </c>
      <c r="CW126" s="32" t="s">
        <v>407</v>
      </c>
      <c r="CX126" t="s">
        <v>83</v>
      </c>
      <c r="CY126" t="s">
        <v>407</v>
      </c>
      <c r="CZ126" t="s">
        <v>408</v>
      </c>
      <c r="DA126" t="s">
        <v>407</v>
      </c>
      <c r="DB126" t="s">
        <v>598</v>
      </c>
      <c r="DC126" t="s">
        <v>407</v>
      </c>
      <c r="DD126" t="s">
        <v>599</v>
      </c>
      <c r="DE126" t="str">
        <f t="shared" si="3"/>
        <v>%IF(K49%"Poplar","PAINT",IF(K49%"Red Oak","SGO",IF(K49%"Maple","SM","SPPN")))</v>
      </c>
      <c r="DO126" t="s">
        <v>502</v>
      </c>
    </row>
    <row r="127" spans="6:119" x14ac:dyDescent="0.25">
      <c r="F127" t="s">
        <v>189</v>
      </c>
      <c r="H127" t="s">
        <v>249</v>
      </c>
      <c r="M127" t="s">
        <v>311</v>
      </c>
      <c r="O127" t="s">
        <v>341</v>
      </c>
      <c r="T127" t="s">
        <v>344</v>
      </c>
      <c r="U127" t="s">
        <v>345</v>
      </c>
      <c r="V127" t="s">
        <v>346</v>
      </c>
      <c r="W127" t="s">
        <v>377</v>
      </c>
      <c r="X127" t="s">
        <v>344</v>
      </c>
      <c r="Y127" t="s">
        <v>407</v>
      </c>
      <c r="Z127" t="s">
        <v>27</v>
      </c>
      <c r="AA127" t="s">
        <v>407</v>
      </c>
      <c r="AB127" t="s">
        <v>408</v>
      </c>
      <c r="AC127" t="s">
        <v>407</v>
      </c>
      <c r="AD127" t="s">
        <v>27</v>
      </c>
      <c r="AE127" t="s">
        <v>407</v>
      </c>
      <c r="AF127" t="s">
        <v>408</v>
      </c>
      <c r="AG127" t="s">
        <v>345</v>
      </c>
      <c r="AH127" t="s">
        <v>346</v>
      </c>
      <c r="AI127" t="s">
        <v>377</v>
      </c>
      <c r="AJ127" t="s">
        <v>344</v>
      </c>
      <c r="AK127" t="s">
        <v>407</v>
      </c>
      <c r="AL127" t="s">
        <v>279</v>
      </c>
      <c r="AM127" t="s">
        <v>407</v>
      </c>
      <c r="AN127" t="s">
        <v>408</v>
      </c>
      <c r="AO127" t="s">
        <v>407</v>
      </c>
      <c r="AP127" t="s">
        <v>53</v>
      </c>
      <c r="AQ127" t="s">
        <v>407</v>
      </c>
      <c r="AR127" t="s">
        <v>408</v>
      </c>
      <c r="AS127" t="s">
        <v>407</v>
      </c>
      <c r="AT127" t="s">
        <v>407</v>
      </c>
      <c r="AU127" t="s">
        <v>409</v>
      </c>
      <c r="AV127" t="s">
        <v>409</v>
      </c>
      <c r="AW127" t="str">
        <f t="shared" si="2"/>
        <v>#if(J49#"JE","JE",if(J49#"Drilled","JC",""))</v>
      </c>
      <c r="BC127" t="s">
        <v>443</v>
      </c>
      <c r="BJ127" t="s">
        <v>506</v>
      </c>
      <c r="BQ127" t="s">
        <v>600</v>
      </c>
      <c r="BR127" t="s">
        <v>346</v>
      </c>
      <c r="BS127" t="s">
        <v>566</v>
      </c>
      <c r="BT127" t="s">
        <v>596</v>
      </c>
      <c r="BU127" t="s">
        <v>407</v>
      </c>
      <c r="BV127" t="s">
        <v>157</v>
      </c>
      <c r="BW127" t="s">
        <v>407</v>
      </c>
      <c r="BX127" t="s">
        <v>408</v>
      </c>
      <c r="BY127" t="s">
        <v>407</v>
      </c>
      <c r="BZ127" t="s">
        <v>80</v>
      </c>
      <c r="CA127" t="s">
        <v>407</v>
      </c>
      <c r="CB127" t="s">
        <v>408</v>
      </c>
      <c r="CC127" t="s">
        <v>597</v>
      </c>
      <c r="CD127" t="s">
        <v>346</v>
      </c>
      <c r="CE127" t="s">
        <v>566</v>
      </c>
      <c r="CF127" t="s">
        <v>596</v>
      </c>
      <c r="CG127" s="32" t="s">
        <v>407</v>
      </c>
      <c r="CH127" t="s">
        <v>411</v>
      </c>
      <c r="CI127" t="s">
        <v>407</v>
      </c>
      <c r="CJ127" t="s">
        <v>408</v>
      </c>
      <c r="CK127" s="32" t="s">
        <v>407</v>
      </c>
      <c r="CL127" t="s">
        <v>29</v>
      </c>
      <c r="CM127" t="s">
        <v>407</v>
      </c>
      <c r="CN127" t="s">
        <v>408</v>
      </c>
      <c r="CO127" t="s">
        <v>597</v>
      </c>
      <c r="CP127" t="s">
        <v>346</v>
      </c>
      <c r="CQ127" t="s">
        <v>566</v>
      </c>
      <c r="CR127" t="s">
        <v>596</v>
      </c>
      <c r="CS127" s="32" t="s">
        <v>407</v>
      </c>
      <c r="CT127" t="s">
        <v>475</v>
      </c>
      <c r="CU127" t="s">
        <v>407</v>
      </c>
      <c r="CV127" t="s">
        <v>408</v>
      </c>
      <c r="CW127" s="32" t="s">
        <v>407</v>
      </c>
      <c r="CX127" t="s">
        <v>83</v>
      </c>
      <c r="CY127" t="s">
        <v>407</v>
      </c>
      <c r="CZ127" t="s">
        <v>408</v>
      </c>
      <c r="DA127" t="s">
        <v>407</v>
      </c>
      <c r="DB127" t="s">
        <v>598</v>
      </c>
      <c r="DC127" t="s">
        <v>407</v>
      </c>
      <c r="DD127" t="s">
        <v>599</v>
      </c>
      <c r="DE127" t="str">
        <f t="shared" si="3"/>
        <v>%IF(K49%"Poplar","PAINT",IF(K49%"Red Oak","SGO",IF(K49%"Maple","SM","SPPN")))</v>
      </c>
      <c r="DO127" t="s">
        <v>503</v>
      </c>
    </row>
    <row r="128" spans="6:119" x14ac:dyDescent="0.25">
      <c r="F128" t="s">
        <v>189</v>
      </c>
      <c r="H128" t="s">
        <v>249</v>
      </c>
      <c r="M128" t="s">
        <v>311</v>
      </c>
      <c r="O128" t="s">
        <v>341</v>
      </c>
      <c r="T128" t="s">
        <v>344</v>
      </c>
      <c r="U128" t="s">
        <v>345</v>
      </c>
      <c r="V128" t="s">
        <v>346</v>
      </c>
      <c r="W128" t="s">
        <v>377</v>
      </c>
      <c r="X128" t="s">
        <v>344</v>
      </c>
      <c r="Y128" t="s">
        <v>407</v>
      </c>
      <c r="Z128" t="s">
        <v>27</v>
      </c>
      <c r="AA128" t="s">
        <v>407</v>
      </c>
      <c r="AB128" t="s">
        <v>408</v>
      </c>
      <c r="AC128" t="s">
        <v>407</v>
      </c>
      <c r="AD128" t="s">
        <v>27</v>
      </c>
      <c r="AE128" t="s">
        <v>407</v>
      </c>
      <c r="AF128" t="s">
        <v>408</v>
      </c>
      <c r="AG128" t="s">
        <v>345</v>
      </c>
      <c r="AH128" t="s">
        <v>346</v>
      </c>
      <c r="AI128" t="s">
        <v>377</v>
      </c>
      <c r="AJ128" t="s">
        <v>344</v>
      </c>
      <c r="AK128" t="s">
        <v>407</v>
      </c>
      <c r="AL128" t="s">
        <v>279</v>
      </c>
      <c r="AM128" t="s">
        <v>407</v>
      </c>
      <c r="AN128" t="s">
        <v>408</v>
      </c>
      <c r="AO128" t="s">
        <v>407</v>
      </c>
      <c r="AP128" t="s">
        <v>53</v>
      </c>
      <c r="AQ128" t="s">
        <v>407</v>
      </c>
      <c r="AR128" t="s">
        <v>408</v>
      </c>
      <c r="AS128" t="s">
        <v>407</v>
      </c>
      <c r="AT128" t="s">
        <v>407</v>
      </c>
      <c r="AU128" t="s">
        <v>409</v>
      </c>
      <c r="AV128" t="s">
        <v>409</v>
      </c>
      <c r="AW128" t="str">
        <f t="shared" si="2"/>
        <v>#if(J49#"JE","JE",if(J49#"Drilled","JC",""))</v>
      </c>
      <c r="BC128" t="s">
        <v>443</v>
      </c>
      <c r="BJ128" t="s">
        <v>506</v>
      </c>
      <c r="BQ128" t="s">
        <v>600</v>
      </c>
      <c r="BR128" t="s">
        <v>346</v>
      </c>
      <c r="BS128" t="s">
        <v>566</v>
      </c>
      <c r="BT128" t="s">
        <v>596</v>
      </c>
      <c r="BU128" t="s">
        <v>407</v>
      </c>
      <c r="BV128" t="s">
        <v>157</v>
      </c>
      <c r="BW128" t="s">
        <v>407</v>
      </c>
      <c r="BX128" t="s">
        <v>408</v>
      </c>
      <c r="BY128" t="s">
        <v>407</v>
      </c>
      <c r="BZ128" t="s">
        <v>80</v>
      </c>
      <c r="CA128" t="s">
        <v>407</v>
      </c>
      <c r="CB128" t="s">
        <v>408</v>
      </c>
      <c r="CC128" t="s">
        <v>597</v>
      </c>
      <c r="CD128" t="s">
        <v>346</v>
      </c>
      <c r="CE128" t="s">
        <v>566</v>
      </c>
      <c r="CF128" t="s">
        <v>596</v>
      </c>
      <c r="CG128" s="32" t="s">
        <v>407</v>
      </c>
      <c r="CH128" t="s">
        <v>411</v>
      </c>
      <c r="CI128" t="s">
        <v>407</v>
      </c>
      <c r="CJ128" t="s">
        <v>408</v>
      </c>
      <c r="CK128" s="32" t="s">
        <v>407</v>
      </c>
      <c r="CL128" t="s">
        <v>29</v>
      </c>
      <c r="CM128" t="s">
        <v>407</v>
      </c>
      <c r="CN128" t="s">
        <v>408</v>
      </c>
      <c r="CO128" t="s">
        <v>597</v>
      </c>
      <c r="CP128" t="s">
        <v>346</v>
      </c>
      <c r="CQ128" t="s">
        <v>566</v>
      </c>
      <c r="CR128" t="s">
        <v>596</v>
      </c>
      <c r="CS128" s="32" t="s">
        <v>407</v>
      </c>
      <c r="CT128" t="s">
        <v>475</v>
      </c>
      <c r="CU128" t="s">
        <v>407</v>
      </c>
      <c r="CV128" t="s">
        <v>408</v>
      </c>
      <c r="CW128" s="32" t="s">
        <v>407</v>
      </c>
      <c r="CX128" t="s">
        <v>83</v>
      </c>
      <c r="CY128" t="s">
        <v>407</v>
      </c>
      <c r="CZ128" t="s">
        <v>408</v>
      </c>
      <c r="DA128" t="s">
        <v>407</v>
      </c>
      <c r="DB128" t="s">
        <v>598</v>
      </c>
      <c r="DC128" t="s">
        <v>407</v>
      </c>
      <c r="DD128" t="s">
        <v>599</v>
      </c>
      <c r="DE128" t="str">
        <f t="shared" si="3"/>
        <v>%IF(K49%"Poplar","PAINT",IF(K49%"Red Oak","SGO",IF(K49%"Maple","SM","SPPN")))</v>
      </c>
      <c r="DO128" t="s">
        <v>503</v>
      </c>
    </row>
    <row r="129" spans="6:119" x14ac:dyDescent="0.25">
      <c r="F129" t="s">
        <v>190</v>
      </c>
      <c r="H129" t="s">
        <v>250</v>
      </c>
      <c r="M129" t="s">
        <v>312</v>
      </c>
      <c r="O129" t="s">
        <v>341</v>
      </c>
      <c r="T129" t="s">
        <v>344</v>
      </c>
      <c r="U129" t="s">
        <v>345</v>
      </c>
      <c r="V129" t="s">
        <v>346</v>
      </c>
      <c r="W129" t="s">
        <v>378</v>
      </c>
      <c r="X129" t="s">
        <v>344</v>
      </c>
      <c r="Y129" t="s">
        <v>407</v>
      </c>
      <c r="Z129" t="s">
        <v>27</v>
      </c>
      <c r="AA129" t="s">
        <v>407</v>
      </c>
      <c r="AB129" t="s">
        <v>408</v>
      </c>
      <c r="AC129" t="s">
        <v>407</v>
      </c>
      <c r="AD129" t="s">
        <v>27</v>
      </c>
      <c r="AE129" t="s">
        <v>407</v>
      </c>
      <c r="AF129" t="s">
        <v>408</v>
      </c>
      <c r="AG129" t="s">
        <v>345</v>
      </c>
      <c r="AH129" t="s">
        <v>346</v>
      </c>
      <c r="AI129" t="s">
        <v>378</v>
      </c>
      <c r="AJ129" t="s">
        <v>344</v>
      </c>
      <c r="AK129" t="s">
        <v>407</v>
      </c>
      <c r="AL129" t="s">
        <v>279</v>
      </c>
      <c r="AM129" t="s">
        <v>407</v>
      </c>
      <c r="AN129" t="s">
        <v>408</v>
      </c>
      <c r="AO129" t="s">
        <v>407</v>
      </c>
      <c r="AP129" t="s">
        <v>53</v>
      </c>
      <c r="AQ129" t="s">
        <v>407</v>
      </c>
      <c r="AR129" t="s">
        <v>408</v>
      </c>
      <c r="AS129" t="s">
        <v>407</v>
      </c>
      <c r="AT129" t="s">
        <v>407</v>
      </c>
      <c r="AU129" t="s">
        <v>409</v>
      </c>
      <c r="AV129" t="s">
        <v>409</v>
      </c>
      <c r="AW129" t="str">
        <f t="shared" si="2"/>
        <v>#if(J50#"JE","JE",if(J50#"Drilled","JC",""))</v>
      </c>
      <c r="BC129" t="s">
        <v>444</v>
      </c>
      <c r="BJ129" t="s">
        <v>507</v>
      </c>
      <c r="BQ129" t="s">
        <v>600</v>
      </c>
      <c r="BR129" t="s">
        <v>346</v>
      </c>
      <c r="BS129" t="s">
        <v>567</v>
      </c>
      <c r="BT129" t="s">
        <v>596</v>
      </c>
      <c r="BU129" t="s">
        <v>407</v>
      </c>
      <c r="BV129" t="s">
        <v>157</v>
      </c>
      <c r="BW129" t="s">
        <v>407</v>
      </c>
      <c r="BX129" t="s">
        <v>408</v>
      </c>
      <c r="BY129" t="s">
        <v>407</v>
      </c>
      <c r="BZ129" t="s">
        <v>80</v>
      </c>
      <c r="CA129" t="s">
        <v>407</v>
      </c>
      <c r="CB129" t="s">
        <v>408</v>
      </c>
      <c r="CC129" t="s">
        <v>597</v>
      </c>
      <c r="CD129" t="s">
        <v>346</v>
      </c>
      <c r="CE129" t="s">
        <v>567</v>
      </c>
      <c r="CF129" t="s">
        <v>596</v>
      </c>
      <c r="CG129" s="32" t="s">
        <v>407</v>
      </c>
      <c r="CH129" t="s">
        <v>411</v>
      </c>
      <c r="CI129" t="s">
        <v>407</v>
      </c>
      <c r="CJ129" t="s">
        <v>408</v>
      </c>
      <c r="CK129" s="32" t="s">
        <v>407</v>
      </c>
      <c r="CL129" t="s">
        <v>29</v>
      </c>
      <c r="CM129" t="s">
        <v>407</v>
      </c>
      <c r="CN129" t="s">
        <v>408</v>
      </c>
      <c r="CO129" t="s">
        <v>597</v>
      </c>
      <c r="CP129" t="s">
        <v>346</v>
      </c>
      <c r="CQ129" t="s">
        <v>567</v>
      </c>
      <c r="CR129" t="s">
        <v>596</v>
      </c>
      <c r="CS129" s="32" t="s">
        <v>407</v>
      </c>
      <c r="CT129" t="s">
        <v>475</v>
      </c>
      <c r="CU129" t="s">
        <v>407</v>
      </c>
      <c r="CV129" t="s">
        <v>408</v>
      </c>
      <c r="CW129" s="32" t="s">
        <v>407</v>
      </c>
      <c r="CX129" t="s">
        <v>83</v>
      </c>
      <c r="CY129" t="s">
        <v>407</v>
      </c>
      <c r="CZ129" t="s">
        <v>408</v>
      </c>
      <c r="DA129" t="s">
        <v>407</v>
      </c>
      <c r="DB129" t="s">
        <v>598</v>
      </c>
      <c r="DC129" t="s">
        <v>407</v>
      </c>
      <c r="DD129" t="s">
        <v>599</v>
      </c>
      <c r="DE129" t="str">
        <f t="shared" si="3"/>
        <v>%IF(K50%"Poplar","PAINT",IF(K50%"Red Oak","SGO",IF(K50%"Maple","SM","SPPN")))</v>
      </c>
      <c r="DO129" t="s">
        <v>503</v>
      </c>
    </row>
    <row r="130" spans="6:119" x14ac:dyDescent="0.25">
      <c r="F130" t="s">
        <v>190</v>
      </c>
      <c r="H130" t="s">
        <v>250</v>
      </c>
      <c r="M130" t="s">
        <v>312</v>
      </c>
      <c r="O130" t="s">
        <v>341</v>
      </c>
      <c r="T130" t="s">
        <v>344</v>
      </c>
      <c r="U130" t="s">
        <v>345</v>
      </c>
      <c r="V130" t="s">
        <v>346</v>
      </c>
      <c r="W130" t="s">
        <v>378</v>
      </c>
      <c r="X130" t="s">
        <v>344</v>
      </c>
      <c r="Y130" t="s">
        <v>407</v>
      </c>
      <c r="Z130" t="s">
        <v>27</v>
      </c>
      <c r="AA130" t="s">
        <v>407</v>
      </c>
      <c r="AB130" t="s">
        <v>408</v>
      </c>
      <c r="AC130" t="s">
        <v>407</v>
      </c>
      <c r="AD130" t="s">
        <v>27</v>
      </c>
      <c r="AE130" t="s">
        <v>407</v>
      </c>
      <c r="AF130" t="s">
        <v>408</v>
      </c>
      <c r="AG130" t="s">
        <v>345</v>
      </c>
      <c r="AH130" t="s">
        <v>346</v>
      </c>
      <c r="AI130" t="s">
        <v>378</v>
      </c>
      <c r="AJ130" t="s">
        <v>344</v>
      </c>
      <c r="AK130" t="s">
        <v>407</v>
      </c>
      <c r="AL130" t="s">
        <v>279</v>
      </c>
      <c r="AM130" t="s">
        <v>407</v>
      </c>
      <c r="AN130" t="s">
        <v>408</v>
      </c>
      <c r="AO130" t="s">
        <v>407</v>
      </c>
      <c r="AP130" t="s">
        <v>53</v>
      </c>
      <c r="AQ130" t="s">
        <v>407</v>
      </c>
      <c r="AR130" t="s">
        <v>408</v>
      </c>
      <c r="AS130" t="s">
        <v>407</v>
      </c>
      <c r="AT130" t="s">
        <v>407</v>
      </c>
      <c r="AU130" t="s">
        <v>409</v>
      </c>
      <c r="AV130" t="s">
        <v>409</v>
      </c>
      <c r="AW130" t="str">
        <f t="shared" si="2"/>
        <v>#if(J50#"JE","JE",if(J50#"Drilled","JC",""))</v>
      </c>
      <c r="BC130" t="s">
        <v>444</v>
      </c>
      <c r="BJ130" t="s">
        <v>507</v>
      </c>
      <c r="BQ130" t="s">
        <v>600</v>
      </c>
      <c r="BR130" t="s">
        <v>346</v>
      </c>
      <c r="BS130" t="s">
        <v>567</v>
      </c>
      <c r="BT130" t="s">
        <v>596</v>
      </c>
      <c r="BU130" t="s">
        <v>407</v>
      </c>
      <c r="BV130" t="s">
        <v>157</v>
      </c>
      <c r="BW130" t="s">
        <v>407</v>
      </c>
      <c r="BX130" t="s">
        <v>408</v>
      </c>
      <c r="BY130" t="s">
        <v>407</v>
      </c>
      <c r="BZ130" t="s">
        <v>80</v>
      </c>
      <c r="CA130" t="s">
        <v>407</v>
      </c>
      <c r="CB130" t="s">
        <v>408</v>
      </c>
      <c r="CC130" t="s">
        <v>597</v>
      </c>
      <c r="CD130" t="s">
        <v>346</v>
      </c>
      <c r="CE130" t="s">
        <v>567</v>
      </c>
      <c r="CF130" t="s">
        <v>596</v>
      </c>
      <c r="CG130" s="32" t="s">
        <v>407</v>
      </c>
      <c r="CH130" t="s">
        <v>411</v>
      </c>
      <c r="CI130" t="s">
        <v>407</v>
      </c>
      <c r="CJ130" t="s">
        <v>408</v>
      </c>
      <c r="CK130" s="32" t="s">
        <v>407</v>
      </c>
      <c r="CL130" t="s">
        <v>29</v>
      </c>
      <c r="CM130" t="s">
        <v>407</v>
      </c>
      <c r="CN130" t="s">
        <v>408</v>
      </c>
      <c r="CO130" t="s">
        <v>597</v>
      </c>
      <c r="CP130" t="s">
        <v>346</v>
      </c>
      <c r="CQ130" t="s">
        <v>567</v>
      </c>
      <c r="CR130" t="s">
        <v>596</v>
      </c>
      <c r="CS130" s="32" t="s">
        <v>407</v>
      </c>
      <c r="CT130" t="s">
        <v>475</v>
      </c>
      <c r="CU130" t="s">
        <v>407</v>
      </c>
      <c r="CV130" t="s">
        <v>408</v>
      </c>
      <c r="CW130" s="32" t="s">
        <v>407</v>
      </c>
      <c r="CX130" t="s">
        <v>83</v>
      </c>
      <c r="CY130" t="s">
        <v>407</v>
      </c>
      <c r="CZ130" t="s">
        <v>408</v>
      </c>
      <c r="DA130" t="s">
        <v>407</v>
      </c>
      <c r="DB130" t="s">
        <v>598</v>
      </c>
      <c r="DC130" t="s">
        <v>407</v>
      </c>
      <c r="DD130" t="s">
        <v>599</v>
      </c>
      <c r="DE130" t="str">
        <f t="shared" si="3"/>
        <v>%IF(K50%"Poplar","PAINT",IF(K50%"Red Oak","SGO",IF(K50%"Maple","SM","SPPN")))</v>
      </c>
      <c r="DO130" t="s">
        <v>503</v>
      </c>
    </row>
    <row r="131" spans="6:119" x14ac:dyDescent="0.25">
      <c r="F131" t="s">
        <v>190</v>
      </c>
      <c r="H131" t="s">
        <v>250</v>
      </c>
      <c r="M131" t="s">
        <v>312</v>
      </c>
      <c r="O131" t="s">
        <v>341</v>
      </c>
      <c r="T131" t="s">
        <v>344</v>
      </c>
      <c r="U131" t="s">
        <v>345</v>
      </c>
      <c r="V131" t="s">
        <v>346</v>
      </c>
      <c r="W131" t="s">
        <v>378</v>
      </c>
      <c r="X131" t="s">
        <v>344</v>
      </c>
      <c r="Y131" t="s">
        <v>407</v>
      </c>
      <c r="Z131" t="s">
        <v>27</v>
      </c>
      <c r="AA131" t="s">
        <v>407</v>
      </c>
      <c r="AB131" t="s">
        <v>408</v>
      </c>
      <c r="AC131" t="s">
        <v>407</v>
      </c>
      <c r="AD131" t="s">
        <v>27</v>
      </c>
      <c r="AE131" t="s">
        <v>407</v>
      </c>
      <c r="AF131" t="s">
        <v>408</v>
      </c>
      <c r="AG131" t="s">
        <v>345</v>
      </c>
      <c r="AH131" t="s">
        <v>346</v>
      </c>
      <c r="AI131" t="s">
        <v>378</v>
      </c>
      <c r="AJ131" t="s">
        <v>344</v>
      </c>
      <c r="AK131" t="s">
        <v>407</v>
      </c>
      <c r="AL131" t="s">
        <v>279</v>
      </c>
      <c r="AM131" t="s">
        <v>407</v>
      </c>
      <c r="AN131" t="s">
        <v>408</v>
      </c>
      <c r="AO131" t="s">
        <v>407</v>
      </c>
      <c r="AP131" t="s">
        <v>53</v>
      </c>
      <c r="AQ131" t="s">
        <v>407</v>
      </c>
      <c r="AR131" t="s">
        <v>408</v>
      </c>
      <c r="AS131" t="s">
        <v>407</v>
      </c>
      <c r="AT131" t="s">
        <v>407</v>
      </c>
      <c r="AU131" t="s">
        <v>409</v>
      </c>
      <c r="AV131" t="s">
        <v>409</v>
      </c>
      <c r="AW131" t="str">
        <f t="shared" si="2"/>
        <v>#if(J50#"JE","JE",if(J50#"Drilled","JC",""))</v>
      </c>
      <c r="BC131" t="s">
        <v>444</v>
      </c>
      <c r="BJ131" t="s">
        <v>507</v>
      </c>
      <c r="BQ131" t="s">
        <v>600</v>
      </c>
      <c r="BR131" t="s">
        <v>346</v>
      </c>
      <c r="BS131" t="s">
        <v>567</v>
      </c>
      <c r="BT131" t="s">
        <v>596</v>
      </c>
      <c r="BU131" t="s">
        <v>407</v>
      </c>
      <c r="BV131" t="s">
        <v>157</v>
      </c>
      <c r="BW131" t="s">
        <v>407</v>
      </c>
      <c r="BX131" t="s">
        <v>408</v>
      </c>
      <c r="BY131" t="s">
        <v>407</v>
      </c>
      <c r="BZ131" t="s">
        <v>80</v>
      </c>
      <c r="CA131" t="s">
        <v>407</v>
      </c>
      <c r="CB131" t="s">
        <v>408</v>
      </c>
      <c r="CC131" t="s">
        <v>597</v>
      </c>
      <c r="CD131" t="s">
        <v>346</v>
      </c>
      <c r="CE131" t="s">
        <v>567</v>
      </c>
      <c r="CF131" t="s">
        <v>596</v>
      </c>
      <c r="CG131" s="32" t="s">
        <v>407</v>
      </c>
      <c r="CH131" t="s">
        <v>411</v>
      </c>
      <c r="CI131" t="s">
        <v>407</v>
      </c>
      <c r="CJ131" t="s">
        <v>408</v>
      </c>
      <c r="CK131" s="32" t="s">
        <v>407</v>
      </c>
      <c r="CL131" t="s">
        <v>29</v>
      </c>
      <c r="CM131" t="s">
        <v>407</v>
      </c>
      <c r="CN131" t="s">
        <v>408</v>
      </c>
      <c r="CO131" t="s">
        <v>597</v>
      </c>
      <c r="CP131" t="s">
        <v>346</v>
      </c>
      <c r="CQ131" t="s">
        <v>567</v>
      </c>
      <c r="CR131" t="s">
        <v>596</v>
      </c>
      <c r="CS131" s="32" t="s">
        <v>407</v>
      </c>
      <c r="CT131" t="s">
        <v>475</v>
      </c>
      <c r="CU131" t="s">
        <v>407</v>
      </c>
      <c r="CV131" t="s">
        <v>408</v>
      </c>
      <c r="CW131" s="32" t="s">
        <v>407</v>
      </c>
      <c r="CX131" t="s">
        <v>83</v>
      </c>
      <c r="CY131" t="s">
        <v>407</v>
      </c>
      <c r="CZ131" t="s">
        <v>408</v>
      </c>
      <c r="DA131" t="s">
        <v>407</v>
      </c>
      <c r="DB131" t="s">
        <v>598</v>
      </c>
      <c r="DC131" t="s">
        <v>407</v>
      </c>
      <c r="DD131" t="s">
        <v>599</v>
      </c>
      <c r="DE131" t="str">
        <f t="shared" si="3"/>
        <v>%IF(K50%"Poplar","PAINT",IF(K50%"Red Oak","SGO",IF(K50%"Maple","SM","SPPN")))</v>
      </c>
      <c r="DO131" t="s">
        <v>504</v>
      </c>
    </row>
    <row r="132" spans="6:119" x14ac:dyDescent="0.25">
      <c r="F132" t="s">
        <v>190</v>
      </c>
      <c r="H132" t="s">
        <v>250</v>
      </c>
      <c r="M132" t="s">
        <v>312</v>
      </c>
      <c r="O132" t="s">
        <v>341</v>
      </c>
      <c r="T132" t="s">
        <v>344</v>
      </c>
      <c r="U132" t="s">
        <v>345</v>
      </c>
      <c r="V132" t="s">
        <v>346</v>
      </c>
      <c r="W132" t="s">
        <v>378</v>
      </c>
      <c r="X132" t="s">
        <v>344</v>
      </c>
      <c r="Y132" t="s">
        <v>407</v>
      </c>
      <c r="Z132" t="s">
        <v>27</v>
      </c>
      <c r="AA132" t="s">
        <v>407</v>
      </c>
      <c r="AB132" t="s">
        <v>408</v>
      </c>
      <c r="AC132" t="s">
        <v>407</v>
      </c>
      <c r="AD132" t="s">
        <v>27</v>
      </c>
      <c r="AE132" t="s">
        <v>407</v>
      </c>
      <c r="AF132" t="s">
        <v>408</v>
      </c>
      <c r="AG132" t="s">
        <v>345</v>
      </c>
      <c r="AH132" t="s">
        <v>346</v>
      </c>
      <c r="AI132" t="s">
        <v>378</v>
      </c>
      <c r="AJ132" t="s">
        <v>344</v>
      </c>
      <c r="AK132" t="s">
        <v>407</v>
      </c>
      <c r="AL132" t="s">
        <v>279</v>
      </c>
      <c r="AM132" t="s">
        <v>407</v>
      </c>
      <c r="AN132" t="s">
        <v>408</v>
      </c>
      <c r="AO132" t="s">
        <v>407</v>
      </c>
      <c r="AP132" t="s">
        <v>53</v>
      </c>
      <c r="AQ132" t="s">
        <v>407</v>
      </c>
      <c r="AR132" t="s">
        <v>408</v>
      </c>
      <c r="AS132" t="s">
        <v>407</v>
      </c>
      <c r="AT132" t="s">
        <v>407</v>
      </c>
      <c r="AU132" t="s">
        <v>409</v>
      </c>
      <c r="AV132" t="s">
        <v>409</v>
      </c>
      <c r="AW132" t="str">
        <f t="shared" si="2"/>
        <v>#if(J50#"JE","JE",if(J50#"Drilled","JC",""))</v>
      </c>
      <c r="BC132" t="s">
        <v>444</v>
      </c>
      <c r="BJ132" t="s">
        <v>507</v>
      </c>
      <c r="BQ132" t="s">
        <v>600</v>
      </c>
      <c r="BR132" t="s">
        <v>346</v>
      </c>
      <c r="BS132" t="s">
        <v>567</v>
      </c>
      <c r="BT132" t="s">
        <v>596</v>
      </c>
      <c r="BU132" t="s">
        <v>407</v>
      </c>
      <c r="BV132" t="s">
        <v>157</v>
      </c>
      <c r="BW132" t="s">
        <v>407</v>
      </c>
      <c r="BX132" t="s">
        <v>408</v>
      </c>
      <c r="BY132" t="s">
        <v>407</v>
      </c>
      <c r="BZ132" t="s">
        <v>80</v>
      </c>
      <c r="CA132" t="s">
        <v>407</v>
      </c>
      <c r="CB132" t="s">
        <v>408</v>
      </c>
      <c r="CC132" t="s">
        <v>597</v>
      </c>
      <c r="CD132" t="s">
        <v>346</v>
      </c>
      <c r="CE132" t="s">
        <v>567</v>
      </c>
      <c r="CF132" t="s">
        <v>596</v>
      </c>
      <c r="CG132" s="32" t="s">
        <v>407</v>
      </c>
      <c r="CH132" t="s">
        <v>411</v>
      </c>
      <c r="CI132" t="s">
        <v>407</v>
      </c>
      <c r="CJ132" t="s">
        <v>408</v>
      </c>
      <c r="CK132" s="32" t="s">
        <v>407</v>
      </c>
      <c r="CL132" t="s">
        <v>29</v>
      </c>
      <c r="CM132" t="s">
        <v>407</v>
      </c>
      <c r="CN132" t="s">
        <v>408</v>
      </c>
      <c r="CO132" t="s">
        <v>597</v>
      </c>
      <c r="CP132" t="s">
        <v>346</v>
      </c>
      <c r="CQ132" t="s">
        <v>567</v>
      </c>
      <c r="CR132" t="s">
        <v>596</v>
      </c>
      <c r="CS132" s="32" t="s">
        <v>407</v>
      </c>
      <c r="CT132" t="s">
        <v>475</v>
      </c>
      <c r="CU132" t="s">
        <v>407</v>
      </c>
      <c r="CV132" t="s">
        <v>408</v>
      </c>
      <c r="CW132" s="32" t="s">
        <v>407</v>
      </c>
      <c r="CX132" t="s">
        <v>83</v>
      </c>
      <c r="CY132" t="s">
        <v>407</v>
      </c>
      <c r="CZ132" t="s">
        <v>408</v>
      </c>
      <c r="DA132" t="s">
        <v>407</v>
      </c>
      <c r="DB132" t="s">
        <v>598</v>
      </c>
      <c r="DC132" t="s">
        <v>407</v>
      </c>
      <c r="DD132" t="s">
        <v>599</v>
      </c>
      <c r="DE132" t="str">
        <f t="shared" si="3"/>
        <v>%IF(K50%"Poplar","PAINT",IF(K50%"Red Oak","SGO",IF(K50%"Maple","SM","SPPN")))</v>
      </c>
      <c r="DO132" t="s">
        <v>504</v>
      </c>
    </row>
    <row r="133" spans="6:119" x14ac:dyDescent="0.25">
      <c r="F133" t="s">
        <v>191</v>
      </c>
      <c r="H133" t="s">
        <v>251</v>
      </c>
      <c r="M133" t="s">
        <v>313</v>
      </c>
      <c r="O133" t="s">
        <v>341</v>
      </c>
      <c r="T133" t="s">
        <v>344</v>
      </c>
      <c r="U133" t="s">
        <v>345</v>
      </c>
      <c r="V133" t="s">
        <v>346</v>
      </c>
      <c r="W133" t="s">
        <v>379</v>
      </c>
      <c r="X133" t="s">
        <v>344</v>
      </c>
      <c r="Y133" t="s">
        <v>407</v>
      </c>
      <c r="Z133" t="s">
        <v>27</v>
      </c>
      <c r="AA133" t="s">
        <v>407</v>
      </c>
      <c r="AB133" t="s">
        <v>408</v>
      </c>
      <c r="AC133" t="s">
        <v>407</v>
      </c>
      <c r="AD133" t="s">
        <v>27</v>
      </c>
      <c r="AE133" t="s">
        <v>407</v>
      </c>
      <c r="AF133" t="s">
        <v>408</v>
      </c>
      <c r="AG133" t="s">
        <v>345</v>
      </c>
      <c r="AH133" t="s">
        <v>346</v>
      </c>
      <c r="AI133" t="s">
        <v>379</v>
      </c>
      <c r="AJ133" t="s">
        <v>344</v>
      </c>
      <c r="AK133" t="s">
        <v>407</v>
      </c>
      <c r="AL133" t="s">
        <v>279</v>
      </c>
      <c r="AM133" t="s">
        <v>407</v>
      </c>
      <c r="AN133" t="s">
        <v>408</v>
      </c>
      <c r="AO133" t="s">
        <v>407</v>
      </c>
      <c r="AP133" t="s">
        <v>53</v>
      </c>
      <c r="AQ133" t="s">
        <v>407</v>
      </c>
      <c r="AR133" t="s">
        <v>408</v>
      </c>
      <c r="AS133" t="s">
        <v>407</v>
      </c>
      <c r="AT133" t="s">
        <v>407</v>
      </c>
      <c r="AU133" t="s">
        <v>409</v>
      </c>
      <c r="AV133" t="s">
        <v>409</v>
      </c>
      <c r="AW133" t="str">
        <f t="shared" si="2"/>
        <v>#if(J51#"JE","JE",if(J51#"Drilled","JC",""))</v>
      </c>
      <c r="BC133" t="s">
        <v>445</v>
      </c>
      <c r="BJ133" t="s">
        <v>508</v>
      </c>
      <c r="BQ133" t="s">
        <v>600</v>
      </c>
      <c r="BR133" t="s">
        <v>346</v>
      </c>
      <c r="BS133" t="s">
        <v>568</v>
      </c>
      <c r="BT133" t="s">
        <v>596</v>
      </c>
      <c r="BU133" t="s">
        <v>407</v>
      </c>
      <c r="BV133" t="s">
        <v>157</v>
      </c>
      <c r="BW133" t="s">
        <v>407</v>
      </c>
      <c r="BX133" t="s">
        <v>408</v>
      </c>
      <c r="BY133" t="s">
        <v>407</v>
      </c>
      <c r="BZ133" t="s">
        <v>80</v>
      </c>
      <c r="CA133" t="s">
        <v>407</v>
      </c>
      <c r="CB133" t="s">
        <v>408</v>
      </c>
      <c r="CC133" t="s">
        <v>597</v>
      </c>
      <c r="CD133" t="s">
        <v>346</v>
      </c>
      <c r="CE133" t="s">
        <v>568</v>
      </c>
      <c r="CF133" t="s">
        <v>596</v>
      </c>
      <c r="CG133" s="32" t="s">
        <v>407</v>
      </c>
      <c r="CH133" t="s">
        <v>411</v>
      </c>
      <c r="CI133" t="s">
        <v>407</v>
      </c>
      <c r="CJ133" t="s">
        <v>408</v>
      </c>
      <c r="CK133" s="32" t="s">
        <v>407</v>
      </c>
      <c r="CL133" t="s">
        <v>29</v>
      </c>
      <c r="CM133" t="s">
        <v>407</v>
      </c>
      <c r="CN133" t="s">
        <v>408</v>
      </c>
      <c r="CO133" t="s">
        <v>597</v>
      </c>
      <c r="CP133" t="s">
        <v>346</v>
      </c>
      <c r="CQ133" t="s">
        <v>568</v>
      </c>
      <c r="CR133" t="s">
        <v>596</v>
      </c>
      <c r="CS133" s="32" t="s">
        <v>407</v>
      </c>
      <c r="CT133" t="s">
        <v>475</v>
      </c>
      <c r="CU133" t="s">
        <v>407</v>
      </c>
      <c r="CV133" t="s">
        <v>408</v>
      </c>
      <c r="CW133" s="32" t="s">
        <v>407</v>
      </c>
      <c r="CX133" t="s">
        <v>83</v>
      </c>
      <c r="CY133" t="s">
        <v>407</v>
      </c>
      <c r="CZ133" t="s">
        <v>408</v>
      </c>
      <c r="DA133" t="s">
        <v>407</v>
      </c>
      <c r="DB133" t="s">
        <v>598</v>
      </c>
      <c r="DC133" t="s">
        <v>407</v>
      </c>
      <c r="DD133" t="s">
        <v>599</v>
      </c>
      <c r="DE133" t="str">
        <f t="shared" si="3"/>
        <v>%IF(K51%"Poplar","PAINT",IF(K51%"Red Oak","SGO",IF(K51%"Maple","SM","SPPN")))</v>
      </c>
      <c r="DO133" t="s">
        <v>504</v>
      </c>
    </row>
    <row r="134" spans="6:119" x14ac:dyDescent="0.25">
      <c r="F134" t="s">
        <v>191</v>
      </c>
      <c r="H134" t="s">
        <v>251</v>
      </c>
      <c r="M134" t="s">
        <v>313</v>
      </c>
      <c r="O134" t="s">
        <v>341</v>
      </c>
      <c r="T134" t="s">
        <v>344</v>
      </c>
      <c r="U134" t="s">
        <v>345</v>
      </c>
      <c r="V134" t="s">
        <v>346</v>
      </c>
      <c r="W134" t="s">
        <v>379</v>
      </c>
      <c r="X134" t="s">
        <v>344</v>
      </c>
      <c r="Y134" t="s">
        <v>407</v>
      </c>
      <c r="Z134" t="s">
        <v>27</v>
      </c>
      <c r="AA134" t="s">
        <v>407</v>
      </c>
      <c r="AB134" t="s">
        <v>408</v>
      </c>
      <c r="AC134" t="s">
        <v>407</v>
      </c>
      <c r="AD134" t="s">
        <v>27</v>
      </c>
      <c r="AE134" t="s">
        <v>407</v>
      </c>
      <c r="AF134" t="s">
        <v>408</v>
      </c>
      <c r="AG134" t="s">
        <v>345</v>
      </c>
      <c r="AH134" t="s">
        <v>346</v>
      </c>
      <c r="AI134" t="s">
        <v>379</v>
      </c>
      <c r="AJ134" t="s">
        <v>344</v>
      </c>
      <c r="AK134" t="s">
        <v>407</v>
      </c>
      <c r="AL134" t="s">
        <v>279</v>
      </c>
      <c r="AM134" t="s">
        <v>407</v>
      </c>
      <c r="AN134" t="s">
        <v>408</v>
      </c>
      <c r="AO134" t="s">
        <v>407</v>
      </c>
      <c r="AP134" t="s">
        <v>53</v>
      </c>
      <c r="AQ134" t="s">
        <v>407</v>
      </c>
      <c r="AR134" t="s">
        <v>408</v>
      </c>
      <c r="AS134" t="s">
        <v>407</v>
      </c>
      <c r="AT134" t="s">
        <v>407</v>
      </c>
      <c r="AU134" t="s">
        <v>409</v>
      </c>
      <c r="AV134" t="s">
        <v>409</v>
      </c>
      <c r="AW134" t="str">
        <f t="shared" ref="AW134:AW197" si="4">T134&amp;U134&amp;V134&amp;W134&amp;X134&amp;Y134&amp;Z134&amp;AA134&amp;AB134&amp;AC134&amp;AD134&amp;AE134&amp;AF134&amp;AG134&amp;AH134&amp;AI134&amp;AJ134&amp;AK134&amp;AL134&amp;AM134&amp;AN134&amp;AO134&amp;AP134&amp;AQ134&amp;AR134&amp;AS134&amp;AT134&amp;AU134&amp;AV134</f>
        <v>#if(J51#"JE","JE",if(J51#"Drilled","JC",""))</v>
      </c>
      <c r="BC134" t="s">
        <v>445</v>
      </c>
      <c r="BJ134" t="s">
        <v>508</v>
      </c>
      <c r="BQ134" t="s">
        <v>600</v>
      </c>
      <c r="BR134" t="s">
        <v>346</v>
      </c>
      <c r="BS134" t="s">
        <v>568</v>
      </c>
      <c r="BT134" t="s">
        <v>596</v>
      </c>
      <c r="BU134" t="s">
        <v>407</v>
      </c>
      <c r="BV134" t="s">
        <v>157</v>
      </c>
      <c r="BW134" t="s">
        <v>407</v>
      </c>
      <c r="BX134" t="s">
        <v>408</v>
      </c>
      <c r="BY134" t="s">
        <v>407</v>
      </c>
      <c r="BZ134" t="s">
        <v>80</v>
      </c>
      <c r="CA134" t="s">
        <v>407</v>
      </c>
      <c r="CB134" t="s">
        <v>408</v>
      </c>
      <c r="CC134" t="s">
        <v>597</v>
      </c>
      <c r="CD134" t="s">
        <v>346</v>
      </c>
      <c r="CE134" t="s">
        <v>568</v>
      </c>
      <c r="CF134" t="s">
        <v>596</v>
      </c>
      <c r="CG134" s="32" t="s">
        <v>407</v>
      </c>
      <c r="CH134" t="s">
        <v>411</v>
      </c>
      <c r="CI134" t="s">
        <v>407</v>
      </c>
      <c r="CJ134" t="s">
        <v>408</v>
      </c>
      <c r="CK134" s="32" t="s">
        <v>407</v>
      </c>
      <c r="CL134" t="s">
        <v>29</v>
      </c>
      <c r="CM134" t="s">
        <v>407</v>
      </c>
      <c r="CN134" t="s">
        <v>408</v>
      </c>
      <c r="CO134" t="s">
        <v>597</v>
      </c>
      <c r="CP134" t="s">
        <v>346</v>
      </c>
      <c r="CQ134" t="s">
        <v>568</v>
      </c>
      <c r="CR134" t="s">
        <v>596</v>
      </c>
      <c r="CS134" s="32" t="s">
        <v>407</v>
      </c>
      <c r="CT134" t="s">
        <v>475</v>
      </c>
      <c r="CU134" t="s">
        <v>407</v>
      </c>
      <c r="CV134" t="s">
        <v>408</v>
      </c>
      <c r="CW134" s="32" t="s">
        <v>407</v>
      </c>
      <c r="CX134" t="s">
        <v>83</v>
      </c>
      <c r="CY134" t="s">
        <v>407</v>
      </c>
      <c r="CZ134" t="s">
        <v>408</v>
      </c>
      <c r="DA134" t="s">
        <v>407</v>
      </c>
      <c r="DB134" t="s">
        <v>598</v>
      </c>
      <c r="DC134" t="s">
        <v>407</v>
      </c>
      <c r="DD134" t="s">
        <v>599</v>
      </c>
      <c r="DE134" t="str">
        <f t="shared" ref="DE134:DE197" si="5">BQ134&amp;BR134&amp;BS134&amp;BT134&amp;BU134&amp;BV134&amp;BW134&amp;BX134&amp;BY134&amp;BZ134&amp;CA134&amp;CB134&amp;CC134&amp;CD134&amp;CE134&amp;CF134&amp;CG134&amp;CH134&amp;CI134&amp;CJ134&amp;CK134&amp;CL134&amp;CM134&amp;CN134&amp;CO134&amp;CP134&amp;CQ134&amp;CR134&amp;CS134&amp;CT134&amp;CU134&amp;CV134&amp;CW134&amp;CX134&amp;CY134&amp;CZ134&amp;DA134&amp;DB134&amp;DC134&amp;DD134</f>
        <v>%IF(K51%"Poplar","PAINT",IF(K51%"Red Oak","SGO",IF(K51%"Maple","SM","SPPN")))</v>
      </c>
      <c r="DO134" t="s">
        <v>504</v>
      </c>
    </row>
    <row r="135" spans="6:119" x14ac:dyDescent="0.25">
      <c r="F135" t="s">
        <v>191</v>
      </c>
      <c r="H135" t="s">
        <v>251</v>
      </c>
      <c r="M135" t="s">
        <v>313</v>
      </c>
      <c r="O135" t="s">
        <v>341</v>
      </c>
      <c r="T135" t="s">
        <v>344</v>
      </c>
      <c r="U135" t="s">
        <v>345</v>
      </c>
      <c r="V135" t="s">
        <v>346</v>
      </c>
      <c r="W135" t="s">
        <v>379</v>
      </c>
      <c r="X135" t="s">
        <v>344</v>
      </c>
      <c r="Y135" t="s">
        <v>407</v>
      </c>
      <c r="Z135" t="s">
        <v>27</v>
      </c>
      <c r="AA135" t="s">
        <v>407</v>
      </c>
      <c r="AB135" t="s">
        <v>408</v>
      </c>
      <c r="AC135" t="s">
        <v>407</v>
      </c>
      <c r="AD135" t="s">
        <v>27</v>
      </c>
      <c r="AE135" t="s">
        <v>407</v>
      </c>
      <c r="AF135" t="s">
        <v>408</v>
      </c>
      <c r="AG135" t="s">
        <v>345</v>
      </c>
      <c r="AH135" t="s">
        <v>346</v>
      </c>
      <c r="AI135" t="s">
        <v>379</v>
      </c>
      <c r="AJ135" t="s">
        <v>344</v>
      </c>
      <c r="AK135" t="s">
        <v>407</v>
      </c>
      <c r="AL135" t="s">
        <v>279</v>
      </c>
      <c r="AM135" t="s">
        <v>407</v>
      </c>
      <c r="AN135" t="s">
        <v>408</v>
      </c>
      <c r="AO135" t="s">
        <v>407</v>
      </c>
      <c r="AP135" t="s">
        <v>53</v>
      </c>
      <c r="AQ135" t="s">
        <v>407</v>
      </c>
      <c r="AR135" t="s">
        <v>408</v>
      </c>
      <c r="AS135" t="s">
        <v>407</v>
      </c>
      <c r="AT135" t="s">
        <v>407</v>
      </c>
      <c r="AU135" t="s">
        <v>409</v>
      </c>
      <c r="AV135" t="s">
        <v>409</v>
      </c>
      <c r="AW135" t="str">
        <f t="shared" si="4"/>
        <v>#if(J51#"JE","JE",if(J51#"Drilled","JC",""))</v>
      </c>
      <c r="BC135" t="s">
        <v>445</v>
      </c>
      <c r="BJ135" t="s">
        <v>508</v>
      </c>
      <c r="BQ135" t="s">
        <v>600</v>
      </c>
      <c r="BR135" t="s">
        <v>346</v>
      </c>
      <c r="BS135" t="s">
        <v>568</v>
      </c>
      <c r="BT135" t="s">
        <v>596</v>
      </c>
      <c r="BU135" t="s">
        <v>407</v>
      </c>
      <c r="BV135" t="s">
        <v>157</v>
      </c>
      <c r="BW135" t="s">
        <v>407</v>
      </c>
      <c r="BX135" t="s">
        <v>408</v>
      </c>
      <c r="BY135" t="s">
        <v>407</v>
      </c>
      <c r="BZ135" t="s">
        <v>80</v>
      </c>
      <c r="CA135" t="s">
        <v>407</v>
      </c>
      <c r="CB135" t="s">
        <v>408</v>
      </c>
      <c r="CC135" t="s">
        <v>597</v>
      </c>
      <c r="CD135" t="s">
        <v>346</v>
      </c>
      <c r="CE135" t="s">
        <v>568</v>
      </c>
      <c r="CF135" t="s">
        <v>596</v>
      </c>
      <c r="CG135" s="32" t="s">
        <v>407</v>
      </c>
      <c r="CH135" t="s">
        <v>411</v>
      </c>
      <c r="CI135" t="s">
        <v>407</v>
      </c>
      <c r="CJ135" t="s">
        <v>408</v>
      </c>
      <c r="CK135" s="32" t="s">
        <v>407</v>
      </c>
      <c r="CL135" t="s">
        <v>29</v>
      </c>
      <c r="CM135" t="s">
        <v>407</v>
      </c>
      <c r="CN135" t="s">
        <v>408</v>
      </c>
      <c r="CO135" t="s">
        <v>597</v>
      </c>
      <c r="CP135" t="s">
        <v>346</v>
      </c>
      <c r="CQ135" t="s">
        <v>568</v>
      </c>
      <c r="CR135" t="s">
        <v>596</v>
      </c>
      <c r="CS135" s="32" t="s">
        <v>407</v>
      </c>
      <c r="CT135" t="s">
        <v>475</v>
      </c>
      <c r="CU135" t="s">
        <v>407</v>
      </c>
      <c r="CV135" t="s">
        <v>408</v>
      </c>
      <c r="CW135" s="32" t="s">
        <v>407</v>
      </c>
      <c r="CX135" t="s">
        <v>83</v>
      </c>
      <c r="CY135" t="s">
        <v>407</v>
      </c>
      <c r="CZ135" t="s">
        <v>408</v>
      </c>
      <c r="DA135" t="s">
        <v>407</v>
      </c>
      <c r="DB135" t="s">
        <v>598</v>
      </c>
      <c r="DC135" t="s">
        <v>407</v>
      </c>
      <c r="DD135" t="s">
        <v>599</v>
      </c>
      <c r="DE135" t="str">
        <f t="shared" si="5"/>
        <v>%IF(K51%"Poplar","PAINT",IF(K51%"Red Oak","SGO",IF(K51%"Maple","SM","SPPN")))</v>
      </c>
      <c r="DO135" t="s">
        <v>505</v>
      </c>
    </row>
    <row r="136" spans="6:119" x14ac:dyDescent="0.25">
      <c r="F136" t="s">
        <v>191</v>
      </c>
      <c r="H136" t="s">
        <v>251</v>
      </c>
      <c r="M136" t="s">
        <v>313</v>
      </c>
      <c r="O136" t="s">
        <v>341</v>
      </c>
      <c r="T136" t="s">
        <v>344</v>
      </c>
      <c r="U136" t="s">
        <v>345</v>
      </c>
      <c r="V136" t="s">
        <v>346</v>
      </c>
      <c r="W136" t="s">
        <v>379</v>
      </c>
      <c r="X136" t="s">
        <v>344</v>
      </c>
      <c r="Y136" t="s">
        <v>407</v>
      </c>
      <c r="Z136" t="s">
        <v>27</v>
      </c>
      <c r="AA136" t="s">
        <v>407</v>
      </c>
      <c r="AB136" t="s">
        <v>408</v>
      </c>
      <c r="AC136" t="s">
        <v>407</v>
      </c>
      <c r="AD136" t="s">
        <v>27</v>
      </c>
      <c r="AE136" t="s">
        <v>407</v>
      </c>
      <c r="AF136" t="s">
        <v>408</v>
      </c>
      <c r="AG136" t="s">
        <v>345</v>
      </c>
      <c r="AH136" t="s">
        <v>346</v>
      </c>
      <c r="AI136" t="s">
        <v>379</v>
      </c>
      <c r="AJ136" t="s">
        <v>344</v>
      </c>
      <c r="AK136" t="s">
        <v>407</v>
      </c>
      <c r="AL136" t="s">
        <v>279</v>
      </c>
      <c r="AM136" t="s">
        <v>407</v>
      </c>
      <c r="AN136" t="s">
        <v>408</v>
      </c>
      <c r="AO136" t="s">
        <v>407</v>
      </c>
      <c r="AP136" t="s">
        <v>53</v>
      </c>
      <c r="AQ136" t="s">
        <v>407</v>
      </c>
      <c r="AR136" t="s">
        <v>408</v>
      </c>
      <c r="AS136" t="s">
        <v>407</v>
      </c>
      <c r="AT136" t="s">
        <v>407</v>
      </c>
      <c r="AU136" t="s">
        <v>409</v>
      </c>
      <c r="AV136" t="s">
        <v>409</v>
      </c>
      <c r="AW136" t="str">
        <f t="shared" si="4"/>
        <v>#if(J51#"JE","JE",if(J51#"Drilled","JC",""))</v>
      </c>
      <c r="BC136" t="s">
        <v>445</v>
      </c>
      <c r="BJ136" t="s">
        <v>508</v>
      </c>
      <c r="BQ136" t="s">
        <v>600</v>
      </c>
      <c r="BR136" t="s">
        <v>346</v>
      </c>
      <c r="BS136" t="s">
        <v>568</v>
      </c>
      <c r="BT136" t="s">
        <v>596</v>
      </c>
      <c r="BU136" t="s">
        <v>407</v>
      </c>
      <c r="BV136" t="s">
        <v>157</v>
      </c>
      <c r="BW136" t="s">
        <v>407</v>
      </c>
      <c r="BX136" t="s">
        <v>408</v>
      </c>
      <c r="BY136" t="s">
        <v>407</v>
      </c>
      <c r="BZ136" t="s">
        <v>80</v>
      </c>
      <c r="CA136" t="s">
        <v>407</v>
      </c>
      <c r="CB136" t="s">
        <v>408</v>
      </c>
      <c r="CC136" t="s">
        <v>597</v>
      </c>
      <c r="CD136" t="s">
        <v>346</v>
      </c>
      <c r="CE136" t="s">
        <v>568</v>
      </c>
      <c r="CF136" t="s">
        <v>596</v>
      </c>
      <c r="CG136" s="32" t="s">
        <v>407</v>
      </c>
      <c r="CH136" t="s">
        <v>411</v>
      </c>
      <c r="CI136" t="s">
        <v>407</v>
      </c>
      <c r="CJ136" t="s">
        <v>408</v>
      </c>
      <c r="CK136" s="32" t="s">
        <v>407</v>
      </c>
      <c r="CL136" t="s">
        <v>29</v>
      </c>
      <c r="CM136" t="s">
        <v>407</v>
      </c>
      <c r="CN136" t="s">
        <v>408</v>
      </c>
      <c r="CO136" t="s">
        <v>597</v>
      </c>
      <c r="CP136" t="s">
        <v>346</v>
      </c>
      <c r="CQ136" t="s">
        <v>568</v>
      </c>
      <c r="CR136" t="s">
        <v>596</v>
      </c>
      <c r="CS136" s="32" t="s">
        <v>407</v>
      </c>
      <c r="CT136" t="s">
        <v>475</v>
      </c>
      <c r="CU136" t="s">
        <v>407</v>
      </c>
      <c r="CV136" t="s">
        <v>408</v>
      </c>
      <c r="CW136" s="32" t="s">
        <v>407</v>
      </c>
      <c r="CX136" t="s">
        <v>83</v>
      </c>
      <c r="CY136" t="s">
        <v>407</v>
      </c>
      <c r="CZ136" t="s">
        <v>408</v>
      </c>
      <c r="DA136" t="s">
        <v>407</v>
      </c>
      <c r="DB136" t="s">
        <v>598</v>
      </c>
      <c r="DC136" t="s">
        <v>407</v>
      </c>
      <c r="DD136" t="s">
        <v>599</v>
      </c>
      <c r="DE136" t="str">
        <f t="shared" si="5"/>
        <v>%IF(K51%"Poplar","PAINT",IF(K51%"Red Oak","SGO",IF(K51%"Maple","SM","SPPN")))</v>
      </c>
      <c r="DO136" t="s">
        <v>505</v>
      </c>
    </row>
    <row r="137" spans="6:119" x14ac:dyDescent="0.25">
      <c r="F137" t="s">
        <v>192</v>
      </c>
      <c r="H137" t="s">
        <v>252</v>
      </c>
      <c r="M137" t="s">
        <v>314</v>
      </c>
      <c r="O137" t="s">
        <v>341</v>
      </c>
      <c r="T137" t="s">
        <v>344</v>
      </c>
      <c r="U137" t="s">
        <v>345</v>
      </c>
      <c r="V137" t="s">
        <v>346</v>
      </c>
      <c r="W137" t="s">
        <v>380</v>
      </c>
      <c r="X137" t="s">
        <v>344</v>
      </c>
      <c r="Y137" t="s">
        <v>407</v>
      </c>
      <c r="Z137" t="s">
        <v>27</v>
      </c>
      <c r="AA137" t="s">
        <v>407</v>
      </c>
      <c r="AB137" t="s">
        <v>408</v>
      </c>
      <c r="AC137" t="s">
        <v>407</v>
      </c>
      <c r="AD137" t="s">
        <v>27</v>
      </c>
      <c r="AE137" t="s">
        <v>407</v>
      </c>
      <c r="AF137" t="s">
        <v>408</v>
      </c>
      <c r="AG137" t="s">
        <v>345</v>
      </c>
      <c r="AH137" t="s">
        <v>346</v>
      </c>
      <c r="AI137" t="s">
        <v>380</v>
      </c>
      <c r="AJ137" t="s">
        <v>344</v>
      </c>
      <c r="AK137" t="s">
        <v>407</v>
      </c>
      <c r="AL137" t="s">
        <v>279</v>
      </c>
      <c r="AM137" t="s">
        <v>407</v>
      </c>
      <c r="AN137" t="s">
        <v>408</v>
      </c>
      <c r="AO137" t="s">
        <v>407</v>
      </c>
      <c r="AP137" t="s">
        <v>53</v>
      </c>
      <c r="AQ137" t="s">
        <v>407</v>
      </c>
      <c r="AR137" t="s">
        <v>408</v>
      </c>
      <c r="AS137" t="s">
        <v>407</v>
      </c>
      <c r="AT137" t="s">
        <v>407</v>
      </c>
      <c r="AU137" t="s">
        <v>409</v>
      </c>
      <c r="AV137" t="s">
        <v>409</v>
      </c>
      <c r="AW137" t="str">
        <f t="shared" si="4"/>
        <v>#if(J52#"JE","JE",if(J52#"Drilled","JC",""))</v>
      </c>
      <c r="BC137" t="s">
        <v>446</v>
      </c>
      <c r="BJ137" t="s">
        <v>509</v>
      </c>
      <c r="BQ137" t="s">
        <v>600</v>
      </c>
      <c r="BR137" t="s">
        <v>346</v>
      </c>
      <c r="BS137" t="s">
        <v>569</v>
      </c>
      <c r="BT137" t="s">
        <v>596</v>
      </c>
      <c r="BU137" t="s">
        <v>407</v>
      </c>
      <c r="BV137" t="s">
        <v>157</v>
      </c>
      <c r="BW137" t="s">
        <v>407</v>
      </c>
      <c r="BX137" t="s">
        <v>408</v>
      </c>
      <c r="BY137" t="s">
        <v>407</v>
      </c>
      <c r="BZ137" t="s">
        <v>80</v>
      </c>
      <c r="CA137" t="s">
        <v>407</v>
      </c>
      <c r="CB137" t="s">
        <v>408</v>
      </c>
      <c r="CC137" t="s">
        <v>597</v>
      </c>
      <c r="CD137" t="s">
        <v>346</v>
      </c>
      <c r="CE137" t="s">
        <v>569</v>
      </c>
      <c r="CF137" t="s">
        <v>596</v>
      </c>
      <c r="CG137" s="32" t="s">
        <v>407</v>
      </c>
      <c r="CH137" t="s">
        <v>411</v>
      </c>
      <c r="CI137" t="s">
        <v>407</v>
      </c>
      <c r="CJ137" t="s">
        <v>408</v>
      </c>
      <c r="CK137" s="32" t="s">
        <v>407</v>
      </c>
      <c r="CL137" t="s">
        <v>29</v>
      </c>
      <c r="CM137" t="s">
        <v>407</v>
      </c>
      <c r="CN137" t="s">
        <v>408</v>
      </c>
      <c r="CO137" t="s">
        <v>597</v>
      </c>
      <c r="CP137" t="s">
        <v>346</v>
      </c>
      <c r="CQ137" t="s">
        <v>569</v>
      </c>
      <c r="CR137" t="s">
        <v>596</v>
      </c>
      <c r="CS137" s="32" t="s">
        <v>407</v>
      </c>
      <c r="CT137" t="s">
        <v>475</v>
      </c>
      <c r="CU137" t="s">
        <v>407</v>
      </c>
      <c r="CV137" t="s">
        <v>408</v>
      </c>
      <c r="CW137" s="32" t="s">
        <v>407</v>
      </c>
      <c r="CX137" t="s">
        <v>83</v>
      </c>
      <c r="CY137" t="s">
        <v>407</v>
      </c>
      <c r="CZ137" t="s">
        <v>408</v>
      </c>
      <c r="DA137" t="s">
        <v>407</v>
      </c>
      <c r="DB137" t="s">
        <v>598</v>
      </c>
      <c r="DC137" t="s">
        <v>407</v>
      </c>
      <c r="DD137" t="s">
        <v>599</v>
      </c>
      <c r="DE137" t="str">
        <f t="shared" si="5"/>
        <v>%IF(K52%"Poplar","PAINT",IF(K52%"Red Oak","SGO",IF(K52%"Maple","SM","SPPN")))</v>
      </c>
      <c r="DO137" t="s">
        <v>505</v>
      </c>
    </row>
    <row r="138" spans="6:119" x14ac:dyDescent="0.25">
      <c r="F138" t="s">
        <v>192</v>
      </c>
      <c r="H138" t="s">
        <v>252</v>
      </c>
      <c r="M138" t="s">
        <v>314</v>
      </c>
      <c r="O138" t="s">
        <v>341</v>
      </c>
      <c r="T138" t="s">
        <v>344</v>
      </c>
      <c r="U138" t="s">
        <v>345</v>
      </c>
      <c r="V138" t="s">
        <v>346</v>
      </c>
      <c r="W138" t="s">
        <v>380</v>
      </c>
      <c r="X138" t="s">
        <v>344</v>
      </c>
      <c r="Y138" t="s">
        <v>407</v>
      </c>
      <c r="Z138" t="s">
        <v>27</v>
      </c>
      <c r="AA138" t="s">
        <v>407</v>
      </c>
      <c r="AB138" t="s">
        <v>408</v>
      </c>
      <c r="AC138" t="s">
        <v>407</v>
      </c>
      <c r="AD138" t="s">
        <v>27</v>
      </c>
      <c r="AE138" t="s">
        <v>407</v>
      </c>
      <c r="AF138" t="s">
        <v>408</v>
      </c>
      <c r="AG138" t="s">
        <v>345</v>
      </c>
      <c r="AH138" t="s">
        <v>346</v>
      </c>
      <c r="AI138" t="s">
        <v>380</v>
      </c>
      <c r="AJ138" t="s">
        <v>344</v>
      </c>
      <c r="AK138" t="s">
        <v>407</v>
      </c>
      <c r="AL138" t="s">
        <v>279</v>
      </c>
      <c r="AM138" t="s">
        <v>407</v>
      </c>
      <c r="AN138" t="s">
        <v>408</v>
      </c>
      <c r="AO138" t="s">
        <v>407</v>
      </c>
      <c r="AP138" t="s">
        <v>53</v>
      </c>
      <c r="AQ138" t="s">
        <v>407</v>
      </c>
      <c r="AR138" t="s">
        <v>408</v>
      </c>
      <c r="AS138" t="s">
        <v>407</v>
      </c>
      <c r="AT138" t="s">
        <v>407</v>
      </c>
      <c r="AU138" t="s">
        <v>409</v>
      </c>
      <c r="AV138" t="s">
        <v>409</v>
      </c>
      <c r="AW138" t="str">
        <f t="shared" si="4"/>
        <v>#if(J52#"JE","JE",if(J52#"Drilled","JC",""))</v>
      </c>
      <c r="BC138" t="s">
        <v>446</v>
      </c>
      <c r="BJ138" t="s">
        <v>509</v>
      </c>
      <c r="BQ138" t="s">
        <v>600</v>
      </c>
      <c r="BR138" t="s">
        <v>346</v>
      </c>
      <c r="BS138" t="s">
        <v>569</v>
      </c>
      <c r="BT138" t="s">
        <v>596</v>
      </c>
      <c r="BU138" t="s">
        <v>407</v>
      </c>
      <c r="BV138" t="s">
        <v>157</v>
      </c>
      <c r="BW138" t="s">
        <v>407</v>
      </c>
      <c r="BX138" t="s">
        <v>408</v>
      </c>
      <c r="BY138" t="s">
        <v>407</v>
      </c>
      <c r="BZ138" t="s">
        <v>80</v>
      </c>
      <c r="CA138" t="s">
        <v>407</v>
      </c>
      <c r="CB138" t="s">
        <v>408</v>
      </c>
      <c r="CC138" t="s">
        <v>597</v>
      </c>
      <c r="CD138" t="s">
        <v>346</v>
      </c>
      <c r="CE138" t="s">
        <v>569</v>
      </c>
      <c r="CF138" t="s">
        <v>596</v>
      </c>
      <c r="CG138" s="32" t="s">
        <v>407</v>
      </c>
      <c r="CH138" t="s">
        <v>411</v>
      </c>
      <c r="CI138" t="s">
        <v>407</v>
      </c>
      <c r="CJ138" t="s">
        <v>408</v>
      </c>
      <c r="CK138" s="32" t="s">
        <v>407</v>
      </c>
      <c r="CL138" t="s">
        <v>29</v>
      </c>
      <c r="CM138" t="s">
        <v>407</v>
      </c>
      <c r="CN138" t="s">
        <v>408</v>
      </c>
      <c r="CO138" t="s">
        <v>597</v>
      </c>
      <c r="CP138" t="s">
        <v>346</v>
      </c>
      <c r="CQ138" t="s">
        <v>569</v>
      </c>
      <c r="CR138" t="s">
        <v>596</v>
      </c>
      <c r="CS138" s="32" t="s">
        <v>407</v>
      </c>
      <c r="CT138" t="s">
        <v>475</v>
      </c>
      <c r="CU138" t="s">
        <v>407</v>
      </c>
      <c r="CV138" t="s">
        <v>408</v>
      </c>
      <c r="CW138" s="32" t="s">
        <v>407</v>
      </c>
      <c r="CX138" t="s">
        <v>83</v>
      </c>
      <c r="CY138" t="s">
        <v>407</v>
      </c>
      <c r="CZ138" t="s">
        <v>408</v>
      </c>
      <c r="DA138" t="s">
        <v>407</v>
      </c>
      <c r="DB138" t="s">
        <v>598</v>
      </c>
      <c r="DC138" t="s">
        <v>407</v>
      </c>
      <c r="DD138" t="s">
        <v>599</v>
      </c>
      <c r="DE138" t="str">
        <f t="shared" si="5"/>
        <v>%IF(K52%"Poplar","PAINT",IF(K52%"Red Oak","SGO",IF(K52%"Maple","SM","SPPN")))</v>
      </c>
      <c r="DO138" t="s">
        <v>505</v>
      </c>
    </row>
    <row r="139" spans="6:119" x14ac:dyDescent="0.25">
      <c r="F139" t="s">
        <v>192</v>
      </c>
      <c r="H139" t="s">
        <v>252</v>
      </c>
      <c r="M139" t="s">
        <v>314</v>
      </c>
      <c r="O139" t="s">
        <v>341</v>
      </c>
      <c r="T139" t="s">
        <v>344</v>
      </c>
      <c r="U139" t="s">
        <v>345</v>
      </c>
      <c r="V139" t="s">
        <v>346</v>
      </c>
      <c r="W139" t="s">
        <v>380</v>
      </c>
      <c r="X139" t="s">
        <v>344</v>
      </c>
      <c r="Y139" t="s">
        <v>407</v>
      </c>
      <c r="Z139" t="s">
        <v>27</v>
      </c>
      <c r="AA139" t="s">
        <v>407</v>
      </c>
      <c r="AB139" t="s">
        <v>408</v>
      </c>
      <c r="AC139" t="s">
        <v>407</v>
      </c>
      <c r="AD139" t="s">
        <v>27</v>
      </c>
      <c r="AE139" t="s">
        <v>407</v>
      </c>
      <c r="AF139" t="s">
        <v>408</v>
      </c>
      <c r="AG139" t="s">
        <v>345</v>
      </c>
      <c r="AH139" t="s">
        <v>346</v>
      </c>
      <c r="AI139" t="s">
        <v>380</v>
      </c>
      <c r="AJ139" t="s">
        <v>344</v>
      </c>
      <c r="AK139" t="s">
        <v>407</v>
      </c>
      <c r="AL139" t="s">
        <v>279</v>
      </c>
      <c r="AM139" t="s">
        <v>407</v>
      </c>
      <c r="AN139" t="s">
        <v>408</v>
      </c>
      <c r="AO139" t="s">
        <v>407</v>
      </c>
      <c r="AP139" t="s">
        <v>53</v>
      </c>
      <c r="AQ139" t="s">
        <v>407</v>
      </c>
      <c r="AR139" t="s">
        <v>408</v>
      </c>
      <c r="AS139" t="s">
        <v>407</v>
      </c>
      <c r="AT139" t="s">
        <v>407</v>
      </c>
      <c r="AU139" t="s">
        <v>409</v>
      </c>
      <c r="AV139" t="s">
        <v>409</v>
      </c>
      <c r="AW139" t="str">
        <f t="shared" si="4"/>
        <v>#if(J52#"JE","JE",if(J52#"Drilled","JC",""))</v>
      </c>
      <c r="BC139" t="s">
        <v>446</v>
      </c>
      <c r="BJ139" t="s">
        <v>509</v>
      </c>
      <c r="BQ139" t="s">
        <v>600</v>
      </c>
      <c r="BR139" t="s">
        <v>346</v>
      </c>
      <c r="BS139" t="s">
        <v>569</v>
      </c>
      <c r="BT139" t="s">
        <v>596</v>
      </c>
      <c r="BU139" t="s">
        <v>407</v>
      </c>
      <c r="BV139" t="s">
        <v>157</v>
      </c>
      <c r="BW139" t="s">
        <v>407</v>
      </c>
      <c r="BX139" t="s">
        <v>408</v>
      </c>
      <c r="BY139" t="s">
        <v>407</v>
      </c>
      <c r="BZ139" t="s">
        <v>80</v>
      </c>
      <c r="CA139" t="s">
        <v>407</v>
      </c>
      <c r="CB139" t="s">
        <v>408</v>
      </c>
      <c r="CC139" t="s">
        <v>597</v>
      </c>
      <c r="CD139" t="s">
        <v>346</v>
      </c>
      <c r="CE139" t="s">
        <v>569</v>
      </c>
      <c r="CF139" t="s">
        <v>596</v>
      </c>
      <c r="CG139" s="32" t="s">
        <v>407</v>
      </c>
      <c r="CH139" t="s">
        <v>411</v>
      </c>
      <c r="CI139" t="s">
        <v>407</v>
      </c>
      <c r="CJ139" t="s">
        <v>408</v>
      </c>
      <c r="CK139" s="32" t="s">
        <v>407</v>
      </c>
      <c r="CL139" t="s">
        <v>29</v>
      </c>
      <c r="CM139" t="s">
        <v>407</v>
      </c>
      <c r="CN139" t="s">
        <v>408</v>
      </c>
      <c r="CO139" t="s">
        <v>597</v>
      </c>
      <c r="CP139" t="s">
        <v>346</v>
      </c>
      <c r="CQ139" t="s">
        <v>569</v>
      </c>
      <c r="CR139" t="s">
        <v>596</v>
      </c>
      <c r="CS139" s="32" t="s">
        <v>407</v>
      </c>
      <c r="CT139" t="s">
        <v>475</v>
      </c>
      <c r="CU139" t="s">
        <v>407</v>
      </c>
      <c r="CV139" t="s">
        <v>408</v>
      </c>
      <c r="CW139" s="32" t="s">
        <v>407</v>
      </c>
      <c r="CX139" t="s">
        <v>83</v>
      </c>
      <c r="CY139" t="s">
        <v>407</v>
      </c>
      <c r="CZ139" t="s">
        <v>408</v>
      </c>
      <c r="DA139" t="s">
        <v>407</v>
      </c>
      <c r="DB139" t="s">
        <v>598</v>
      </c>
      <c r="DC139" t="s">
        <v>407</v>
      </c>
      <c r="DD139" t="s">
        <v>599</v>
      </c>
      <c r="DE139" t="str">
        <f t="shared" si="5"/>
        <v>%IF(K52%"Poplar","PAINT",IF(K52%"Red Oak","SGO",IF(K52%"Maple","SM","SPPN")))</v>
      </c>
      <c r="DO139" t="s">
        <v>506</v>
      </c>
    </row>
    <row r="140" spans="6:119" x14ac:dyDescent="0.25">
      <c r="F140" t="s">
        <v>192</v>
      </c>
      <c r="H140" t="s">
        <v>252</v>
      </c>
      <c r="M140" t="s">
        <v>314</v>
      </c>
      <c r="O140" t="s">
        <v>341</v>
      </c>
      <c r="T140" t="s">
        <v>344</v>
      </c>
      <c r="U140" t="s">
        <v>345</v>
      </c>
      <c r="V140" t="s">
        <v>346</v>
      </c>
      <c r="W140" t="s">
        <v>380</v>
      </c>
      <c r="X140" t="s">
        <v>344</v>
      </c>
      <c r="Y140" t="s">
        <v>407</v>
      </c>
      <c r="Z140" t="s">
        <v>27</v>
      </c>
      <c r="AA140" t="s">
        <v>407</v>
      </c>
      <c r="AB140" t="s">
        <v>408</v>
      </c>
      <c r="AC140" t="s">
        <v>407</v>
      </c>
      <c r="AD140" t="s">
        <v>27</v>
      </c>
      <c r="AE140" t="s">
        <v>407</v>
      </c>
      <c r="AF140" t="s">
        <v>408</v>
      </c>
      <c r="AG140" t="s">
        <v>345</v>
      </c>
      <c r="AH140" t="s">
        <v>346</v>
      </c>
      <c r="AI140" t="s">
        <v>380</v>
      </c>
      <c r="AJ140" t="s">
        <v>344</v>
      </c>
      <c r="AK140" t="s">
        <v>407</v>
      </c>
      <c r="AL140" t="s">
        <v>279</v>
      </c>
      <c r="AM140" t="s">
        <v>407</v>
      </c>
      <c r="AN140" t="s">
        <v>408</v>
      </c>
      <c r="AO140" t="s">
        <v>407</v>
      </c>
      <c r="AP140" t="s">
        <v>53</v>
      </c>
      <c r="AQ140" t="s">
        <v>407</v>
      </c>
      <c r="AR140" t="s">
        <v>408</v>
      </c>
      <c r="AS140" t="s">
        <v>407</v>
      </c>
      <c r="AT140" t="s">
        <v>407</v>
      </c>
      <c r="AU140" t="s">
        <v>409</v>
      </c>
      <c r="AV140" t="s">
        <v>409</v>
      </c>
      <c r="AW140" t="str">
        <f t="shared" si="4"/>
        <v>#if(J52#"JE","JE",if(J52#"Drilled","JC",""))</v>
      </c>
      <c r="BC140" t="s">
        <v>446</v>
      </c>
      <c r="BJ140" t="s">
        <v>509</v>
      </c>
      <c r="BQ140" t="s">
        <v>600</v>
      </c>
      <c r="BR140" t="s">
        <v>346</v>
      </c>
      <c r="BS140" t="s">
        <v>569</v>
      </c>
      <c r="BT140" t="s">
        <v>596</v>
      </c>
      <c r="BU140" t="s">
        <v>407</v>
      </c>
      <c r="BV140" t="s">
        <v>157</v>
      </c>
      <c r="BW140" t="s">
        <v>407</v>
      </c>
      <c r="BX140" t="s">
        <v>408</v>
      </c>
      <c r="BY140" t="s">
        <v>407</v>
      </c>
      <c r="BZ140" t="s">
        <v>80</v>
      </c>
      <c r="CA140" t="s">
        <v>407</v>
      </c>
      <c r="CB140" t="s">
        <v>408</v>
      </c>
      <c r="CC140" t="s">
        <v>597</v>
      </c>
      <c r="CD140" t="s">
        <v>346</v>
      </c>
      <c r="CE140" t="s">
        <v>569</v>
      </c>
      <c r="CF140" t="s">
        <v>596</v>
      </c>
      <c r="CG140" s="32" t="s">
        <v>407</v>
      </c>
      <c r="CH140" t="s">
        <v>411</v>
      </c>
      <c r="CI140" t="s">
        <v>407</v>
      </c>
      <c r="CJ140" t="s">
        <v>408</v>
      </c>
      <c r="CK140" s="32" t="s">
        <v>407</v>
      </c>
      <c r="CL140" t="s">
        <v>29</v>
      </c>
      <c r="CM140" t="s">
        <v>407</v>
      </c>
      <c r="CN140" t="s">
        <v>408</v>
      </c>
      <c r="CO140" t="s">
        <v>597</v>
      </c>
      <c r="CP140" t="s">
        <v>346</v>
      </c>
      <c r="CQ140" t="s">
        <v>569</v>
      </c>
      <c r="CR140" t="s">
        <v>596</v>
      </c>
      <c r="CS140" s="32" t="s">
        <v>407</v>
      </c>
      <c r="CT140" t="s">
        <v>475</v>
      </c>
      <c r="CU140" t="s">
        <v>407</v>
      </c>
      <c r="CV140" t="s">
        <v>408</v>
      </c>
      <c r="CW140" s="32" t="s">
        <v>407</v>
      </c>
      <c r="CX140" t="s">
        <v>83</v>
      </c>
      <c r="CY140" t="s">
        <v>407</v>
      </c>
      <c r="CZ140" t="s">
        <v>408</v>
      </c>
      <c r="DA140" t="s">
        <v>407</v>
      </c>
      <c r="DB140" t="s">
        <v>598</v>
      </c>
      <c r="DC140" t="s">
        <v>407</v>
      </c>
      <c r="DD140" t="s">
        <v>599</v>
      </c>
      <c r="DE140" t="str">
        <f t="shared" si="5"/>
        <v>%IF(K52%"Poplar","PAINT",IF(K52%"Red Oak","SGO",IF(K52%"Maple","SM","SPPN")))</v>
      </c>
      <c r="DO140" t="s">
        <v>506</v>
      </c>
    </row>
    <row r="141" spans="6:119" x14ac:dyDescent="0.25">
      <c r="F141" t="s">
        <v>193</v>
      </c>
      <c r="H141" t="s">
        <v>253</v>
      </c>
      <c r="M141" t="s">
        <v>315</v>
      </c>
      <c r="O141" t="s">
        <v>341</v>
      </c>
      <c r="T141" t="s">
        <v>344</v>
      </c>
      <c r="U141" t="s">
        <v>345</v>
      </c>
      <c r="V141" t="s">
        <v>346</v>
      </c>
      <c r="W141" t="s">
        <v>381</v>
      </c>
      <c r="X141" t="s">
        <v>344</v>
      </c>
      <c r="Y141" t="s">
        <v>407</v>
      </c>
      <c r="Z141" t="s">
        <v>27</v>
      </c>
      <c r="AA141" t="s">
        <v>407</v>
      </c>
      <c r="AB141" t="s">
        <v>408</v>
      </c>
      <c r="AC141" t="s">
        <v>407</v>
      </c>
      <c r="AD141" t="s">
        <v>27</v>
      </c>
      <c r="AE141" t="s">
        <v>407</v>
      </c>
      <c r="AF141" t="s">
        <v>408</v>
      </c>
      <c r="AG141" t="s">
        <v>345</v>
      </c>
      <c r="AH141" t="s">
        <v>346</v>
      </c>
      <c r="AI141" t="s">
        <v>381</v>
      </c>
      <c r="AJ141" t="s">
        <v>344</v>
      </c>
      <c r="AK141" t="s">
        <v>407</v>
      </c>
      <c r="AL141" t="s">
        <v>279</v>
      </c>
      <c r="AM141" t="s">
        <v>407</v>
      </c>
      <c r="AN141" t="s">
        <v>408</v>
      </c>
      <c r="AO141" t="s">
        <v>407</v>
      </c>
      <c r="AP141" t="s">
        <v>53</v>
      </c>
      <c r="AQ141" t="s">
        <v>407</v>
      </c>
      <c r="AR141" t="s">
        <v>408</v>
      </c>
      <c r="AS141" t="s">
        <v>407</v>
      </c>
      <c r="AT141" t="s">
        <v>407</v>
      </c>
      <c r="AU141" t="s">
        <v>409</v>
      </c>
      <c r="AV141" t="s">
        <v>409</v>
      </c>
      <c r="AW141" t="str">
        <f t="shared" si="4"/>
        <v>#if(J53#"JE","JE",if(J53#"Drilled","JC",""))</v>
      </c>
      <c r="BC141" t="s">
        <v>447</v>
      </c>
      <c r="BJ141" t="s">
        <v>510</v>
      </c>
      <c r="BQ141" t="s">
        <v>600</v>
      </c>
      <c r="BR141" t="s">
        <v>346</v>
      </c>
      <c r="BS141" t="s">
        <v>570</v>
      </c>
      <c r="BT141" t="s">
        <v>596</v>
      </c>
      <c r="BU141" t="s">
        <v>407</v>
      </c>
      <c r="BV141" t="s">
        <v>157</v>
      </c>
      <c r="BW141" t="s">
        <v>407</v>
      </c>
      <c r="BX141" t="s">
        <v>408</v>
      </c>
      <c r="BY141" t="s">
        <v>407</v>
      </c>
      <c r="BZ141" t="s">
        <v>80</v>
      </c>
      <c r="CA141" t="s">
        <v>407</v>
      </c>
      <c r="CB141" t="s">
        <v>408</v>
      </c>
      <c r="CC141" t="s">
        <v>597</v>
      </c>
      <c r="CD141" t="s">
        <v>346</v>
      </c>
      <c r="CE141" t="s">
        <v>570</v>
      </c>
      <c r="CF141" t="s">
        <v>596</v>
      </c>
      <c r="CG141" s="32" t="s">
        <v>407</v>
      </c>
      <c r="CH141" t="s">
        <v>411</v>
      </c>
      <c r="CI141" t="s">
        <v>407</v>
      </c>
      <c r="CJ141" t="s">
        <v>408</v>
      </c>
      <c r="CK141" s="32" t="s">
        <v>407</v>
      </c>
      <c r="CL141" t="s">
        <v>29</v>
      </c>
      <c r="CM141" t="s">
        <v>407</v>
      </c>
      <c r="CN141" t="s">
        <v>408</v>
      </c>
      <c r="CO141" t="s">
        <v>597</v>
      </c>
      <c r="CP141" t="s">
        <v>346</v>
      </c>
      <c r="CQ141" t="s">
        <v>570</v>
      </c>
      <c r="CR141" t="s">
        <v>596</v>
      </c>
      <c r="CS141" s="32" t="s">
        <v>407</v>
      </c>
      <c r="CT141" t="s">
        <v>475</v>
      </c>
      <c r="CU141" t="s">
        <v>407</v>
      </c>
      <c r="CV141" t="s">
        <v>408</v>
      </c>
      <c r="CW141" s="32" t="s">
        <v>407</v>
      </c>
      <c r="CX141" t="s">
        <v>83</v>
      </c>
      <c r="CY141" t="s">
        <v>407</v>
      </c>
      <c r="CZ141" t="s">
        <v>408</v>
      </c>
      <c r="DA141" t="s">
        <v>407</v>
      </c>
      <c r="DB141" t="s">
        <v>598</v>
      </c>
      <c r="DC141" t="s">
        <v>407</v>
      </c>
      <c r="DD141" t="s">
        <v>599</v>
      </c>
      <c r="DE141" t="str">
        <f t="shared" si="5"/>
        <v>%IF(K53%"Poplar","PAINT",IF(K53%"Red Oak","SGO",IF(K53%"Maple","SM","SPPN")))</v>
      </c>
      <c r="DO141" t="s">
        <v>506</v>
      </c>
    </row>
    <row r="142" spans="6:119" x14ac:dyDescent="0.25">
      <c r="F142" t="s">
        <v>193</v>
      </c>
      <c r="H142" t="s">
        <v>253</v>
      </c>
      <c r="M142" t="s">
        <v>315</v>
      </c>
      <c r="O142" t="s">
        <v>341</v>
      </c>
      <c r="T142" t="s">
        <v>344</v>
      </c>
      <c r="U142" t="s">
        <v>345</v>
      </c>
      <c r="V142" t="s">
        <v>346</v>
      </c>
      <c r="W142" t="s">
        <v>381</v>
      </c>
      <c r="X142" t="s">
        <v>344</v>
      </c>
      <c r="Y142" t="s">
        <v>407</v>
      </c>
      <c r="Z142" t="s">
        <v>27</v>
      </c>
      <c r="AA142" t="s">
        <v>407</v>
      </c>
      <c r="AB142" t="s">
        <v>408</v>
      </c>
      <c r="AC142" t="s">
        <v>407</v>
      </c>
      <c r="AD142" t="s">
        <v>27</v>
      </c>
      <c r="AE142" t="s">
        <v>407</v>
      </c>
      <c r="AF142" t="s">
        <v>408</v>
      </c>
      <c r="AG142" t="s">
        <v>345</v>
      </c>
      <c r="AH142" t="s">
        <v>346</v>
      </c>
      <c r="AI142" t="s">
        <v>381</v>
      </c>
      <c r="AJ142" t="s">
        <v>344</v>
      </c>
      <c r="AK142" t="s">
        <v>407</v>
      </c>
      <c r="AL142" t="s">
        <v>279</v>
      </c>
      <c r="AM142" t="s">
        <v>407</v>
      </c>
      <c r="AN142" t="s">
        <v>408</v>
      </c>
      <c r="AO142" t="s">
        <v>407</v>
      </c>
      <c r="AP142" t="s">
        <v>53</v>
      </c>
      <c r="AQ142" t="s">
        <v>407</v>
      </c>
      <c r="AR142" t="s">
        <v>408</v>
      </c>
      <c r="AS142" t="s">
        <v>407</v>
      </c>
      <c r="AT142" t="s">
        <v>407</v>
      </c>
      <c r="AU142" t="s">
        <v>409</v>
      </c>
      <c r="AV142" t="s">
        <v>409</v>
      </c>
      <c r="AW142" t="str">
        <f t="shared" si="4"/>
        <v>#if(J53#"JE","JE",if(J53#"Drilled","JC",""))</v>
      </c>
      <c r="BC142" t="s">
        <v>447</v>
      </c>
      <c r="BJ142" t="s">
        <v>510</v>
      </c>
      <c r="BQ142" t="s">
        <v>600</v>
      </c>
      <c r="BR142" t="s">
        <v>346</v>
      </c>
      <c r="BS142" t="s">
        <v>570</v>
      </c>
      <c r="BT142" t="s">
        <v>596</v>
      </c>
      <c r="BU142" t="s">
        <v>407</v>
      </c>
      <c r="BV142" t="s">
        <v>157</v>
      </c>
      <c r="BW142" t="s">
        <v>407</v>
      </c>
      <c r="BX142" t="s">
        <v>408</v>
      </c>
      <c r="BY142" t="s">
        <v>407</v>
      </c>
      <c r="BZ142" t="s">
        <v>80</v>
      </c>
      <c r="CA142" t="s">
        <v>407</v>
      </c>
      <c r="CB142" t="s">
        <v>408</v>
      </c>
      <c r="CC142" t="s">
        <v>597</v>
      </c>
      <c r="CD142" t="s">
        <v>346</v>
      </c>
      <c r="CE142" t="s">
        <v>570</v>
      </c>
      <c r="CF142" t="s">
        <v>596</v>
      </c>
      <c r="CG142" s="32" t="s">
        <v>407</v>
      </c>
      <c r="CH142" t="s">
        <v>411</v>
      </c>
      <c r="CI142" t="s">
        <v>407</v>
      </c>
      <c r="CJ142" t="s">
        <v>408</v>
      </c>
      <c r="CK142" s="32" t="s">
        <v>407</v>
      </c>
      <c r="CL142" t="s">
        <v>29</v>
      </c>
      <c r="CM142" t="s">
        <v>407</v>
      </c>
      <c r="CN142" t="s">
        <v>408</v>
      </c>
      <c r="CO142" t="s">
        <v>597</v>
      </c>
      <c r="CP142" t="s">
        <v>346</v>
      </c>
      <c r="CQ142" t="s">
        <v>570</v>
      </c>
      <c r="CR142" t="s">
        <v>596</v>
      </c>
      <c r="CS142" s="32" t="s">
        <v>407</v>
      </c>
      <c r="CT142" t="s">
        <v>475</v>
      </c>
      <c r="CU142" t="s">
        <v>407</v>
      </c>
      <c r="CV142" t="s">
        <v>408</v>
      </c>
      <c r="CW142" s="32" t="s">
        <v>407</v>
      </c>
      <c r="CX142" t="s">
        <v>83</v>
      </c>
      <c r="CY142" t="s">
        <v>407</v>
      </c>
      <c r="CZ142" t="s">
        <v>408</v>
      </c>
      <c r="DA142" t="s">
        <v>407</v>
      </c>
      <c r="DB142" t="s">
        <v>598</v>
      </c>
      <c r="DC142" t="s">
        <v>407</v>
      </c>
      <c r="DD142" t="s">
        <v>599</v>
      </c>
      <c r="DE142" t="str">
        <f t="shared" si="5"/>
        <v>%IF(K53%"Poplar","PAINT",IF(K53%"Red Oak","SGO",IF(K53%"Maple","SM","SPPN")))</v>
      </c>
      <c r="DO142" t="s">
        <v>506</v>
      </c>
    </row>
    <row r="143" spans="6:119" x14ac:dyDescent="0.25">
      <c r="F143" t="s">
        <v>193</v>
      </c>
      <c r="H143" t="s">
        <v>253</v>
      </c>
      <c r="M143" t="s">
        <v>315</v>
      </c>
      <c r="O143" t="s">
        <v>341</v>
      </c>
      <c r="T143" t="s">
        <v>344</v>
      </c>
      <c r="U143" t="s">
        <v>345</v>
      </c>
      <c r="V143" t="s">
        <v>346</v>
      </c>
      <c r="W143" t="s">
        <v>381</v>
      </c>
      <c r="X143" t="s">
        <v>344</v>
      </c>
      <c r="Y143" t="s">
        <v>407</v>
      </c>
      <c r="Z143" t="s">
        <v>27</v>
      </c>
      <c r="AA143" t="s">
        <v>407</v>
      </c>
      <c r="AB143" t="s">
        <v>408</v>
      </c>
      <c r="AC143" t="s">
        <v>407</v>
      </c>
      <c r="AD143" t="s">
        <v>27</v>
      </c>
      <c r="AE143" t="s">
        <v>407</v>
      </c>
      <c r="AF143" t="s">
        <v>408</v>
      </c>
      <c r="AG143" t="s">
        <v>345</v>
      </c>
      <c r="AH143" t="s">
        <v>346</v>
      </c>
      <c r="AI143" t="s">
        <v>381</v>
      </c>
      <c r="AJ143" t="s">
        <v>344</v>
      </c>
      <c r="AK143" t="s">
        <v>407</v>
      </c>
      <c r="AL143" t="s">
        <v>279</v>
      </c>
      <c r="AM143" t="s">
        <v>407</v>
      </c>
      <c r="AN143" t="s">
        <v>408</v>
      </c>
      <c r="AO143" t="s">
        <v>407</v>
      </c>
      <c r="AP143" t="s">
        <v>53</v>
      </c>
      <c r="AQ143" t="s">
        <v>407</v>
      </c>
      <c r="AR143" t="s">
        <v>408</v>
      </c>
      <c r="AS143" t="s">
        <v>407</v>
      </c>
      <c r="AT143" t="s">
        <v>407</v>
      </c>
      <c r="AU143" t="s">
        <v>409</v>
      </c>
      <c r="AV143" t="s">
        <v>409</v>
      </c>
      <c r="AW143" t="str">
        <f t="shared" si="4"/>
        <v>#if(J53#"JE","JE",if(J53#"Drilled","JC",""))</v>
      </c>
      <c r="BC143" t="s">
        <v>447</v>
      </c>
      <c r="BJ143" t="s">
        <v>510</v>
      </c>
      <c r="BQ143" t="s">
        <v>600</v>
      </c>
      <c r="BR143" t="s">
        <v>346</v>
      </c>
      <c r="BS143" t="s">
        <v>570</v>
      </c>
      <c r="BT143" t="s">
        <v>596</v>
      </c>
      <c r="BU143" t="s">
        <v>407</v>
      </c>
      <c r="BV143" t="s">
        <v>157</v>
      </c>
      <c r="BW143" t="s">
        <v>407</v>
      </c>
      <c r="BX143" t="s">
        <v>408</v>
      </c>
      <c r="BY143" t="s">
        <v>407</v>
      </c>
      <c r="BZ143" t="s">
        <v>80</v>
      </c>
      <c r="CA143" t="s">
        <v>407</v>
      </c>
      <c r="CB143" t="s">
        <v>408</v>
      </c>
      <c r="CC143" t="s">
        <v>597</v>
      </c>
      <c r="CD143" t="s">
        <v>346</v>
      </c>
      <c r="CE143" t="s">
        <v>570</v>
      </c>
      <c r="CF143" t="s">
        <v>596</v>
      </c>
      <c r="CG143" s="32" t="s">
        <v>407</v>
      </c>
      <c r="CH143" t="s">
        <v>411</v>
      </c>
      <c r="CI143" t="s">
        <v>407</v>
      </c>
      <c r="CJ143" t="s">
        <v>408</v>
      </c>
      <c r="CK143" s="32" t="s">
        <v>407</v>
      </c>
      <c r="CL143" t="s">
        <v>29</v>
      </c>
      <c r="CM143" t="s">
        <v>407</v>
      </c>
      <c r="CN143" t="s">
        <v>408</v>
      </c>
      <c r="CO143" t="s">
        <v>597</v>
      </c>
      <c r="CP143" t="s">
        <v>346</v>
      </c>
      <c r="CQ143" t="s">
        <v>570</v>
      </c>
      <c r="CR143" t="s">
        <v>596</v>
      </c>
      <c r="CS143" s="32" t="s">
        <v>407</v>
      </c>
      <c r="CT143" t="s">
        <v>475</v>
      </c>
      <c r="CU143" t="s">
        <v>407</v>
      </c>
      <c r="CV143" t="s">
        <v>408</v>
      </c>
      <c r="CW143" s="32" t="s">
        <v>407</v>
      </c>
      <c r="CX143" t="s">
        <v>83</v>
      </c>
      <c r="CY143" t="s">
        <v>407</v>
      </c>
      <c r="CZ143" t="s">
        <v>408</v>
      </c>
      <c r="DA143" t="s">
        <v>407</v>
      </c>
      <c r="DB143" t="s">
        <v>598</v>
      </c>
      <c r="DC143" t="s">
        <v>407</v>
      </c>
      <c r="DD143" t="s">
        <v>599</v>
      </c>
      <c r="DE143" t="str">
        <f t="shared" si="5"/>
        <v>%IF(K53%"Poplar","PAINT",IF(K53%"Red Oak","SGO",IF(K53%"Maple","SM","SPPN")))</v>
      </c>
      <c r="DO143" t="s">
        <v>507</v>
      </c>
    </row>
    <row r="144" spans="6:119" x14ac:dyDescent="0.25">
      <c r="F144" t="s">
        <v>193</v>
      </c>
      <c r="H144" t="s">
        <v>253</v>
      </c>
      <c r="M144" t="s">
        <v>315</v>
      </c>
      <c r="O144" t="s">
        <v>341</v>
      </c>
      <c r="T144" t="s">
        <v>344</v>
      </c>
      <c r="U144" t="s">
        <v>345</v>
      </c>
      <c r="V144" t="s">
        <v>346</v>
      </c>
      <c r="W144" t="s">
        <v>381</v>
      </c>
      <c r="X144" t="s">
        <v>344</v>
      </c>
      <c r="Y144" t="s">
        <v>407</v>
      </c>
      <c r="Z144" t="s">
        <v>27</v>
      </c>
      <c r="AA144" t="s">
        <v>407</v>
      </c>
      <c r="AB144" t="s">
        <v>408</v>
      </c>
      <c r="AC144" t="s">
        <v>407</v>
      </c>
      <c r="AD144" t="s">
        <v>27</v>
      </c>
      <c r="AE144" t="s">
        <v>407</v>
      </c>
      <c r="AF144" t="s">
        <v>408</v>
      </c>
      <c r="AG144" t="s">
        <v>345</v>
      </c>
      <c r="AH144" t="s">
        <v>346</v>
      </c>
      <c r="AI144" t="s">
        <v>381</v>
      </c>
      <c r="AJ144" t="s">
        <v>344</v>
      </c>
      <c r="AK144" t="s">
        <v>407</v>
      </c>
      <c r="AL144" t="s">
        <v>279</v>
      </c>
      <c r="AM144" t="s">
        <v>407</v>
      </c>
      <c r="AN144" t="s">
        <v>408</v>
      </c>
      <c r="AO144" t="s">
        <v>407</v>
      </c>
      <c r="AP144" t="s">
        <v>53</v>
      </c>
      <c r="AQ144" t="s">
        <v>407</v>
      </c>
      <c r="AR144" t="s">
        <v>408</v>
      </c>
      <c r="AS144" t="s">
        <v>407</v>
      </c>
      <c r="AT144" t="s">
        <v>407</v>
      </c>
      <c r="AU144" t="s">
        <v>409</v>
      </c>
      <c r="AV144" t="s">
        <v>409</v>
      </c>
      <c r="AW144" t="str">
        <f t="shared" si="4"/>
        <v>#if(J53#"JE","JE",if(J53#"Drilled","JC",""))</v>
      </c>
      <c r="BC144" t="s">
        <v>447</v>
      </c>
      <c r="BJ144" t="s">
        <v>510</v>
      </c>
      <c r="BQ144" t="s">
        <v>600</v>
      </c>
      <c r="BR144" t="s">
        <v>346</v>
      </c>
      <c r="BS144" t="s">
        <v>570</v>
      </c>
      <c r="BT144" t="s">
        <v>596</v>
      </c>
      <c r="BU144" t="s">
        <v>407</v>
      </c>
      <c r="BV144" t="s">
        <v>157</v>
      </c>
      <c r="BW144" t="s">
        <v>407</v>
      </c>
      <c r="BX144" t="s">
        <v>408</v>
      </c>
      <c r="BY144" t="s">
        <v>407</v>
      </c>
      <c r="BZ144" t="s">
        <v>80</v>
      </c>
      <c r="CA144" t="s">
        <v>407</v>
      </c>
      <c r="CB144" t="s">
        <v>408</v>
      </c>
      <c r="CC144" t="s">
        <v>597</v>
      </c>
      <c r="CD144" t="s">
        <v>346</v>
      </c>
      <c r="CE144" t="s">
        <v>570</v>
      </c>
      <c r="CF144" t="s">
        <v>596</v>
      </c>
      <c r="CG144" s="32" t="s">
        <v>407</v>
      </c>
      <c r="CH144" t="s">
        <v>411</v>
      </c>
      <c r="CI144" t="s">
        <v>407</v>
      </c>
      <c r="CJ144" t="s">
        <v>408</v>
      </c>
      <c r="CK144" s="32" t="s">
        <v>407</v>
      </c>
      <c r="CL144" t="s">
        <v>29</v>
      </c>
      <c r="CM144" t="s">
        <v>407</v>
      </c>
      <c r="CN144" t="s">
        <v>408</v>
      </c>
      <c r="CO144" t="s">
        <v>597</v>
      </c>
      <c r="CP144" t="s">
        <v>346</v>
      </c>
      <c r="CQ144" t="s">
        <v>570</v>
      </c>
      <c r="CR144" t="s">
        <v>596</v>
      </c>
      <c r="CS144" s="32" t="s">
        <v>407</v>
      </c>
      <c r="CT144" t="s">
        <v>475</v>
      </c>
      <c r="CU144" t="s">
        <v>407</v>
      </c>
      <c r="CV144" t="s">
        <v>408</v>
      </c>
      <c r="CW144" s="32" t="s">
        <v>407</v>
      </c>
      <c r="CX144" t="s">
        <v>83</v>
      </c>
      <c r="CY144" t="s">
        <v>407</v>
      </c>
      <c r="CZ144" t="s">
        <v>408</v>
      </c>
      <c r="DA144" t="s">
        <v>407</v>
      </c>
      <c r="DB144" t="s">
        <v>598</v>
      </c>
      <c r="DC144" t="s">
        <v>407</v>
      </c>
      <c r="DD144" t="s">
        <v>599</v>
      </c>
      <c r="DE144" t="str">
        <f t="shared" si="5"/>
        <v>%IF(K53%"Poplar","PAINT",IF(K53%"Red Oak","SGO",IF(K53%"Maple","SM","SPPN")))</v>
      </c>
      <c r="DO144" t="s">
        <v>507</v>
      </c>
    </row>
    <row r="145" spans="6:119" x14ac:dyDescent="0.25">
      <c r="F145" t="s">
        <v>194</v>
      </c>
      <c r="H145" t="s">
        <v>254</v>
      </c>
      <c r="M145" t="s">
        <v>316</v>
      </c>
      <c r="O145" t="s">
        <v>341</v>
      </c>
      <c r="T145" t="s">
        <v>344</v>
      </c>
      <c r="U145" t="s">
        <v>345</v>
      </c>
      <c r="V145" t="s">
        <v>346</v>
      </c>
      <c r="W145" t="s">
        <v>382</v>
      </c>
      <c r="X145" t="s">
        <v>344</v>
      </c>
      <c r="Y145" t="s">
        <v>407</v>
      </c>
      <c r="Z145" t="s">
        <v>27</v>
      </c>
      <c r="AA145" t="s">
        <v>407</v>
      </c>
      <c r="AB145" t="s">
        <v>408</v>
      </c>
      <c r="AC145" t="s">
        <v>407</v>
      </c>
      <c r="AD145" t="s">
        <v>27</v>
      </c>
      <c r="AE145" t="s">
        <v>407</v>
      </c>
      <c r="AF145" t="s">
        <v>408</v>
      </c>
      <c r="AG145" t="s">
        <v>345</v>
      </c>
      <c r="AH145" t="s">
        <v>346</v>
      </c>
      <c r="AI145" t="s">
        <v>382</v>
      </c>
      <c r="AJ145" t="s">
        <v>344</v>
      </c>
      <c r="AK145" t="s">
        <v>407</v>
      </c>
      <c r="AL145" t="s">
        <v>279</v>
      </c>
      <c r="AM145" t="s">
        <v>407</v>
      </c>
      <c r="AN145" t="s">
        <v>408</v>
      </c>
      <c r="AO145" t="s">
        <v>407</v>
      </c>
      <c r="AP145" t="s">
        <v>53</v>
      </c>
      <c r="AQ145" t="s">
        <v>407</v>
      </c>
      <c r="AR145" t="s">
        <v>408</v>
      </c>
      <c r="AS145" t="s">
        <v>407</v>
      </c>
      <c r="AT145" t="s">
        <v>407</v>
      </c>
      <c r="AU145" t="s">
        <v>409</v>
      </c>
      <c r="AV145" t="s">
        <v>409</v>
      </c>
      <c r="AW145" t="str">
        <f t="shared" si="4"/>
        <v>#if(J54#"JE","JE",if(J54#"Drilled","JC",""))</v>
      </c>
      <c r="BC145" t="s">
        <v>448</v>
      </c>
      <c r="BJ145" t="s">
        <v>511</v>
      </c>
      <c r="BQ145" t="s">
        <v>600</v>
      </c>
      <c r="BR145" t="s">
        <v>346</v>
      </c>
      <c r="BS145" t="s">
        <v>571</v>
      </c>
      <c r="BT145" t="s">
        <v>596</v>
      </c>
      <c r="BU145" t="s">
        <v>407</v>
      </c>
      <c r="BV145" t="s">
        <v>157</v>
      </c>
      <c r="BW145" t="s">
        <v>407</v>
      </c>
      <c r="BX145" t="s">
        <v>408</v>
      </c>
      <c r="BY145" t="s">
        <v>407</v>
      </c>
      <c r="BZ145" t="s">
        <v>80</v>
      </c>
      <c r="CA145" t="s">
        <v>407</v>
      </c>
      <c r="CB145" t="s">
        <v>408</v>
      </c>
      <c r="CC145" t="s">
        <v>597</v>
      </c>
      <c r="CD145" t="s">
        <v>346</v>
      </c>
      <c r="CE145" t="s">
        <v>571</v>
      </c>
      <c r="CF145" t="s">
        <v>596</v>
      </c>
      <c r="CG145" s="32" t="s">
        <v>407</v>
      </c>
      <c r="CH145" t="s">
        <v>411</v>
      </c>
      <c r="CI145" t="s">
        <v>407</v>
      </c>
      <c r="CJ145" t="s">
        <v>408</v>
      </c>
      <c r="CK145" s="32" t="s">
        <v>407</v>
      </c>
      <c r="CL145" t="s">
        <v>29</v>
      </c>
      <c r="CM145" t="s">
        <v>407</v>
      </c>
      <c r="CN145" t="s">
        <v>408</v>
      </c>
      <c r="CO145" t="s">
        <v>597</v>
      </c>
      <c r="CP145" t="s">
        <v>346</v>
      </c>
      <c r="CQ145" t="s">
        <v>571</v>
      </c>
      <c r="CR145" t="s">
        <v>596</v>
      </c>
      <c r="CS145" s="32" t="s">
        <v>407</v>
      </c>
      <c r="CT145" t="s">
        <v>475</v>
      </c>
      <c r="CU145" t="s">
        <v>407</v>
      </c>
      <c r="CV145" t="s">
        <v>408</v>
      </c>
      <c r="CW145" s="32" t="s">
        <v>407</v>
      </c>
      <c r="CX145" t="s">
        <v>83</v>
      </c>
      <c r="CY145" t="s">
        <v>407</v>
      </c>
      <c r="CZ145" t="s">
        <v>408</v>
      </c>
      <c r="DA145" t="s">
        <v>407</v>
      </c>
      <c r="DB145" t="s">
        <v>598</v>
      </c>
      <c r="DC145" t="s">
        <v>407</v>
      </c>
      <c r="DD145" t="s">
        <v>599</v>
      </c>
      <c r="DE145" t="str">
        <f t="shared" si="5"/>
        <v>%IF(K54%"Poplar","PAINT",IF(K54%"Red Oak","SGO",IF(K54%"Maple","SM","SPPN")))</v>
      </c>
      <c r="DO145" t="s">
        <v>507</v>
      </c>
    </row>
    <row r="146" spans="6:119" x14ac:dyDescent="0.25">
      <c r="F146" t="s">
        <v>194</v>
      </c>
      <c r="H146" t="s">
        <v>254</v>
      </c>
      <c r="M146" t="s">
        <v>316</v>
      </c>
      <c r="O146" t="s">
        <v>341</v>
      </c>
      <c r="T146" t="s">
        <v>344</v>
      </c>
      <c r="U146" t="s">
        <v>345</v>
      </c>
      <c r="V146" t="s">
        <v>346</v>
      </c>
      <c r="W146" t="s">
        <v>382</v>
      </c>
      <c r="X146" t="s">
        <v>344</v>
      </c>
      <c r="Y146" t="s">
        <v>407</v>
      </c>
      <c r="Z146" t="s">
        <v>27</v>
      </c>
      <c r="AA146" t="s">
        <v>407</v>
      </c>
      <c r="AB146" t="s">
        <v>408</v>
      </c>
      <c r="AC146" t="s">
        <v>407</v>
      </c>
      <c r="AD146" t="s">
        <v>27</v>
      </c>
      <c r="AE146" t="s">
        <v>407</v>
      </c>
      <c r="AF146" t="s">
        <v>408</v>
      </c>
      <c r="AG146" t="s">
        <v>345</v>
      </c>
      <c r="AH146" t="s">
        <v>346</v>
      </c>
      <c r="AI146" t="s">
        <v>382</v>
      </c>
      <c r="AJ146" t="s">
        <v>344</v>
      </c>
      <c r="AK146" t="s">
        <v>407</v>
      </c>
      <c r="AL146" t="s">
        <v>279</v>
      </c>
      <c r="AM146" t="s">
        <v>407</v>
      </c>
      <c r="AN146" t="s">
        <v>408</v>
      </c>
      <c r="AO146" t="s">
        <v>407</v>
      </c>
      <c r="AP146" t="s">
        <v>53</v>
      </c>
      <c r="AQ146" t="s">
        <v>407</v>
      </c>
      <c r="AR146" t="s">
        <v>408</v>
      </c>
      <c r="AS146" t="s">
        <v>407</v>
      </c>
      <c r="AT146" t="s">
        <v>407</v>
      </c>
      <c r="AU146" t="s">
        <v>409</v>
      </c>
      <c r="AV146" t="s">
        <v>409</v>
      </c>
      <c r="AW146" t="str">
        <f t="shared" si="4"/>
        <v>#if(J54#"JE","JE",if(J54#"Drilled","JC",""))</v>
      </c>
      <c r="BC146" t="s">
        <v>448</v>
      </c>
      <c r="BJ146" t="s">
        <v>511</v>
      </c>
      <c r="BQ146" t="s">
        <v>600</v>
      </c>
      <c r="BR146" t="s">
        <v>346</v>
      </c>
      <c r="BS146" t="s">
        <v>571</v>
      </c>
      <c r="BT146" t="s">
        <v>596</v>
      </c>
      <c r="BU146" t="s">
        <v>407</v>
      </c>
      <c r="BV146" t="s">
        <v>157</v>
      </c>
      <c r="BW146" t="s">
        <v>407</v>
      </c>
      <c r="BX146" t="s">
        <v>408</v>
      </c>
      <c r="BY146" t="s">
        <v>407</v>
      </c>
      <c r="BZ146" t="s">
        <v>80</v>
      </c>
      <c r="CA146" t="s">
        <v>407</v>
      </c>
      <c r="CB146" t="s">
        <v>408</v>
      </c>
      <c r="CC146" t="s">
        <v>597</v>
      </c>
      <c r="CD146" t="s">
        <v>346</v>
      </c>
      <c r="CE146" t="s">
        <v>571</v>
      </c>
      <c r="CF146" t="s">
        <v>596</v>
      </c>
      <c r="CG146" s="32" t="s">
        <v>407</v>
      </c>
      <c r="CH146" t="s">
        <v>411</v>
      </c>
      <c r="CI146" t="s">
        <v>407</v>
      </c>
      <c r="CJ146" t="s">
        <v>408</v>
      </c>
      <c r="CK146" s="32" t="s">
        <v>407</v>
      </c>
      <c r="CL146" t="s">
        <v>29</v>
      </c>
      <c r="CM146" t="s">
        <v>407</v>
      </c>
      <c r="CN146" t="s">
        <v>408</v>
      </c>
      <c r="CO146" t="s">
        <v>597</v>
      </c>
      <c r="CP146" t="s">
        <v>346</v>
      </c>
      <c r="CQ146" t="s">
        <v>571</v>
      </c>
      <c r="CR146" t="s">
        <v>596</v>
      </c>
      <c r="CS146" s="32" t="s">
        <v>407</v>
      </c>
      <c r="CT146" t="s">
        <v>475</v>
      </c>
      <c r="CU146" t="s">
        <v>407</v>
      </c>
      <c r="CV146" t="s">
        <v>408</v>
      </c>
      <c r="CW146" s="32" t="s">
        <v>407</v>
      </c>
      <c r="CX146" t="s">
        <v>83</v>
      </c>
      <c r="CY146" t="s">
        <v>407</v>
      </c>
      <c r="CZ146" t="s">
        <v>408</v>
      </c>
      <c r="DA146" t="s">
        <v>407</v>
      </c>
      <c r="DB146" t="s">
        <v>598</v>
      </c>
      <c r="DC146" t="s">
        <v>407</v>
      </c>
      <c r="DD146" t="s">
        <v>599</v>
      </c>
      <c r="DE146" t="str">
        <f t="shared" si="5"/>
        <v>%IF(K54%"Poplar","PAINT",IF(K54%"Red Oak","SGO",IF(K54%"Maple","SM","SPPN")))</v>
      </c>
      <c r="DO146" t="s">
        <v>507</v>
      </c>
    </row>
    <row r="147" spans="6:119" x14ac:dyDescent="0.25">
      <c r="F147" t="s">
        <v>194</v>
      </c>
      <c r="H147" t="s">
        <v>254</v>
      </c>
      <c r="M147" t="s">
        <v>316</v>
      </c>
      <c r="O147" t="s">
        <v>341</v>
      </c>
      <c r="T147" t="s">
        <v>344</v>
      </c>
      <c r="U147" t="s">
        <v>345</v>
      </c>
      <c r="V147" t="s">
        <v>346</v>
      </c>
      <c r="W147" t="s">
        <v>382</v>
      </c>
      <c r="X147" t="s">
        <v>344</v>
      </c>
      <c r="Y147" t="s">
        <v>407</v>
      </c>
      <c r="Z147" t="s">
        <v>27</v>
      </c>
      <c r="AA147" t="s">
        <v>407</v>
      </c>
      <c r="AB147" t="s">
        <v>408</v>
      </c>
      <c r="AC147" t="s">
        <v>407</v>
      </c>
      <c r="AD147" t="s">
        <v>27</v>
      </c>
      <c r="AE147" t="s">
        <v>407</v>
      </c>
      <c r="AF147" t="s">
        <v>408</v>
      </c>
      <c r="AG147" t="s">
        <v>345</v>
      </c>
      <c r="AH147" t="s">
        <v>346</v>
      </c>
      <c r="AI147" t="s">
        <v>382</v>
      </c>
      <c r="AJ147" t="s">
        <v>344</v>
      </c>
      <c r="AK147" t="s">
        <v>407</v>
      </c>
      <c r="AL147" t="s">
        <v>279</v>
      </c>
      <c r="AM147" t="s">
        <v>407</v>
      </c>
      <c r="AN147" t="s">
        <v>408</v>
      </c>
      <c r="AO147" t="s">
        <v>407</v>
      </c>
      <c r="AP147" t="s">
        <v>53</v>
      </c>
      <c r="AQ147" t="s">
        <v>407</v>
      </c>
      <c r="AR147" t="s">
        <v>408</v>
      </c>
      <c r="AS147" t="s">
        <v>407</v>
      </c>
      <c r="AT147" t="s">
        <v>407</v>
      </c>
      <c r="AU147" t="s">
        <v>409</v>
      </c>
      <c r="AV147" t="s">
        <v>409</v>
      </c>
      <c r="AW147" t="str">
        <f t="shared" si="4"/>
        <v>#if(J54#"JE","JE",if(J54#"Drilled","JC",""))</v>
      </c>
      <c r="BC147" t="s">
        <v>448</v>
      </c>
      <c r="BJ147" t="s">
        <v>511</v>
      </c>
      <c r="BQ147" t="s">
        <v>600</v>
      </c>
      <c r="BR147" t="s">
        <v>346</v>
      </c>
      <c r="BS147" t="s">
        <v>571</v>
      </c>
      <c r="BT147" t="s">
        <v>596</v>
      </c>
      <c r="BU147" t="s">
        <v>407</v>
      </c>
      <c r="BV147" t="s">
        <v>157</v>
      </c>
      <c r="BW147" t="s">
        <v>407</v>
      </c>
      <c r="BX147" t="s">
        <v>408</v>
      </c>
      <c r="BY147" t="s">
        <v>407</v>
      </c>
      <c r="BZ147" t="s">
        <v>80</v>
      </c>
      <c r="CA147" t="s">
        <v>407</v>
      </c>
      <c r="CB147" t="s">
        <v>408</v>
      </c>
      <c r="CC147" t="s">
        <v>597</v>
      </c>
      <c r="CD147" t="s">
        <v>346</v>
      </c>
      <c r="CE147" t="s">
        <v>571</v>
      </c>
      <c r="CF147" t="s">
        <v>596</v>
      </c>
      <c r="CG147" s="32" t="s">
        <v>407</v>
      </c>
      <c r="CH147" t="s">
        <v>411</v>
      </c>
      <c r="CI147" t="s">
        <v>407</v>
      </c>
      <c r="CJ147" t="s">
        <v>408</v>
      </c>
      <c r="CK147" s="32" t="s">
        <v>407</v>
      </c>
      <c r="CL147" t="s">
        <v>29</v>
      </c>
      <c r="CM147" t="s">
        <v>407</v>
      </c>
      <c r="CN147" t="s">
        <v>408</v>
      </c>
      <c r="CO147" t="s">
        <v>597</v>
      </c>
      <c r="CP147" t="s">
        <v>346</v>
      </c>
      <c r="CQ147" t="s">
        <v>571</v>
      </c>
      <c r="CR147" t="s">
        <v>596</v>
      </c>
      <c r="CS147" s="32" t="s">
        <v>407</v>
      </c>
      <c r="CT147" t="s">
        <v>475</v>
      </c>
      <c r="CU147" t="s">
        <v>407</v>
      </c>
      <c r="CV147" t="s">
        <v>408</v>
      </c>
      <c r="CW147" s="32" t="s">
        <v>407</v>
      </c>
      <c r="CX147" t="s">
        <v>83</v>
      </c>
      <c r="CY147" t="s">
        <v>407</v>
      </c>
      <c r="CZ147" t="s">
        <v>408</v>
      </c>
      <c r="DA147" t="s">
        <v>407</v>
      </c>
      <c r="DB147" t="s">
        <v>598</v>
      </c>
      <c r="DC147" t="s">
        <v>407</v>
      </c>
      <c r="DD147" t="s">
        <v>599</v>
      </c>
      <c r="DE147" t="str">
        <f t="shared" si="5"/>
        <v>%IF(K54%"Poplar","PAINT",IF(K54%"Red Oak","SGO",IF(K54%"Maple","SM","SPPN")))</v>
      </c>
      <c r="DO147" t="s">
        <v>508</v>
      </c>
    </row>
    <row r="148" spans="6:119" x14ac:dyDescent="0.25">
      <c r="F148" t="s">
        <v>194</v>
      </c>
      <c r="H148" t="s">
        <v>254</v>
      </c>
      <c r="M148" t="s">
        <v>316</v>
      </c>
      <c r="O148" t="s">
        <v>341</v>
      </c>
      <c r="T148" t="s">
        <v>344</v>
      </c>
      <c r="U148" t="s">
        <v>345</v>
      </c>
      <c r="V148" t="s">
        <v>346</v>
      </c>
      <c r="W148" t="s">
        <v>382</v>
      </c>
      <c r="X148" t="s">
        <v>344</v>
      </c>
      <c r="Y148" t="s">
        <v>407</v>
      </c>
      <c r="Z148" t="s">
        <v>27</v>
      </c>
      <c r="AA148" t="s">
        <v>407</v>
      </c>
      <c r="AB148" t="s">
        <v>408</v>
      </c>
      <c r="AC148" t="s">
        <v>407</v>
      </c>
      <c r="AD148" t="s">
        <v>27</v>
      </c>
      <c r="AE148" t="s">
        <v>407</v>
      </c>
      <c r="AF148" t="s">
        <v>408</v>
      </c>
      <c r="AG148" t="s">
        <v>345</v>
      </c>
      <c r="AH148" t="s">
        <v>346</v>
      </c>
      <c r="AI148" t="s">
        <v>382</v>
      </c>
      <c r="AJ148" t="s">
        <v>344</v>
      </c>
      <c r="AK148" t="s">
        <v>407</v>
      </c>
      <c r="AL148" t="s">
        <v>279</v>
      </c>
      <c r="AM148" t="s">
        <v>407</v>
      </c>
      <c r="AN148" t="s">
        <v>408</v>
      </c>
      <c r="AO148" t="s">
        <v>407</v>
      </c>
      <c r="AP148" t="s">
        <v>53</v>
      </c>
      <c r="AQ148" t="s">
        <v>407</v>
      </c>
      <c r="AR148" t="s">
        <v>408</v>
      </c>
      <c r="AS148" t="s">
        <v>407</v>
      </c>
      <c r="AT148" t="s">
        <v>407</v>
      </c>
      <c r="AU148" t="s">
        <v>409</v>
      </c>
      <c r="AV148" t="s">
        <v>409</v>
      </c>
      <c r="AW148" t="str">
        <f t="shared" si="4"/>
        <v>#if(J54#"JE","JE",if(J54#"Drilled","JC",""))</v>
      </c>
      <c r="BC148" t="s">
        <v>448</v>
      </c>
      <c r="BJ148" t="s">
        <v>511</v>
      </c>
      <c r="BQ148" t="s">
        <v>600</v>
      </c>
      <c r="BR148" t="s">
        <v>346</v>
      </c>
      <c r="BS148" t="s">
        <v>571</v>
      </c>
      <c r="BT148" t="s">
        <v>596</v>
      </c>
      <c r="BU148" t="s">
        <v>407</v>
      </c>
      <c r="BV148" t="s">
        <v>157</v>
      </c>
      <c r="BW148" t="s">
        <v>407</v>
      </c>
      <c r="BX148" t="s">
        <v>408</v>
      </c>
      <c r="BY148" t="s">
        <v>407</v>
      </c>
      <c r="BZ148" t="s">
        <v>80</v>
      </c>
      <c r="CA148" t="s">
        <v>407</v>
      </c>
      <c r="CB148" t="s">
        <v>408</v>
      </c>
      <c r="CC148" t="s">
        <v>597</v>
      </c>
      <c r="CD148" t="s">
        <v>346</v>
      </c>
      <c r="CE148" t="s">
        <v>571</v>
      </c>
      <c r="CF148" t="s">
        <v>596</v>
      </c>
      <c r="CG148" s="32" t="s">
        <v>407</v>
      </c>
      <c r="CH148" t="s">
        <v>411</v>
      </c>
      <c r="CI148" t="s">
        <v>407</v>
      </c>
      <c r="CJ148" t="s">
        <v>408</v>
      </c>
      <c r="CK148" s="32" t="s">
        <v>407</v>
      </c>
      <c r="CL148" t="s">
        <v>29</v>
      </c>
      <c r="CM148" t="s">
        <v>407</v>
      </c>
      <c r="CN148" t="s">
        <v>408</v>
      </c>
      <c r="CO148" t="s">
        <v>597</v>
      </c>
      <c r="CP148" t="s">
        <v>346</v>
      </c>
      <c r="CQ148" t="s">
        <v>571</v>
      </c>
      <c r="CR148" t="s">
        <v>596</v>
      </c>
      <c r="CS148" s="32" t="s">
        <v>407</v>
      </c>
      <c r="CT148" t="s">
        <v>475</v>
      </c>
      <c r="CU148" t="s">
        <v>407</v>
      </c>
      <c r="CV148" t="s">
        <v>408</v>
      </c>
      <c r="CW148" s="32" t="s">
        <v>407</v>
      </c>
      <c r="CX148" t="s">
        <v>83</v>
      </c>
      <c r="CY148" t="s">
        <v>407</v>
      </c>
      <c r="CZ148" t="s">
        <v>408</v>
      </c>
      <c r="DA148" t="s">
        <v>407</v>
      </c>
      <c r="DB148" t="s">
        <v>598</v>
      </c>
      <c r="DC148" t="s">
        <v>407</v>
      </c>
      <c r="DD148" t="s">
        <v>599</v>
      </c>
      <c r="DE148" t="str">
        <f t="shared" si="5"/>
        <v>%IF(K54%"Poplar","PAINT",IF(K54%"Red Oak","SGO",IF(K54%"Maple","SM","SPPN")))</v>
      </c>
      <c r="DO148" t="s">
        <v>508</v>
      </c>
    </row>
    <row r="149" spans="6:119" x14ac:dyDescent="0.25">
      <c r="F149" t="s">
        <v>195</v>
      </c>
      <c r="H149" t="s">
        <v>255</v>
      </c>
      <c r="M149" t="s">
        <v>317</v>
      </c>
      <c r="O149" t="s">
        <v>341</v>
      </c>
      <c r="T149" t="s">
        <v>344</v>
      </c>
      <c r="U149" t="s">
        <v>345</v>
      </c>
      <c r="V149" t="s">
        <v>346</v>
      </c>
      <c r="W149" t="s">
        <v>383</v>
      </c>
      <c r="X149" t="s">
        <v>344</v>
      </c>
      <c r="Y149" t="s">
        <v>407</v>
      </c>
      <c r="Z149" t="s">
        <v>27</v>
      </c>
      <c r="AA149" t="s">
        <v>407</v>
      </c>
      <c r="AB149" t="s">
        <v>408</v>
      </c>
      <c r="AC149" t="s">
        <v>407</v>
      </c>
      <c r="AD149" t="s">
        <v>27</v>
      </c>
      <c r="AE149" t="s">
        <v>407</v>
      </c>
      <c r="AF149" t="s">
        <v>408</v>
      </c>
      <c r="AG149" t="s">
        <v>345</v>
      </c>
      <c r="AH149" t="s">
        <v>346</v>
      </c>
      <c r="AI149" t="s">
        <v>383</v>
      </c>
      <c r="AJ149" t="s">
        <v>344</v>
      </c>
      <c r="AK149" t="s">
        <v>407</v>
      </c>
      <c r="AL149" t="s">
        <v>279</v>
      </c>
      <c r="AM149" t="s">
        <v>407</v>
      </c>
      <c r="AN149" t="s">
        <v>408</v>
      </c>
      <c r="AO149" t="s">
        <v>407</v>
      </c>
      <c r="AP149" t="s">
        <v>53</v>
      </c>
      <c r="AQ149" t="s">
        <v>407</v>
      </c>
      <c r="AR149" t="s">
        <v>408</v>
      </c>
      <c r="AS149" t="s">
        <v>407</v>
      </c>
      <c r="AT149" t="s">
        <v>407</v>
      </c>
      <c r="AU149" t="s">
        <v>409</v>
      </c>
      <c r="AV149" t="s">
        <v>409</v>
      </c>
      <c r="AW149" t="str">
        <f t="shared" si="4"/>
        <v>#if(J55#"JE","JE",if(J55#"Drilled","JC",""))</v>
      </c>
      <c r="BC149" t="s">
        <v>449</v>
      </c>
      <c r="BJ149" t="s">
        <v>512</v>
      </c>
      <c r="BQ149" t="s">
        <v>600</v>
      </c>
      <c r="BR149" t="s">
        <v>346</v>
      </c>
      <c r="BS149" t="s">
        <v>572</v>
      </c>
      <c r="BT149" t="s">
        <v>596</v>
      </c>
      <c r="BU149" t="s">
        <v>407</v>
      </c>
      <c r="BV149" t="s">
        <v>157</v>
      </c>
      <c r="BW149" t="s">
        <v>407</v>
      </c>
      <c r="BX149" t="s">
        <v>408</v>
      </c>
      <c r="BY149" t="s">
        <v>407</v>
      </c>
      <c r="BZ149" t="s">
        <v>80</v>
      </c>
      <c r="CA149" t="s">
        <v>407</v>
      </c>
      <c r="CB149" t="s">
        <v>408</v>
      </c>
      <c r="CC149" t="s">
        <v>597</v>
      </c>
      <c r="CD149" t="s">
        <v>346</v>
      </c>
      <c r="CE149" t="s">
        <v>572</v>
      </c>
      <c r="CF149" t="s">
        <v>596</v>
      </c>
      <c r="CG149" s="32" t="s">
        <v>407</v>
      </c>
      <c r="CH149" t="s">
        <v>411</v>
      </c>
      <c r="CI149" t="s">
        <v>407</v>
      </c>
      <c r="CJ149" t="s">
        <v>408</v>
      </c>
      <c r="CK149" s="32" t="s">
        <v>407</v>
      </c>
      <c r="CL149" t="s">
        <v>29</v>
      </c>
      <c r="CM149" t="s">
        <v>407</v>
      </c>
      <c r="CN149" t="s">
        <v>408</v>
      </c>
      <c r="CO149" t="s">
        <v>597</v>
      </c>
      <c r="CP149" t="s">
        <v>346</v>
      </c>
      <c r="CQ149" t="s">
        <v>572</v>
      </c>
      <c r="CR149" t="s">
        <v>596</v>
      </c>
      <c r="CS149" s="32" t="s">
        <v>407</v>
      </c>
      <c r="CT149" t="s">
        <v>475</v>
      </c>
      <c r="CU149" t="s">
        <v>407</v>
      </c>
      <c r="CV149" t="s">
        <v>408</v>
      </c>
      <c r="CW149" s="32" t="s">
        <v>407</v>
      </c>
      <c r="CX149" t="s">
        <v>83</v>
      </c>
      <c r="CY149" t="s">
        <v>407</v>
      </c>
      <c r="CZ149" t="s">
        <v>408</v>
      </c>
      <c r="DA149" t="s">
        <v>407</v>
      </c>
      <c r="DB149" t="s">
        <v>598</v>
      </c>
      <c r="DC149" t="s">
        <v>407</v>
      </c>
      <c r="DD149" t="s">
        <v>599</v>
      </c>
      <c r="DE149" t="str">
        <f t="shared" si="5"/>
        <v>%IF(K55%"Poplar","PAINT",IF(K55%"Red Oak","SGO",IF(K55%"Maple","SM","SPPN")))</v>
      </c>
      <c r="DO149" t="s">
        <v>508</v>
      </c>
    </row>
    <row r="150" spans="6:119" x14ac:dyDescent="0.25">
      <c r="F150" t="s">
        <v>195</v>
      </c>
      <c r="H150" t="s">
        <v>255</v>
      </c>
      <c r="M150" t="s">
        <v>317</v>
      </c>
      <c r="O150" t="s">
        <v>341</v>
      </c>
      <c r="T150" t="s">
        <v>344</v>
      </c>
      <c r="U150" t="s">
        <v>345</v>
      </c>
      <c r="V150" t="s">
        <v>346</v>
      </c>
      <c r="W150" t="s">
        <v>383</v>
      </c>
      <c r="X150" t="s">
        <v>344</v>
      </c>
      <c r="Y150" t="s">
        <v>407</v>
      </c>
      <c r="Z150" t="s">
        <v>27</v>
      </c>
      <c r="AA150" t="s">
        <v>407</v>
      </c>
      <c r="AB150" t="s">
        <v>408</v>
      </c>
      <c r="AC150" t="s">
        <v>407</v>
      </c>
      <c r="AD150" t="s">
        <v>27</v>
      </c>
      <c r="AE150" t="s">
        <v>407</v>
      </c>
      <c r="AF150" t="s">
        <v>408</v>
      </c>
      <c r="AG150" t="s">
        <v>345</v>
      </c>
      <c r="AH150" t="s">
        <v>346</v>
      </c>
      <c r="AI150" t="s">
        <v>383</v>
      </c>
      <c r="AJ150" t="s">
        <v>344</v>
      </c>
      <c r="AK150" t="s">
        <v>407</v>
      </c>
      <c r="AL150" t="s">
        <v>279</v>
      </c>
      <c r="AM150" t="s">
        <v>407</v>
      </c>
      <c r="AN150" t="s">
        <v>408</v>
      </c>
      <c r="AO150" t="s">
        <v>407</v>
      </c>
      <c r="AP150" t="s">
        <v>53</v>
      </c>
      <c r="AQ150" t="s">
        <v>407</v>
      </c>
      <c r="AR150" t="s">
        <v>408</v>
      </c>
      <c r="AS150" t="s">
        <v>407</v>
      </c>
      <c r="AT150" t="s">
        <v>407</v>
      </c>
      <c r="AU150" t="s">
        <v>409</v>
      </c>
      <c r="AV150" t="s">
        <v>409</v>
      </c>
      <c r="AW150" t="str">
        <f t="shared" si="4"/>
        <v>#if(J55#"JE","JE",if(J55#"Drilled","JC",""))</v>
      </c>
      <c r="BC150" t="s">
        <v>449</v>
      </c>
      <c r="BJ150" t="s">
        <v>512</v>
      </c>
      <c r="BQ150" t="s">
        <v>600</v>
      </c>
      <c r="BR150" t="s">
        <v>346</v>
      </c>
      <c r="BS150" t="s">
        <v>572</v>
      </c>
      <c r="BT150" t="s">
        <v>596</v>
      </c>
      <c r="BU150" t="s">
        <v>407</v>
      </c>
      <c r="BV150" t="s">
        <v>157</v>
      </c>
      <c r="BW150" t="s">
        <v>407</v>
      </c>
      <c r="BX150" t="s">
        <v>408</v>
      </c>
      <c r="BY150" t="s">
        <v>407</v>
      </c>
      <c r="BZ150" t="s">
        <v>80</v>
      </c>
      <c r="CA150" t="s">
        <v>407</v>
      </c>
      <c r="CB150" t="s">
        <v>408</v>
      </c>
      <c r="CC150" t="s">
        <v>597</v>
      </c>
      <c r="CD150" t="s">
        <v>346</v>
      </c>
      <c r="CE150" t="s">
        <v>572</v>
      </c>
      <c r="CF150" t="s">
        <v>596</v>
      </c>
      <c r="CG150" s="32" t="s">
        <v>407</v>
      </c>
      <c r="CH150" t="s">
        <v>411</v>
      </c>
      <c r="CI150" t="s">
        <v>407</v>
      </c>
      <c r="CJ150" t="s">
        <v>408</v>
      </c>
      <c r="CK150" s="32" t="s">
        <v>407</v>
      </c>
      <c r="CL150" t="s">
        <v>29</v>
      </c>
      <c r="CM150" t="s">
        <v>407</v>
      </c>
      <c r="CN150" t="s">
        <v>408</v>
      </c>
      <c r="CO150" t="s">
        <v>597</v>
      </c>
      <c r="CP150" t="s">
        <v>346</v>
      </c>
      <c r="CQ150" t="s">
        <v>572</v>
      </c>
      <c r="CR150" t="s">
        <v>596</v>
      </c>
      <c r="CS150" s="32" t="s">
        <v>407</v>
      </c>
      <c r="CT150" t="s">
        <v>475</v>
      </c>
      <c r="CU150" t="s">
        <v>407</v>
      </c>
      <c r="CV150" t="s">
        <v>408</v>
      </c>
      <c r="CW150" s="32" t="s">
        <v>407</v>
      </c>
      <c r="CX150" t="s">
        <v>83</v>
      </c>
      <c r="CY150" t="s">
        <v>407</v>
      </c>
      <c r="CZ150" t="s">
        <v>408</v>
      </c>
      <c r="DA150" t="s">
        <v>407</v>
      </c>
      <c r="DB150" t="s">
        <v>598</v>
      </c>
      <c r="DC150" t="s">
        <v>407</v>
      </c>
      <c r="DD150" t="s">
        <v>599</v>
      </c>
      <c r="DE150" t="str">
        <f t="shared" si="5"/>
        <v>%IF(K55%"Poplar","PAINT",IF(K55%"Red Oak","SGO",IF(K55%"Maple","SM","SPPN")))</v>
      </c>
      <c r="DO150" t="s">
        <v>508</v>
      </c>
    </row>
    <row r="151" spans="6:119" x14ac:dyDescent="0.25">
      <c r="F151" t="s">
        <v>195</v>
      </c>
      <c r="H151" t="s">
        <v>255</v>
      </c>
      <c r="M151" t="s">
        <v>317</v>
      </c>
      <c r="O151" t="s">
        <v>341</v>
      </c>
      <c r="T151" t="s">
        <v>344</v>
      </c>
      <c r="U151" t="s">
        <v>345</v>
      </c>
      <c r="V151" t="s">
        <v>346</v>
      </c>
      <c r="W151" t="s">
        <v>383</v>
      </c>
      <c r="X151" t="s">
        <v>344</v>
      </c>
      <c r="Y151" t="s">
        <v>407</v>
      </c>
      <c r="Z151" t="s">
        <v>27</v>
      </c>
      <c r="AA151" t="s">
        <v>407</v>
      </c>
      <c r="AB151" t="s">
        <v>408</v>
      </c>
      <c r="AC151" t="s">
        <v>407</v>
      </c>
      <c r="AD151" t="s">
        <v>27</v>
      </c>
      <c r="AE151" t="s">
        <v>407</v>
      </c>
      <c r="AF151" t="s">
        <v>408</v>
      </c>
      <c r="AG151" t="s">
        <v>345</v>
      </c>
      <c r="AH151" t="s">
        <v>346</v>
      </c>
      <c r="AI151" t="s">
        <v>383</v>
      </c>
      <c r="AJ151" t="s">
        <v>344</v>
      </c>
      <c r="AK151" t="s">
        <v>407</v>
      </c>
      <c r="AL151" t="s">
        <v>279</v>
      </c>
      <c r="AM151" t="s">
        <v>407</v>
      </c>
      <c r="AN151" t="s">
        <v>408</v>
      </c>
      <c r="AO151" t="s">
        <v>407</v>
      </c>
      <c r="AP151" t="s">
        <v>53</v>
      </c>
      <c r="AQ151" t="s">
        <v>407</v>
      </c>
      <c r="AR151" t="s">
        <v>408</v>
      </c>
      <c r="AS151" t="s">
        <v>407</v>
      </c>
      <c r="AT151" t="s">
        <v>407</v>
      </c>
      <c r="AU151" t="s">
        <v>409</v>
      </c>
      <c r="AV151" t="s">
        <v>409</v>
      </c>
      <c r="AW151" t="str">
        <f t="shared" si="4"/>
        <v>#if(J55#"JE","JE",if(J55#"Drilled","JC",""))</v>
      </c>
      <c r="BC151" t="s">
        <v>449</v>
      </c>
      <c r="BJ151" t="s">
        <v>512</v>
      </c>
      <c r="BQ151" t="s">
        <v>600</v>
      </c>
      <c r="BR151" t="s">
        <v>346</v>
      </c>
      <c r="BS151" t="s">
        <v>572</v>
      </c>
      <c r="BT151" t="s">
        <v>596</v>
      </c>
      <c r="BU151" t="s">
        <v>407</v>
      </c>
      <c r="BV151" t="s">
        <v>157</v>
      </c>
      <c r="BW151" t="s">
        <v>407</v>
      </c>
      <c r="BX151" t="s">
        <v>408</v>
      </c>
      <c r="BY151" t="s">
        <v>407</v>
      </c>
      <c r="BZ151" t="s">
        <v>80</v>
      </c>
      <c r="CA151" t="s">
        <v>407</v>
      </c>
      <c r="CB151" t="s">
        <v>408</v>
      </c>
      <c r="CC151" t="s">
        <v>597</v>
      </c>
      <c r="CD151" t="s">
        <v>346</v>
      </c>
      <c r="CE151" t="s">
        <v>572</v>
      </c>
      <c r="CF151" t="s">
        <v>596</v>
      </c>
      <c r="CG151" s="32" t="s">
        <v>407</v>
      </c>
      <c r="CH151" t="s">
        <v>411</v>
      </c>
      <c r="CI151" t="s">
        <v>407</v>
      </c>
      <c r="CJ151" t="s">
        <v>408</v>
      </c>
      <c r="CK151" s="32" t="s">
        <v>407</v>
      </c>
      <c r="CL151" t="s">
        <v>29</v>
      </c>
      <c r="CM151" t="s">
        <v>407</v>
      </c>
      <c r="CN151" t="s">
        <v>408</v>
      </c>
      <c r="CO151" t="s">
        <v>597</v>
      </c>
      <c r="CP151" t="s">
        <v>346</v>
      </c>
      <c r="CQ151" t="s">
        <v>572</v>
      </c>
      <c r="CR151" t="s">
        <v>596</v>
      </c>
      <c r="CS151" s="32" t="s">
        <v>407</v>
      </c>
      <c r="CT151" t="s">
        <v>475</v>
      </c>
      <c r="CU151" t="s">
        <v>407</v>
      </c>
      <c r="CV151" t="s">
        <v>408</v>
      </c>
      <c r="CW151" s="32" t="s">
        <v>407</v>
      </c>
      <c r="CX151" t="s">
        <v>83</v>
      </c>
      <c r="CY151" t="s">
        <v>407</v>
      </c>
      <c r="CZ151" t="s">
        <v>408</v>
      </c>
      <c r="DA151" t="s">
        <v>407</v>
      </c>
      <c r="DB151" t="s">
        <v>598</v>
      </c>
      <c r="DC151" t="s">
        <v>407</v>
      </c>
      <c r="DD151" t="s">
        <v>599</v>
      </c>
      <c r="DE151" t="str">
        <f t="shared" si="5"/>
        <v>%IF(K55%"Poplar","PAINT",IF(K55%"Red Oak","SGO",IF(K55%"Maple","SM","SPPN")))</v>
      </c>
      <c r="DO151" t="s">
        <v>509</v>
      </c>
    </row>
    <row r="152" spans="6:119" x14ac:dyDescent="0.25">
      <c r="F152" t="s">
        <v>195</v>
      </c>
      <c r="H152" t="s">
        <v>255</v>
      </c>
      <c r="M152" t="s">
        <v>317</v>
      </c>
      <c r="O152" t="s">
        <v>341</v>
      </c>
      <c r="T152" t="s">
        <v>344</v>
      </c>
      <c r="U152" t="s">
        <v>345</v>
      </c>
      <c r="V152" t="s">
        <v>346</v>
      </c>
      <c r="W152" t="s">
        <v>383</v>
      </c>
      <c r="X152" t="s">
        <v>344</v>
      </c>
      <c r="Y152" t="s">
        <v>407</v>
      </c>
      <c r="Z152" t="s">
        <v>27</v>
      </c>
      <c r="AA152" t="s">
        <v>407</v>
      </c>
      <c r="AB152" t="s">
        <v>408</v>
      </c>
      <c r="AC152" t="s">
        <v>407</v>
      </c>
      <c r="AD152" t="s">
        <v>27</v>
      </c>
      <c r="AE152" t="s">
        <v>407</v>
      </c>
      <c r="AF152" t="s">
        <v>408</v>
      </c>
      <c r="AG152" t="s">
        <v>345</v>
      </c>
      <c r="AH152" t="s">
        <v>346</v>
      </c>
      <c r="AI152" t="s">
        <v>383</v>
      </c>
      <c r="AJ152" t="s">
        <v>344</v>
      </c>
      <c r="AK152" t="s">
        <v>407</v>
      </c>
      <c r="AL152" t="s">
        <v>279</v>
      </c>
      <c r="AM152" t="s">
        <v>407</v>
      </c>
      <c r="AN152" t="s">
        <v>408</v>
      </c>
      <c r="AO152" t="s">
        <v>407</v>
      </c>
      <c r="AP152" t="s">
        <v>53</v>
      </c>
      <c r="AQ152" t="s">
        <v>407</v>
      </c>
      <c r="AR152" t="s">
        <v>408</v>
      </c>
      <c r="AS152" t="s">
        <v>407</v>
      </c>
      <c r="AT152" t="s">
        <v>407</v>
      </c>
      <c r="AU152" t="s">
        <v>409</v>
      </c>
      <c r="AV152" t="s">
        <v>409</v>
      </c>
      <c r="AW152" t="str">
        <f t="shared" si="4"/>
        <v>#if(J55#"JE","JE",if(J55#"Drilled","JC",""))</v>
      </c>
      <c r="BC152" t="s">
        <v>449</v>
      </c>
      <c r="BJ152" t="s">
        <v>512</v>
      </c>
      <c r="BQ152" t="s">
        <v>600</v>
      </c>
      <c r="BR152" t="s">
        <v>346</v>
      </c>
      <c r="BS152" t="s">
        <v>572</v>
      </c>
      <c r="BT152" t="s">
        <v>596</v>
      </c>
      <c r="BU152" t="s">
        <v>407</v>
      </c>
      <c r="BV152" t="s">
        <v>157</v>
      </c>
      <c r="BW152" t="s">
        <v>407</v>
      </c>
      <c r="BX152" t="s">
        <v>408</v>
      </c>
      <c r="BY152" t="s">
        <v>407</v>
      </c>
      <c r="BZ152" t="s">
        <v>80</v>
      </c>
      <c r="CA152" t="s">
        <v>407</v>
      </c>
      <c r="CB152" t="s">
        <v>408</v>
      </c>
      <c r="CC152" t="s">
        <v>597</v>
      </c>
      <c r="CD152" t="s">
        <v>346</v>
      </c>
      <c r="CE152" t="s">
        <v>572</v>
      </c>
      <c r="CF152" t="s">
        <v>596</v>
      </c>
      <c r="CG152" s="32" t="s">
        <v>407</v>
      </c>
      <c r="CH152" t="s">
        <v>411</v>
      </c>
      <c r="CI152" t="s">
        <v>407</v>
      </c>
      <c r="CJ152" t="s">
        <v>408</v>
      </c>
      <c r="CK152" s="32" t="s">
        <v>407</v>
      </c>
      <c r="CL152" t="s">
        <v>29</v>
      </c>
      <c r="CM152" t="s">
        <v>407</v>
      </c>
      <c r="CN152" t="s">
        <v>408</v>
      </c>
      <c r="CO152" t="s">
        <v>597</v>
      </c>
      <c r="CP152" t="s">
        <v>346</v>
      </c>
      <c r="CQ152" t="s">
        <v>572</v>
      </c>
      <c r="CR152" t="s">
        <v>596</v>
      </c>
      <c r="CS152" s="32" t="s">
        <v>407</v>
      </c>
      <c r="CT152" t="s">
        <v>475</v>
      </c>
      <c r="CU152" t="s">
        <v>407</v>
      </c>
      <c r="CV152" t="s">
        <v>408</v>
      </c>
      <c r="CW152" s="32" t="s">
        <v>407</v>
      </c>
      <c r="CX152" t="s">
        <v>83</v>
      </c>
      <c r="CY152" t="s">
        <v>407</v>
      </c>
      <c r="CZ152" t="s">
        <v>408</v>
      </c>
      <c r="DA152" t="s">
        <v>407</v>
      </c>
      <c r="DB152" t="s">
        <v>598</v>
      </c>
      <c r="DC152" t="s">
        <v>407</v>
      </c>
      <c r="DD152" t="s">
        <v>599</v>
      </c>
      <c r="DE152" t="str">
        <f t="shared" si="5"/>
        <v>%IF(K55%"Poplar","PAINT",IF(K55%"Red Oak","SGO",IF(K55%"Maple","SM","SPPN")))</v>
      </c>
      <c r="DO152" t="s">
        <v>509</v>
      </c>
    </row>
    <row r="153" spans="6:119" x14ac:dyDescent="0.25">
      <c r="F153" t="s">
        <v>196</v>
      </c>
      <c r="H153" t="s">
        <v>256</v>
      </c>
      <c r="M153" t="s">
        <v>318</v>
      </c>
      <c r="O153" t="s">
        <v>341</v>
      </c>
      <c r="T153" t="s">
        <v>344</v>
      </c>
      <c r="U153" t="s">
        <v>345</v>
      </c>
      <c r="V153" t="s">
        <v>346</v>
      </c>
      <c r="W153" t="s">
        <v>384</v>
      </c>
      <c r="X153" t="s">
        <v>344</v>
      </c>
      <c r="Y153" t="s">
        <v>407</v>
      </c>
      <c r="Z153" t="s">
        <v>27</v>
      </c>
      <c r="AA153" t="s">
        <v>407</v>
      </c>
      <c r="AB153" t="s">
        <v>408</v>
      </c>
      <c r="AC153" t="s">
        <v>407</v>
      </c>
      <c r="AD153" t="s">
        <v>27</v>
      </c>
      <c r="AE153" t="s">
        <v>407</v>
      </c>
      <c r="AF153" t="s">
        <v>408</v>
      </c>
      <c r="AG153" t="s">
        <v>345</v>
      </c>
      <c r="AH153" t="s">
        <v>346</v>
      </c>
      <c r="AI153" t="s">
        <v>384</v>
      </c>
      <c r="AJ153" t="s">
        <v>344</v>
      </c>
      <c r="AK153" t="s">
        <v>407</v>
      </c>
      <c r="AL153" t="s">
        <v>279</v>
      </c>
      <c r="AM153" t="s">
        <v>407</v>
      </c>
      <c r="AN153" t="s">
        <v>408</v>
      </c>
      <c r="AO153" t="s">
        <v>407</v>
      </c>
      <c r="AP153" t="s">
        <v>53</v>
      </c>
      <c r="AQ153" t="s">
        <v>407</v>
      </c>
      <c r="AR153" t="s">
        <v>408</v>
      </c>
      <c r="AS153" t="s">
        <v>407</v>
      </c>
      <c r="AT153" t="s">
        <v>407</v>
      </c>
      <c r="AU153" t="s">
        <v>409</v>
      </c>
      <c r="AV153" t="s">
        <v>409</v>
      </c>
      <c r="AW153" t="str">
        <f t="shared" si="4"/>
        <v>#if(J56#"JE","JE",if(J56#"Drilled","JC",""))</v>
      </c>
      <c r="BC153" t="s">
        <v>450</v>
      </c>
      <c r="BJ153" t="s">
        <v>513</v>
      </c>
      <c r="BQ153" t="s">
        <v>600</v>
      </c>
      <c r="BR153" t="s">
        <v>346</v>
      </c>
      <c r="BS153" t="s">
        <v>573</v>
      </c>
      <c r="BT153" t="s">
        <v>596</v>
      </c>
      <c r="BU153" t="s">
        <v>407</v>
      </c>
      <c r="BV153" t="s">
        <v>157</v>
      </c>
      <c r="BW153" t="s">
        <v>407</v>
      </c>
      <c r="BX153" t="s">
        <v>408</v>
      </c>
      <c r="BY153" t="s">
        <v>407</v>
      </c>
      <c r="BZ153" t="s">
        <v>80</v>
      </c>
      <c r="CA153" t="s">
        <v>407</v>
      </c>
      <c r="CB153" t="s">
        <v>408</v>
      </c>
      <c r="CC153" t="s">
        <v>597</v>
      </c>
      <c r="CD153" t="s">
        <v>346</v>
      </c>
      <c r="CE153" t="s">
        <v>573</v>
      </c>
      <c r="CF153" t="s">
        <v>596</v>
      </c>
      <c r="CG153" s="32" t="s">
        <v>407</v>
      </c>
      <c r="CH153" t="s">
        <v>411</v>
      </c>
      <c r="CI153" t="s">
        <v>407</v>
      </c>
      <c r="CJ153" t="s">
        <v>408</v>
      </c>
      <c r="CK153" s="32" t="s">
        <v>407</v>
      </c>
      <c r="CL153" t="s">
        <v>29</v>
      </c>
      <c r="CM153" t="s">
        <v>407</v>
      </c>
      <c r="CN153" t="s">
        <v>408</v>
      </c>
      <c r="CO153" t="s">
        <v>597</v>
      </c>
      <c r="CP153" t="s">
        <v>346</v>
      </c>
      <c r="CQ153" t="s">
        <v>573</v>
      </c>
      <c r="CR153" t="s">
        <v>596</v>
      </c>
      <c r="CS153" s="32" t="s">
        <v>407</v>
      </c>
      <c r="CT153" t="s">
        <v>475</v>
      </c>
      <c r="CU153" t="s">
        <v>407</v>
      </c>
      <c r="CV153" t="s">
        <v>408</v>
      </c>
      <c r="CW153" s="32" t="s">
        <v>407</v>
      </c>
      <c r="CX153" t="s">
        <v>83</v>
      </c>
      <c r="CY153" t="s">
        <v>407</v>
      </c>
      <c r="CZ153" t="s">
        <v>408</v>
      </c>
      <c r="DA153" t="s">
        <v>407</v>
      </c>
      <c r="DB153" t="s">
        <v>598</v>
      </c>
      <c r="DC153" t="s">
        <v>407</v>
      </c>
      <c r="DD153" t="s">
        <v>599</v>
      </c>
      <c r="DE153" t="str">
        <f t="shared" si="5"/>
        <v>%IF(K56%"Poplar","PAINT",IF(K56%"Red Oak","SGO",IF(K56%"Maple","SM","SPPN")))</v>
      </c>
      <c r="DO153" t="s">
        <v>509</v>
      </c>
    </row>
    <row r="154" spans="6:119" x14ac:dyDescent="0.25">
      <c r="F154" t="s">
        <v>196</v>
      </c>
      <c r="H154" t="s">
        <v>256</v>
      </c>
      <c r="M154" t="s">
        <v>318</v>
      </c>
      <c r="O154" t="s">
        <v>341</v>
      </c>
      <c r="T154" t="s">
        <v>344</v>
      </c>
      <c r="U154" t="s">
        <v>345</v>
      </c>
      <c r="V154" t="s">
        <v>346</v>
      </c>
      <c r="W154" t="s">
        <v>384</v>
      </c>
      <c r="X154" t="s">
        <v>344</v>
      </c>
      <c r="Y154" t="s">
        <v>407</v>
      </c>
      <c r="Z154" t="s">
        <v>27</v>
      </c>
      <c r="AA154" t="s">
        <v>407</v>
      </c>
      <c r="AB154" t="s">
        <v>408</v>
      </c>
      <c r="AC154" t="s">
        <v>407</v>
      </c>
      <c r="AD154" t="s">
        <v>27</v>
      </c>
      <c r="AE154" t="s">
        <v>407</v>
      </c>
      <c r="AF154" t="s">
        <v>408</v>
      </c>
      <c r="AG154" t="s">
        <v>345</v>
      </c>
      <c r="AH154" t="s">
        <v>346</v>
      </c>
      <c r="AI154" t="s">
        <v>384</v>
      </c>
      <c r="AJ154" t="s">
        <v>344</v>
      </c>
      <c r="AK154" t="s">
        <v>407</v>
      </c>
      <c r="AL154" t="s">
        <v>279</v>
      </c>
      <c r="AM154" t="s">
        <v>407</v>
      </c>
      <c r="AN154" t="s">
        <v>408</v>
      </c>
      <c r="AO154" t="s">
        <v>407</v>
      </c>
      <c r="AP154" t="s">
        <v>53</v>
      </c>
      <c r="AQ154" t="s">
        <v>407</v>
      </c>
      <c r="AR154" t="s">
        <v>408</v>
      </c>
      <c r="AS154" t="s">
        <v>407</v>
      </c>
      <c r="AT154" t="s">
        <v>407</v>
      </c>
      <c r="AU154" t="s">
        <v>409</v>
      </c>
      <c r="AV154" t="s">
        <v>409</v>
      </c>
      <c r="AW154" t="str">
        <f t="shared" si="4"/>
        <v>#if(J56#"JE","JE",if(J56#"Drilled","JC",""))</v>
      </c>
      <c r="BC154" t="s">
        <v>450</v>
      </c>
      <c r="BJ154" t="s">
        <v>513</v>
      </c>
      <c r="BQ154" t="s">
        <v>600</v>
      </c>
      <c r="BR154" t="s">
        <v>346</v>
      </c>
      <c r="BS154" t="s">
        <v>573</v>
      </c>
      <c r="BT154" t="s">
        <v>596</v>
      </c>
      <c r="BU154" t="s">
        <v>407</v>
      </c>
      <c r="BV154" t="s">
        <v>157</v>
      </c>
      <c r="BW154" t="s">
        <v>407</v>
      </c>
      <c r="BX154" t="s">
        <v>408</v>
      </c>
      <c r="BY154" t="s">
        <v>407</v>
      </c>
      <c r="BZ154" t="s">
        <v>80</v>
      </c>
      <c r="CA154" t="s">
        <v>407</v>
      </c>
      <c r="CB154" t="s">
        <v>408</v>
      </c>
      <c r="CC154" t="s">
        <v>597</v>
      </c>
      <c r="CD154" t="s">
        <v>346</v>
      </c>
      <c r="CE154" t="s">
        <v>573</v>
      </c>
      <c r="CF154" t="s">
        <v>596</v>
      </c>
      <c r="CG154" s="32" t="s">
        <v>407</v>
      </c>
      <c r="CH154" t="s">
        <v>411</v>
      </c>
      <c r="CI154" t="s">
        <v>407</v>
      </c>
      <c r="CJ154" t="s">
        <v>408</v>
      </c>
      <c r="CK154" s="32" t="s">
        <v>407</v>
      </c>
      <c r="CL154" t="s">
        <v>29</v>
      </c>
      <c r="CM154" t="s">
        <v>407</v>
      </c>
      <c r="CN154" t="s">
        <v>408</v>
      </c>
      <c r="CO154" t="s">
        <v>597</v>
      </c>
      <c r="CP154" t="s">
        <v>346</v>
      </c>
      <c r="CQ154" t="s">
        <v>573</v>
      </c>
      <c r="CR154" t="s">
        <v>596</v>
      </c>
      <c r="CS154" s="32" t="s">
        <v>407</v>
      </c>
      <c r="CT154" t="s">
        <v>475</v>
      </c>
      <c r="CU154" t="s">
        <v>407</v>
      </c>
      <c r="CV154" t="s">
        <v>408</v>
      </c>
      <c r="CW154" s="32" t="s">
        <v>407</v>
      </c>
      <c r="CX154" t="s">
        <v>83</v>
      </c>
      <c r="CY154" t="s">
        <v>407</v>
      </c>
      <c r="CZ154" t="s">
        <v>408</v>
      </c>
      <c r="DA154" t="s">
        <v>407</v>
      </c>
      <c r="DB154" t="s">
        <v>598</v>
      </c>
      <c r="DC154" t="s">
        <v>407</v>
      </c>
      <c r="DD154" t="s">
        <v>599</v>
      </c>
      <c r="DE154" t="str">
        <f t="shared" si="5"/>
        <v>%IF(K56%"Poplar","PAINT",IF(K56%"Red Oak","SGO",IF(K56%"Maple","SM","SPPN")))</v>
      </c>
      <c r="DO154" t="s">
        <v>509</v>
      </c>
    </row>
    <row r="155" spans="6:119" x14ac:dyDescent="0.25">
      <c r="F155" t="s">
        <v>196</v>
      </c>
      <c r="H155" t="s">
        <v>256</v>
      </c>
      <c r="M155" t="s">
        <v>318</v>
      </c>
      <c r="O155" t="s">
        <v>341</v>
      </c>
      <c r="T155" t="s">
        <v>344</v>
      </c>
      <c r="U155" t="s">
        <v>345</v>
      </c>
      <c r="V155" t="s">
        <v>346</v>
      </c>
      <c r="W155" t="s">
        <v>384</v>
      </c>
      <c r="X155" t="s">
        <v>344</v>
      </c>
      <c r="Y155" t="s">
        <v>407</v>
      </c>
      <c r="Z155" t="s">
        <v>27</v>
      </c>
      <c r="AA155" t="s">
        <v>407</v>
      </c>
      <c r="AB155" t="s">
        <v>408</v>
      </c>
      <c r="AC155" t="s">
        <v>407</v>
      </c>
      <c r="AD155" t="s">
        <v>27</v>
      </c>
      <c r="AE155" t="s">
        <v>407</v>
      </c>
      <c r="AF155" t="s">
        <v>408</v>
      </c>
      <c r="AG155" t="s">
        <v>345</v>
      </c>
      <c r="AH155" t="s">
        <v>346</v>
      </c>
      <c r="AI155" t="s">
        <v>384</v>
      </c>
      <c r="AJ155" t="s">
        <v>344</v>
      </c>
      <c r="AK155" t="s">
        <v>407</v>
      </c>
      <c r="AL155" t="s">
        <v>279</v>
      </c>
      <c r="AM155" t="s">
        <v>407</v>
      </c>
      <c r="AN155" t="s">
        <v>408</v>
      </c>
      <c r="AO155" t="s">
        <v>407</v>
      </c>
      <c r="AP155" t="s">
        <v>53</v>
      </c>
      <c r="AQ155" t="s">
        <v>407</v>
      </c>
      <c r="AR155" t="s">
        <v>408</v>
      </c>
      <c r="AS155" t="s">
        <v>407</v>
      </c>
      <c r="AT155" t="s">
        <v>407</v>
      </c>
      <c r="AU155" t="s">
        <v>409</v>
      </c>
      <c r="AV155" t="s">
        <v>409</v>
      </c>
      <c r="AW155" t="str">
        <f t="shared" si="4"/>
        <v>#if(J56#"JE","JE",if(J56#"Drilled","JC",""))</v>
      </c>
      <c r="BC155" t="s">
        <v>450</v>
      </c>
      <c r="BJ155" t="s">
        <v>513</v>
      </c>
      <c r="BQ155" t="s">
        <v>600</v>
      </c>
      <c r="BR155" t="s">
        <v>346</v>
      </c>
      <c r="BS155" t="s">
        <v>573</v>
      </c>
      <c r="BT155" t="s">
        <v>596</v>
      </c>
      <c r="BU155" t="s">
        <v>407</v>
      </c>
      <c r="BV155" t="s">
        <v>157</v>
      </c>
      <c r="BW155" t="s">
        <v>407</v>
      </c>
      <c r="BX155" t="s">
        <v>408</v>
      </c>
      <c r="BY155" t="s">
        <v>407</v>
      </c>
      <c r="BZ155" t="s">
        <v>80</v>
      </c>
      <c r="CA155" t="s">
        <v>407</v>
      </c>
      <c r="CB155" t="s">
        <v>408</v>
      </c>
      <c r="CC155" t="s">
        <v>597</v>
      </c>
      <c r="CD155" t="s">
        <v>346</v>
      </c>
      <c r="CE155" t="s">
        <v>573</v>
      </c>
      <c r="CF155" t="s">
        <v>596</v>
      </c>
      <c r="CG155" s="32" t="s">
        <v>407</v>
      </c>
      <c r="CH155" t="s">
        <v>411</v>
      </c>
      <c r="CI155" t="s">
        <v>407</v>
      </c>
      <c r="CJ155" t="s">
        <v>408</v>
      </c>
      <c r="CK155" s="32" t="s">
        <v>407</v>
      </c>
      <c r="CL155" t="s">
        <v>29</v>
      </c>
      <c r="CM155" t="s">
        <v>407</v>
      </c>
      <c r="CN155" t="s">
        <v>408</v>
      </c>
      <c r="CO155" t="s">
        <v>597</v>
      </c>
      <c r="CP155" t="s">
        <v>346</v>
      </c>
      <c r="CQ155" t="s">
        <v>573</v>
      </c>
      <c r="CR155" t="s">
        <v>596</v>
      </c>
      <c r="CS155" s="32" t="s">
        <v>407</v>
      </c>
      <c r="CT155" t="s">
        <v>475</v>
      </c>
      <c r="CU155" t="s">
        <v>407</v>
      </c>
      <c r="CV155" t="s">
        <v>408</v>
      </c>
      <c r="CW155" s="32" t="s">
        <v>407</v>
      </c>
      <c r="CX155" t="s">
        <v>83</v>
      </c>
      <c r="CY155" t="s">
        <v>407</v>
      </c>
      <c r="CZ155" t="s">
        <v>408</v>
      </c>
      <c r="DA155" t="s">
        <v>407</v>
      </c>
      <c r="DB155" t="s">
        <v>598</v>
      </c>
      <c r="DC155" t="s">
        <v>407</v>
      </c>
      <c r="DD155" t="s">
        <v>599</v>
      </c>
      <c r="DE155" t="str">
        <f t="shared" si="5"/>
        <v>%IF(K56%"Poplar","PAINT",IF(K56%"Red Oak","SGO",IF(K56%"Maple","SM","SPPN")))</v>
      </c>
      <c r="DO155" t="s">
        <v>510</v>
      </c>
    </row>
    <row r="156" spans="6:119" x14ac:dyDescent="0.25">
      <c r="F156" t="s">
        <v>196</v>
      </c>
      <c r="H156" t="s">
        <v>256</v>
      </c>
      <c r="M156" t="s">
        <v>318</v>
      </c>
      <c r="O156" t="s">
        <v>341</v>
      </c>
      <c r="T156" t="s">
        <v>344</v>
      </c>
      <c r="U156" t="s">
        <v>345</v>
      </c>
      <c r="V156" t="s">
        <v>346</v>
      </c>
      <c r="W156" t="s">
        <v>384</v>
      </c>
      <c r="X156" t="s">
        <v>344</v>
      </c>
      <c r="Y156" t="s">
        <v>407</v>
      </c>
      <c r="Z156" t="s">
        <v>27</v>
      </c>
      <c r="AA156" t="s">
        <v>407</v>
      </c>
      <c r="AB156" t="s">
        <v>408</v>
      </c>
      <c r="AC156" t="s">
        <v>407</v>
      </c>
      <c r="AD156" t="s">
        <v>27</v>
      </c>
      <c r="AE156" t="s">
        <v>407</v>
      </c>
      <c r="AF156" t="s">
        <v>408</v>
      </c>
      <c r="AG156" t="s">
        <v>345</v>
      </c>
      <c r="AH156" t="s">
        <v>346</v>
      </c>
      <c r="AI156" t="s">
        <v>384</v>
      </c>
      <c r="AJ156" t="s">
        <v>344</v>
      </c>
      <c r="AK156" t="s">
        <v>407</v>
      </c>
      <c r="AL156" t="s">
        <v>279</v>
      </c>
      <c r="AM156" t="s">
        <v>407</v>
      </c>
      <c r="AN156" t="s">
        <v>408</v>
      </c>
      <c r="AO156" t="s">
        <v>407</v>
      </c>
      <c r="AP156" t="s">
        <v>53</v>
      </c>
      <c r="AQ156" t="s">
        <v>407</v>
      </c>
      <c r="AR156" t="s">
        <v>408</v>
      </c>
      <c r="AS156" t="s">
        <v>407</v>
      </c>
      <c r="AT156" t="s">
        <v>407</v>
      </c>
      <c r="AU156" t="s">
        <v>409</v>
      </c>
      <c r="AV156" t="s">
        <v>409</v>
      </c>
      <c r="AW156" t="str">
        <f t="shared" si="4"/>
        <v>#if(J56#"JE","JE",if(J56#"Drilled","JC",""))</v>
      </c>
      <c r="BC156" t="s">
        <v>450</v>
      </c>
      <c r="BJ156" t="s">
        <v>513</v>
      </c>
      <c r="BQ156" t="s">
        <v>600</v>
      </c>
      <c r="BR156" t="s">
        <v>346</v>
      </c>
      <c r="BS156" t="s">
        <v>573</v>
      </c>
      <c r="BT156" t="s">
        <v>596</v>
      </c>
      <c r="BU156" t="s">
        <v>407</v>
      </c>
      <c r="BV156" t="s">
        <v>157</v>
      </c>
      <c r="BW156" t="s">
        <v>407</v>
      </c>
      <c r="BX156" t="s">
        <v>408</v>
      </c>
      <c r="BY156" t="s">
        <v>407</v>
      </c>
      <c r="BZ156" t="s">
        <v>80</v>
      </c>
      <c r="CA156" t="s">
        <v>407</v>
      </c>
      <c r="CB156" t="s">
        <v>408</v>
      </c>
      <c r="CC156" t="s">
        <v>597</v>
      </c>
      <c r="CD156" t="s">
        <v>346</v>
      </c>
      <c r="CE156" t="s">
        <v>573</v>
      </c>
      <c r="CF156" t="s">
        <v>596</v>
      </c>
      <c r="CG156" s="32" t="s">
        <v>407</v>
      </c>
      <c r="CH156" t="s">
        <v>411</v>
      </c>
      <c r="CI156" t="s">
        <v>407</v>
      </c>
      <c r="CJ156" t="s">
        <v>408</v>
      </c>
      <c r="CK156" s="32" t="s">
        <v>407</v>
      </c>
      <c r="CL156" t="s">
        <v>29</v>
      </c>
      <c r="CM156" t="s">
        <v>407</v>
      </c>
      <c r="CN156" t="s">
        <v>408</v>
      </c>
      <c r="CO156" t="s">
        <v>597</v>
      </c>
      <c r="CP156" t="s">
        <v>346</v>
      </c>
      <c r="CQ156" t="s">
        <v>573</v>
      </c>
      <c r="CR156" t="s">
        <v>596</v>
      </c>
      <c r="CS156" s="32" t="s">
        <v>407</v>
      </c>
      <c r="CT156" t="s">
        <v>475</v>
      </c>
      <c r="CU156" t="s">
        <v>407</v>
      </c>
      <c r="CV156" t="s">
        <v>408</v>
      </c>
      <c r="CW156" s="32" t="s">
        <v>407</v>
      </c>
      <c r="CX156" t="s">
        <v>83</v>
      </c>
      <c r="CY156" t="s">
        <v>407</v>
      </c>
      <c r="CZ156" t="s">
        <v>408</v>
      </c>
      <c r="DA156" t="s">
        <v>407</v>
      </c>
      <c r="DB156" t="s">
        <v>598</v>
      </c>
      <c r="DC156" t="s">
        <v>407</v>
      </c>
      <c r="DD156" t="s">
        <v>599</v>
      </c>
      <c r="DE156" t="str">
        <f t="shared" si="5"/>
        <v>%IF(K56%"Poplar","PAINT",IF(K56%"Red Oak","SGO",IF(K56%"Maple","SM","SPPN")))</v>
      </c>
      <c r="DO156" t="s">
        <v>510</v>
      </c>
    </row>
    <row r="157" spans="6:119" x14ac:dyDescent="0.25">
      <c r="F157" t="s">
        <v>197</v>
      </c>
      <c r="H157" t="s">
        <v>257</v>
      </c>
      <c r="M157" t="s">
        <v>319</v>
      </c>
      <c r="O157" t="s">
        <v>341</v>
      </c>
      <c r="T157" t="s">
        <v>344</v>
      </c>
      <c r="U157" t="s">
        <v>345</v>
      </c>
      <c r="V157" t="s">
        <v>346</v>
      </c>
      <c r="W157" t="s">
        <v>385</v>
      </c>
      <c r="X157" t="s">
        <v>344</v>
      </c>
      <c r="Y157" t="s">
        <v>407</v>
      </c>
      <c r="Z157" t="s">
        <v>27</v>
      </c>
      <c r="AA157" t="s">
        <v>407</v>
      </c>
      <c r="AB157" t="s">
        <v>408</v>
      </c>
      <c r="AC157" t="s">
        <v>407</v>
      </c>
      <c r="AD157" t="s">
        <v>27</v>
      </c>
      <c r="AE157" t="s">
        <v>407</v>
      </c>
      <c r="AF157" t="s">
        <v>408</v>
      </c>
      <c r="AG157" t="s">
        <v>345</v>
      </c>
      <c r="AH157" t="s">
        <v>346</v>
      </c>
      <c r="AI157" t="s">
        <v>385</v>
      </c>
      <c r="AJ157" t="s">
        <v>344</v>
      </c>
      <c r="AK157" t="s">
        <v>407</v>
      </c>
      <c r="AL157" t="s">
        <v>279</v>
      </c>
      <c r="AM157" t="s">
        <v>407</v>
      </c>
      <c r="AN157" t="s">
        <v>408</v>
      </c>
      <c r="AO157" t="s">
        <v>407</v>
      </c>
      <c r="AP157" t="s">
        <v>53</v>
      </c>
      <c r="AQ157" t="s">
        <v>407</v>
      </c>
      <c r="AR157" t="s">
        <v>408</v>
      </c>
      <c r="AS157" t="s">
        <v>407</v>
      </c>
      <c r="AT157" t="s">
        <v>407</v>
      </c>
      <c r="AU157" t="s">
        <v>409</v>
      </c>
      <c r="AV157" t="s">
        <v>409</v>
      </c>
      <c r="AW157" t="str">
        <f t="shared" si="4"/>
        <v>#if(J57#"JE","JE",if(J57#"Drilled","JC",""))</v>
      </c>
      <c r="BC157" t="s">
        <v>451</v>
      </c>
      <c r="BJ157" t="s">
        <v>514</v>
      </c>
      <c r="BQ157" t="s">
        <v>600</v>
      </c>
      <c r="BR157" t="s">
        <v>346</v>
      </c>
      <c r="BS157" t="s">
        <v>574</v>
      </c>
      <c r="BT157" t="s">
        <v>596</v>
      </c>
      <c r="BU157" t="s">
        <v>407</v>
      </c>
      <c r="BV157" t="s">
        <v>157</v>
      </c>
      <c r="BW157" t="s">
        <v>407</v>
      </c>
      <c r="BX157" t="s">
        <v>408</v>
      </c>
      <c r="BY157" t="s">
        <v>407</v>
      </c>
      <c r="BZ157" t="s">
        <v>80</v>
      </c>
      <c r="CA157" t="s">
        <v>407</v>
      </c>
      <c r="CB157" t="s">
        <v>408</v>
      </c>
      <c r="CC157" t="s">
        <v>597</v>
      </c>
      <c r="CD157" t="s">
        <v>346</v>
      </c>
      <c r="CE157" t="s">
        <v>574</v>
      </c>
      <c r="CF157" t="s">
        <v>596</v>
      </c>
      <c r="CG157" s="32" t="s">
        <v>407</v>
      </c>
      <c r="CH157" t="s">
        <v>411</v>
      </c>
      <c r="CI157" t="s">
        <v>407</v>
      </c>
      <c r="CJ157" t="s">
        <v>408</v>
      </c>
      <c r="CK157" s="32" t="s">
        <v>407</v>
      </c>
      <c r="CL157" t="s">
        <v>29</v>
      </c>
      <c r="CM157" t="s">
        <v>407</v>
      </c>
      <c r="CN157" t="s">
        <v>408</v>
      </c>
      <c r="CO157" t="s">
        <v>597</v>
      </c>
      <c r="CP157" t="s">
        <v>346</v>
      </c>
      <c r="CQ157" t="s">
        <v>574</v>
      </c>
      <c r="CR157" t="s">
        <v>596</v>
      </c>
      <c r="CS157" s="32" t="s">
        <v>407</v>
      </c>
      <c r="CT157" t="s">
        <v>475</v>
      </c>
      <c r="CU157" t="s">
        <v>407</v>
      </c>
      <c r="CV157" t="s">
        <v>408</v>
      </c>
      <c r="CW157" s="32" t="s">
        <v>407</v>
      </c>
      <c r="CX157" t="s">
        <v>83</v>
      </c>
      <c r="CY157" t="s">
        <v>407</v>
      </c>
      <c r="CZ157" t="s">
        <v>408</v>
      </c>
      <c r="DA157" t="s">
        <v>407</v>
      </c>
      <c r="DB157" t="s">
        <v>598</v>
      </c>
      <c r="DC157" t="s">
        <v>407</v>
      </c>
      <c r="DD157" t="s">
        <v>599</v>
      </c>
      <c r="DE157" t="str">
        <f t="shared" si="5"/>
        <v>%IF(K57%"Poplar","PAINT",IF(K57%"Red Oak","SGO",IF(K57%"Maple","SM","SPPN")))</v>
      </c>
      <c r="DO157" t="s">
        <v>510</v>
      </c>
    </row>
    <row r="158" spans="6:119" x14ac:dyDescent="0.25">
      <c r="F158" t="s">
        <v>197</v>
      </c>
      <c r="H158" t="s">
        <v>257</v>
      </c>
      <c r="M158" t="s">
        <v>319</v>
      </c>
      <c r="O158" t="s">
        <v>341</v>
      </c>
      <c r="T158" t="s">
        <v>344</v>
      </c>
      <c r="U158" t="s">
        <v>345</v>
      </c>
      <c r="V158" t="s">
        <v>346</v>
      </c>
      <c r="W158" t="s">
        <v>385</v>
      </c>
      <c r="X158" t="s">
        <v>344</v>
      </c>
      <c r="Y158" t="s">
        <v>407</v>
      </c>
      <c r="Z158" t="s">
        <v>27</v>
      </c>
      <c r="AA158" t="s">
        <v>407</v>
      </c>
      <c r="AB158" t="s">
        <v>408</v>
      </c>
      <c r="AC158" t="s">
        <v>407</v>
      </c>
      <c r="AD158" t="s">
        <v>27</v>
      </c>
      <c r="AE158" t="s">
        <v>407</v>
      </c>
      <c r="AF158" t="s">
        <v>408</v>
      </c>
      <c r="AG158" t="s">
        <v>345</v>
      </c>
      <c r="AH158" t="s">
        <v>346</v>
      </c>
      <c r="AI158" t="s">
        <v>385</v>
      </c>
      <c r="AJ158" t="s">
        <v>344</v>
      </c>
      <c r="AK158" t="s">
        <v>407</v>
      </c>
      <c r="AL158" t="s">
        <v>279</v>
      </c>
      <c r="AM158" t="s">
        <v>407</v>
      </c>
      <c r="AN158" t="s">
        <v>408</v>
      </c>
      <c r="AO158" t="s">
        <v>407</v>
      </c>
      <c r="AP158" t="s">
        <v>53</v>
      </c>
      <c r="AQ158" t="s">
        <v>407</v>
      </c>
      <c r="AR158" t="s">
        <v>408</v>
      </c>
      <c r="AS158" t="s">
        <v>407</v>
      </c>
      <c r="AT158" t="s">
        <v>407</v>
      </c>
      <c r="AU158" t="s">
        <v>409</v>
      </c>
      <c r="AV158" t="s">
        <v>409</v>
      </c>
      <c r="AW158" t="str">
        <f t="shared" si="4"/>
        <v>#if(J57#"JE","JE",if(J57#"Drilled","JC",""))</v>
      </c>
      <c r="BC158" t="s">
        <v>451</v>
      </c>
      <c r="BJ158" t="s">
        <v>514</v>
      </c>
      <c r="BQ158" t="s">
        <v>600</v>
      </c>
      <c r="BR158" t="s">
        <v>346</v>
      </c>
      <c r="BS158" t="s">
        <v>574</v>
      </c>
      <c r="BT158" t="s">
        <v>596</v>
      </c>
      <c r="BU158" t="s">
        <v>407</v>
      </c>
      <c r="BV158" t="s">
        <v>157</v>
      </c>
      <c r="BW158" t="s">
        <v>407</v>
      </c>
      <c r="BX158" t="s">
        <v>408</v>
      </c>
      <c r="BY158" t="s">
        <v>407</v>
      </c>
      <c r="BZ158" t="s">
        <v>80</v>
      </c>
      <c r="CA158" t="s">
        <v>407</v>
      </c>
      <c r="CB158" t="s">
        <v>408</v>
      </c>
      <c r="CC158" t="s">
        <v>597</v>
      </c>
      <c r="CD158" t="s">
        <v>346</v>
      </c>
      <c r="CE158" t="s">
        <v>574</v>
      </c>
      <c r="CF158" t="s">
        <v>596</v>
      </c>
      <c r="CG158" s="32" t="s">
        <v>407</v>
      </c>
      <c r="CH158" t="s">
        <v>411</v>
      </c>
      <c r="CI158" t="s">
        <v>407</v>
      </c>
      <c r="CJ158" t="s">
        <v>408</v>
      </c>
      <c r="CK158" s="32" t="s">
        <v>407</v>
      </c>
      <c r="CL158" t="s">
        <v>29</v>
      </c>
      <c r="CM158" t="s">
        <v>407</v>
      </c>
      <c r="CN158" t="s">
        <v>408</v>
      </c>
      <c r="CO158" t="s">
        <v>597</v>
      </c>
      <c r="CP158" t="s">
        <v>346</v>
      </c>
      <c r="CQ158" t="s">
        <v>574</v>
      </c>
      <c r="CR158" t="s">
        <v>596</v>
      </c>
      <c r="CS158" s="32" t="s">
        <v>407</v>
      </c>
      <c r="CT158" t="s">
        <v>475</v>
      </c>
      <c r="CU158" t="s">
        <v>407</v>
      </c>
      <c r="CV158" t="s">
        <v>408</v>
      </c>
      <c r="CW158" s="32" t="s">
        <v>407</v>
      </c>
      <c r="CX158" t="s">
        <v>83</v>
      </c>
      <c r="CY158" t="s">
        <v>407</v>
      </c>
      <c r="CZ158" t="s">
        <v>408</v>
      </c>
      <c r="DA158" t="s">
        <v>407</v>
      </c>
      <c r="DB158" t="s">
        <v>598</v>
      </c>
      <c r="DC158" t="s">
        <v>407</v>
      </c>
      <c r="DD158" t="s">
        <v>599</v>
      </c>
      <c r="DE158" t="str">
        <f t="shared" si="5"/>
        <v>%IF(K57%"Poplar","PAINT",IF(K57%"Red Oak","SGO",IF(K57%"Maple","SM","SPPN")))</v>
      </c>
      <c r="DO158" t="s">
        <v>510</v>
      </c>
    </row>
    <row r="159" spans="6:119" x14ac:dyDescent="0.25">
      <c r="F159" t="s">
        <v>197</v>
      </c>
      <c r="H159" t="s">
        <v>257</v>
      </c>
      <c r="M159" t="s">
        <v>319</v>
      </c>
      <c r="O159" t="s">
        <v>341</v>
      </c>
      <c r="T159" t="s">
        <v>344</v>
      </c>
      <c r="U159" t="s">
        <v>345</v>
      </c>
      <c r="V159" t="s">
        <v>346</v>
      </c>
      <c r="W159" t="s">
        <v>385</v>
      </c>
      <c r="X159" t="s">
        <v>344</v>
      </c>
      <c r="Y159" t="s">
        <v>407</v>
      </c>
      <c r="Z159" t="s">
        <v>27</v>
      </c>
      <c r="AA159" t="s">
        <v>407</v>
      </c>
      <c r="AB159" t="s">
        <v>408</v>
      </c>
      <c r="AC159" t="s">
        <v>407</v>
      </c>
      <c r="AD159" t="s">
        <v>27</v>
      </c>
      <c r="AE159" t="s">
        <v>407</v>
      </c>
      <c r="AF159" t="s">
        <v>408</v>
      </c>
      <c r="AG159" t="s">
        <v>345</v>
      </c>
      <c r="AH159" t="s">
        <v>346</v>
      </c>
      <c r="AI159" t="s">
        <v>385</v>
      </c>
      <c r="AJ159" t="s">
        <v>344</v>
      </c>
      <c r="AK159" t="s">
        <v>407</v>
      </c>
      <c r="AL159" t="s">
        <v>279</v>
      </c>
      <c r="AM159" t="s">
        <v>407</v>
      </c>
      <c r="AN159" t="s">
        <v>408</v>
      </c>
      <c r="AO159" t="s">
        <v>407</v>
      </c>
      <c r="AP159" t="s">
        <v>53</v>
      </c>
      <c r="AQ159" t="s">
        <v>407</v>
      </c>
      <c r="AR159" t="s">
        <v>408</v>
      </c>
      <c r="AS159" t="s">
        <v>407</v>
      </c>
      <c r="AT159" t="s">
        <v>407</v>
      </c>
      <c r="AU159" t="s">
        <v>409</v>
      </c>
      <c r="AV159" t="s">
        <v>409</v>
      </c>
      <c r="AW159" t="str">
        <f t="shared" si="4"/>
        <v>#if(J57#"JE","JE",if(J57#"Drilled","JC",""))</v>
      </c>
      <c r="BC159" t="s">
        <v>451</v>
      </c>
      <c r="BJ159" t="s">
        <v>514</v>
      </c>
      <c r="BQ159" t="s">
        <v>600</v>
      </c>
      <c r="BR159" t="s">
        <v>346</v>
      </c>
      <c r="BS159" t="s">
        <v>574</v>
      </c>
      <c r="BT159" t="s">
        <v>596</v>
      </c>
      <c r="BU159" t="s">
        <v>407</v>
      </c>
      <c r="BV159" t="s">
        <v>157</v>
      </c>
      <c r="BW159" t="s">
        <v>407</v>
      </c>
      <c r="BX159" t="s">
        <v>408</v>
      </c>
      <c r="BY159" t="s">
        <v>407</v>
      </c>
      <c r="BZ159" t="s">
        <v>80</v>
      </c>
      <c r="CA159" t="s">
        <v>407</v>
      </c>
      <c r="CB159" t="s">
        <v>408</v>
      </c>
      <c r="CC159" t="s">
        <v>597</v>
      </c>
      <c r="CD159" t="s">
        <v>346</v>
      </c>
      <c r="CE159" t="s">
        <v>574</v>
      </c>
      <c r="CF159" t="s">
        <v>596</v>
      </c>
      <c r="CG159" s="32" t="s">
        <v>407</v>
      </c>
      <c r="CH159" t="s">
        <v>411</v>
      </c>
      <c r="CI159" t="s">
        <v>407</v>
      </c>
      <c r="CJ159" t="s">
        <v>408</v>
      </c>
      <c r="CK159" s="32" t="s">
        <v>407</v>
      </c>
      <c r="CL159" t="s">
        <v>29</v>
      </c>
      <c r="CM159" t="s">
        <v>407</v>
      </c>
      <c r="CN159" t="s">
        <v>408</v>
      </c>
      <c r="CO159" t="s">
        <v>597</v>
      </c>
      <c r="CP159" t="s">
        <v>346</v>
      </c>
      <c r="CQ159" t="s">
        <v>574</v>
      </c>
      <c r="CR159" t="s">
        <v>596</v>
      </c>
      <c r="CS159" s="32" t="s">
        <v>407</v>
      </c>
      <c r="CT159" t="s">
        <v>475</v>
      </c>
      <c r="CU159" t="s">
        <v>407</v>
      </c>
      <c r="CV159" t="s">
        <v>408</v>
      </c>
      <c r="CW159" s="32" t="s">
        <v>407</v>
      </c>
      <c r="CX159" t="s">
        <v>83</v>
      </c>
      <c r="CY159" t="s">
        <v>407</v>
      </c>
      <c r="CZ159" t="s">
        <v>408</v>
      </c>
      <c r="DA159" t="s">
        <v>407</v>
      </c>
      <c r="DB159" t="s">
        <v>598</v>
      </c>
      <c r="DC159" t="s">
        <v>407</v>
      </c>
      <c r="DD159" t="s">
        <v>599</v>
      </c>
      <c r="DE159" t="str">
        <f t="shared" si="5"/>
        <v>%IF(K57%"Poplar","PAINT",IF(K57%"Red Oak","SGO",IF(K57%"Maple","SM","SPPN")))</v>
      </c>
      <c r="DO159" t="s">
        <v>511</v>
      </c>
    </row>
    <row r="160" spans="6:119" x14ac:dyDescent="0.25">
      <c r="F160" t="s">
        <v>197</v>
      </c>
      <c r="H160" t="s">
        <v>257</v>
      </c>
      <c r="M160" t="s">
        <v>319</v>
      </c>
      <c r="O160" t="s">
        <v>341</v>
      </c>
      <c r="T160" t="s">
        <v>344</v>
      </c>
      <c r="U160" t="s">
        <v>345</v>
      </c>
      <c r="V160" t="s">
        <v>346</v>
      </c>
      <c r="W160" t="s">
        <v>385</v>
      </c>
      <c r="X160" t="s">
        <v>344</v>
      </c>
      <c r="Y160" t="s">
        <v>407</v>
      </c>
      <c r="Z160" t="s">
        <v>27</v>
      </c>
      <c r="AA160" t="s">
        <v>407</v>
      </c>
      <c r="AB160" t="s">
        <v>408</v>
      </c>
      <c r="AC160" t="s">
        <v>407</v>
      </c>
      <c r="AD160" t="s">
        <v>27</v>
      </c>
      <c r="AE160" t="s">
        <v>407</v>
      </c>
      <c r="AF160" t="s">
        <v>408</v>
      </c>
      <c r="AG160" t="s">
        <v>345</v>
      </c>
      <c r="AH160" t="s">
        <v>346</v>
      </c>
      <c r="AI160" t="s">
        <v>385</v>
      </c>
      <c r="AJ160" t="s">
        <v>344</v>
      </c>
      <c r="AK160" t="s">
        <v>407</v>
      </c>
      <c r="AL160" t="s">
        <v>279</v>
      </c>
      <c r="AM160" t="s">
        <v>407</v>
      </c>
      <c r="AN160" t="s">
        <v>408</v>
      </c>
      <c r="AO160" t="s">
        <v>407</v>
      </c>
      <c r="AP160" t="s">
        <v>53</v>
      </c>
      <c r="AQ160" t="s">
        <v>407</v>
      </c>
      <c r="AR160" t="s">
        <v>408</v>
      </c>
      <c r="AS160" t="s">
        <v>407</v>
      </c>
      <c r="AT160" t="s">
        <v>407</v>
      </c>
      <c r="AU160" t="s">
        <v>409</v>
      </c>
      <c r="AV160" t="s">
        <v>409</v>
      </c>
      <c r="AW160" t="str">
        <f t="shared" si="4"/>
        <v>#if(J57#"JE","JE",if(J57#"Drilled","JC",""))</v>
      </c>
      <c r="BC160" t="s">
        <v>451</v>
      </c>
      <c r="BJ160" t="s">
        <v>514</v>
      </c>
      <c r="BQ160" t="s">
        <v>600</v>
      </c>
      <c r="BR160" t="s">
        <v>346</v>
      </c>
      <c r="BS160" t="s">
        <v>574</v>
      </c>
      <c r="BT160" t="s">
        <v>596</v>
      </c>
      <c r="BU160" t="s">
        <v>407</v>
      </c>
      <c r="BV160" t="s">
        <v>157</v>
      </c>
      <c r="BW160" t="s">
        <v>407</v>
      </c>
      <c r="BX160" t="s">
        <v>408</v>
      </c>
      <c r="BY160" t="s">
        <v>407</v>
      </c>
      <c r="BZ160" t="s">
        <v>80</v>
      </c>
      <c r="CA160" t="s">
        <v>407</v>
      </c>
      <c r="CB160" t="s">
        <v>408</v>
      </c>
      <c r="CC160" t="s">
        <v>597</v>
      </c>
      <c r="CD160" t="s">
        <v>346</v>
      </c>
      <c r="CE160" t="s">
        <v>574</v>
      </c>
      <c r="CF160" t="s">
        <v>596</v>
      </c>
      <c r="CG160" s="32" t="s">
        <v>407</v>
      </c>
      <c r="CH160" t="s">
        <v>411</v>
      </c>
      <c r="CI160" t="s">
        <v>407</v>
      </c>
      <c r="CJ160" t="s">
        <v>408</v>
      </c>
      <c r="CK160" s="32" t="s">
        <v>407</v>
      </c>
      <c r="CL160" t="s">
        <v>29</v>
      </c>
      <c r="CM160" t="s">
        <v>407</v>
      </c>
      <c r="CN160" t="s">
        <v>408</v>
      </c>
      <c r="CO160" t="s">
        <v>597</v>
      </c>
      <c r="CP160" t="s">
        <v>346</v>
      </c>
      <c r="CQ160" t="s">
        <v>574</v>
      </c>
      <c r="CR160" t="s">
        <v>596</v>
      </c>
      <c r="CS160" s="32" t="s">
        <v>407</v>
      </c>
      <c r="CT160" t="s">
        <v>475</v>
      </c>
      <c r="CU160" t="s">
        <v>407</v>
      </c>
      <c r="CV160" t="s">
        <v>408</v>
      </c>
      <c r="CW160" s="32" t="s">
        <v>407</v>
      </c>
      <c r="CX160" t="s">
        <v>83</v>
      </c>
      <c r="CY160" t="s">
        <v>407</v>
      </c>
      <c r="CZ160" t="s">
        <v>408</v>
      </c>
      <c r="DA160" t="s">
        <v>407</v>
      </c>
      <c r="DB160" t="s">
        <v>598</v>
      </c>
      <c r="DC160" t="s">
        <v>407</v>
      </c>
      <c r="DD160" t="s">
        <v>599</v>
      </c>
      <c r="DE160" t="str">
        <f t="shared" si="5"/>
        <v>%IF(K57%"Poplar","PAINT",IF(K57%"Red Oak","SGO",IF(K57%"Maple","SM","SPPN")))</v>
      </c>
      <c r="DO160" t="s">
        <v>511</v>
      </c>
    </row>
    <row r="161" spans="6:119" x14ac:dyDescent="0.25">
      <c r="F161" t="s">
        <v>198</v>
      </c>
      <c r="H161" t="s">
        <v>258</v>
      </c>
      <c r="M161" t="s">
        <v>320</v>
      </c>
      <c r="O161" t="s">
        <v>341</v>
      </c>
      <c r="T161" t="s">
        <v>344</v>
      </c>
      <c r="U161" t="s">
        <v>345</v>
      </c>
      <c r="V161" t="s">
        <v>346</v>
      </c>
      <c r="W161" t="s">
        <v>386</v>
      </c>
      <c r="X161" t="s">
        <v>344</v>
      </c>
      <c r="Y161" t="s">
        <v>407</v>
      </c>
      <c r="Z161" t="s">
        <v>27</v>
      </c>
      <c r="AA161" t="s">
        <v>407</v>
      </c>
      <c r="AB161" t="s">
        <v>408</v>
      </c>
      <c r="AC161" t="s">
        <v>407</v>
      </c>
      <c r="AD161" t="s">
        <v>27</v>
      </c>
      <c r="AE161" t="s">
        <v>407</v>
      </c>
      <c r="AF161" t="s">
        <v>408</v>
      </c>
      <c r="AG161" t="s">
        <v>345</v>
      </c>
      <c r="AH161" t="s">
        <v>346</v>
      </c>
      <c r="AI161" t="s">
        <v>386</v>
      </c>
      <c r="AJ161" t="s">
        <v>344</v>
      </c>
      <c r="AK161" t="s">
        <v>407</v>
      </c>
      <c r="AL161" t="s">
        <v>279</v>
      </c>
      <c r="AM161" t="s">
        <v>407</v>
      </c>
      <c r="AN161" t="s">
        <v>408</v>
      </c>
      <c r="AO161" t="s">
        <v>407</v>
      </c>
      <c r="AP161" t="s">
        <v>53</v>
      </c>
      <c r="AQ161" t="s">
        <v>407</v>
      </c>
      <c r="AR161" t="s">
        <v>408</v>
      </c>
      <c r="AS161" t="s">
        <v>407</v>
      </c>
      <c r="AT161" t="s">
        <v>407</v>
      </c>
      <c r="AU161" t="s">
        <v>409</v>
      </c>
      <c r="AV161" t="s">
        <v>409</v>
      </c>
      <c r="AW161" t="str">
        <f t="shared" si="4"/>
        <v>#if(J58#"JE","JE",if(J58#"Drilled","JC",""))</v>
      </c>
      <c r="BC161" t="s">
        <v>452</v>
      </c>
      <c r="BJ161" t="s">
        <v>515</v>
      </c>
      <c r="BQ161" t="s">
        <v>600</v>
      </c>
      <c r="BR161" t="s">
        <v>346</v>
      </c>
      <c r="BS161" t="s">
        <v>575</v>
      </c>
      <c r="BT161" t="s">
        <v>596</v>
      </c>
      <c r="BU161" t="s">
        <v>407</v>
      </c>
      <c r="BV161" t="s">
        <v>157</v>
      </c>
      <c r="BW161" t="s">
        <v>407</v>
      </c>
      <c r="BX161" t="s">
        <v>408</v>
      </c>
      <c r="BY161" t="s">
        <v>407</v>
      </c>
      <c r="BZ161" t="s">
        <v>80</v>
      </c>
      <c r="CA161" t="s">
        <v>407</v>
      </c>
      <c r="CB161" t="s">
        <v>408</v>
      </c>
      <c r="CC161" t="s">
        <v>597</v>
      </c>
      <c r="CD161" t="s">
        <v>346</v>
      </c>
      <c r="CE161" t="s">
        <v>575</v>
      </c>
      <c r="CF161" t="s">
        <v>596</v>
      </c>
      <c r="CG161" s="32" t="s">
        <v>407</v>
      </c>
      <c r="CH161" t="s">
        <v>411</v>
      </c>
      <c r="CI161" t="s">
        <v>407</v>
      </c>
      <c r="CJ161" t="s">
        <v>408</v>
      </c>
      <c r="CK161" s="32" t="s">
        <v>407</v>
      </c>
      <c r="CL161" t="s">
        <v>29</v>
      </c>
      <c r="CM161" t="s">
        <v>407</v>
      </c>
      <c r="CN161" t="s">
        <v>408</v>
      </c>
      <c r="CO161" t="s">
        <v>597</v>
      </c>
      <c r="CP161" t="s">
        <v>346</v>
      </c>
      <c r="CQ161" t="s">
        <v>575</v>
      </c>
      <c r="CR161" t="s">
        <v>596</v>
      </c>
      <c r="CS161" s="32" t="s">
        <v>407</v>
      </c>
      <c r="CT161" t="s">
        <v>475</v>
      </c>
      <c r="CU161" t="s">
        <v>407</v>
      </c>
      <c r="CV161" t="s">
        <v>408</v>
      </c>
      <c r="CW161" s="32" t="s">
        <v>407</v>
      </c>
      <c r="CX161" t="s">
        <v>83</v>
      </c>
      <c r="CY161" t="s">
        <v>407</v>
      </c>
      <c r="CZ161" t="s">
        <v>408</v>
      </c>
      <c r="DA161" t="s">
        <v>407</v>
      </c>
      <c r="DB161" t="s">
        <v>598</v>
      </c>
      <c r="DC161" t="s">
        <v>407</v>
      </c>
      <c r="DD161" t="s">
        <v>599</v>
      </c>
      <c r="DE161" t="str">
        <f t="shared" si="5"/>
        <v>%IF(K58%"Poplar","PAINT",IF(K58%"Red Oak","SGO",IF(K58%"Maple","SM","SPPN")))</v>
      </c>
      <c r="DO161" t="s">
        <v>511</v>
      </c>
    </row>
    <row r="162" spans="6:119" x14ac:dyDescent="0.25">
      <c r="F162" t="s">
        <v>198</v>
      </c>
      <c r="H162" t="s">
        <v>258</v>
      </c>
      <c r="M162" t="s">
        <v>320</v>
      </c>
      <c r="O162" t="s">
        <v>341</v>
      </c>
      <c r="T162" t="s">
        <v>344</v>
      </c>
      <c r="U162" t="s">
        <v>345</v>
      </c>
      <c r="V162" t="s">
        <v>346</v>
      </c>
      <c r="W162" t="s">
        <v>386</v>
      </c>
      <c r="X162" t="s">
        <v>344</v>
      </c>
      <c r="Y162" t="s">
        <v>407</v>
      </c>
      <c r="Z162" t="s">
        <v>27</v>
      </c>
      <c r="AA162" t="s">
        <v>407</v>
      </c>
      <c r="AB162" t="s">
        <v>408</v>
      </c>
      <c r="AC162" t="s">
        <v>407</v>
      </c>
      <c r="AD162" t="s">
        <v>27</v>
      </c>
      <c r="AE162" t="s">
        <v>407</v>
      </c>
      <c r="AF162" t="s">
        <v>408</v>
      </c>
      <c r="AG162" t="s">
        <v>345</v>
      </c>
      <c r="AH162" t="s">
        <v>346</v>
      </c>
      <c r="AI162" t="s">
        <v>386</v>
      </c>
      <c r="AJ162" t="s">
        <v>344</v>
      </c>
      <c r="AK162" t="s">
        <v>407</v>
      </c>
      <c r="AL162" t="s">
        <v>279</v>
      </c>
      <c r="AM162" t="s">
        <v>407</v>
      </c>
      <c r="AN162" t="s">
        <v>408</v>
      </c>
      <c r="AO162" t="s">
        <v>407</v>
      </c>
      <c r="AP162" t="s">
        <v>53</v>
      </c>
      <c r="AQ162" t="s">
        <v>407</v>
      </c>
      <c r="AR162" t="s">
        <v>408</v>
      </c>
      <c r="AS162" t="s">
        <v>407</v>
      </c>
      <c r="AT162" t="s">
        <v>407</v>
      </c>
      <c r="AU162" t="s">
        <v>409</v>
      </c>
      <c r="AV162" t="s">
        <v>409</v>
      </c>
      <c r="AW162" t="str">
        <f t="shared" si="4"/>
        <v>#if(J58#"JE","JE",if(J58#"Drilled","JC",""))</v>
      </c>
      <c r="BC162" t="s">
        <v>452</v>
      </c>
      <c r="BJ162" t="s">
        <v>515</v>
      </c>
      <c r="BQ162" t="s">
        <v>600</v>
      </c>
      <c r="BR162" t="s">
        <v>346</v>
      </c>
      <c r="BS162" t="s">
        <v>575</v>
      </c>
      <c r="BT162" t="s">
        <v>596</v>
      </c>
      <c r="BU162" t="s">
        <v>407</v>
      </c>
      <c r="BV162" t="s">
        <v>157</v>
      </c>
      <c r="BW162" t="s">
        <v>407</v>
      </c>
      <c r="BX162" t="s">
        <v>408</v>
      </c>
      <c r="BY162" t="s">
        <v>407</v>
      </c>
      <c r="BZ162" t="s">
        <v>80</v>
      </c>
      <c r="CA162" t="s">
        <v>407</v>
      </c>
      <c r="CB162" t="s">
        <v>408</v>
      </c>
      <c r="CC162" t="s">
        <v>597</v>
      </c>
      <c r="CD162" t="s">
        <v>346</v>
      </c>
      <c r="CE162" t="s">
        <v>575</v>
      </c>
      <c r="CF162" t="s">
        <v>596</v>
      </c>
      <c r="CG162" s="32" t="s">
        <v>407</v>
      </c>
      <c r="CH162" t="s">
        <v>411</v>
      </c>
      <c r="CI162" t="s">
        <v>407</v>
      </c>
      <c r="CJ162" t="s">
        <v>408</v>
      </c>
      <c r="CK162" s="32" t="s">
        <v>407</v>
      </c>
      <c r="CL162" t="s">
        <v>29</v>
      </c>
      <c r="CM162" t="s">
        <v>407</v>
      </c>
      <c r="CN162" t="s">
        <v>408</v>
      </c>
      <c r="CO162" t="s">
        <v>597</v>
      </c>
      <c r="CP162" t="s">
        <v>346</v>
      </c>
      <c r="CQ162" t="s">
        <v>575</v>
      </c>
      <c r="CR162" t="s">
        <v>596</v>
      </c>
      <c r="CS162" s="32" t="s">
        <v>407</v>
      </c>
      <c r="CT162" t="s">
        <v>475</v>
      </c>
      <c r="CU162" t="s">
        <v>407</v>
      </c>
      <c r="CV162" t="s">
        <v>408</v>
      </c>
      <c r="CW162" s="32" t="s">
        <v>407</v>
      </c>
      <c r="CX162" t="s">
        <v>83</v>
      </c>
      <c r="CY162" t="s">
        <v>407</v>
      </c>
      <c r="CZ162" t="s">
        <v>408</v>
      </c>
      <c r="DA162" t="s">
        <v>407</v>
      </c>
      <c r="DB162" t="s">
        <v>598</v>
      </c>
      <c r="DC162" t="s">
        <v>407</v>
      </c>
      <c r="DD162" t="s">
        <v>599</v>
      </c>
      <c r="DE162" t="str">
        <f t="shared" si="5"/>
        <v>%IF(K58%"Poplar","PAINT",IF(K58%"Red Oak","SGO",IF(K58%"Maple","SM","SPPN")))</v>
      </c>
      <c r="DO162" t="s">
        <v>511</v>
      </c>
    </row>
    <row r="163" spans="6:119" x14ac:dyDescent="0.25">
      <c r="F163" t="s">
        <v>198</v>
      </c>
      <c r="H163" t="s">
        <v>258</v>
      </c>
      <c r="M163" t="s">
        <v>320</v>
      </c>
      <c r="O163" t="s">
        <v>341</v>
      </c>
      <c r="T163" t="s">
        <v>344</v>
      </c>
      <c r="U163" t="s">
        <v>345</v>
      </c>
      <c r="V163" t="s">
        <v>346</v>
      </c>
      <c r="W163" t="s">
        <v>386</v>
      </c>
      <c r="X163" t="s">
        <v>344</v>
      </c>
      <c r="Y163" t="s">
        <v>407</v>
      </c>
      <c r="Z163" t="s">
        <v>27</v>
      </c>
      <c r="AA163" t="s">
        <v>407</v>
      </c>
      <c r="AB163" t="s">
        <v>408</v>
      </c>
      <c r="AC163" t="s">
        <v>407</v>
      </c>
      <c r="AD163" t="s">
        <v>27</v>
      </c>
      <c r="AE163" t="s">
        <v>407</v>
      </c>
      <c r="AF163" t="s">
        <v>408</v>
      </c>
      <c r="AG163" t="s">
        <v>345</v>
      </c>
      <c r="AH163" t="s">
        <v>346</v>
      </c>
      <c r="AI163" t="s">
        <v>386</v>
      </c>
      <c r="AJ163" t="s">
        <v>344</v>
      </c>
      <c r="AK163" t="s">
        <v>407</v>
      </c>
      <c r="AL163" t="s">
        <v>279</v>
      </c>
      <c r="AM163" t="s">
        <v>407</v>
      </c>
      <c r="AN163" t="s">
        <v>408</v>
      </c>
      <c r="AO163" t="s">
        <v>407</v>
      </c>
      <c r="AP163" t="s">
        <v>53</v>
      </c>
      <c r="AQ163" t="s">
        <v>407</v>
      </c>
      <c r="AR163" t="s">
        <v>408</v>
      </c>
      <c r="AS163" t="s">
        <v>407</v>
      </c>
      <c r="AT163" t="s">
        <v>407</v>
      </c>
      <c r="AU163" t="s">
        <v>409</v>
      </c>
      <c r="AV163" t="s">
        <v>409</v>
      </c>
      <c r="AW163" t="str">
        <f t="shared" si="4"/>
        <v>#if(J58#"JE","JE",if(J58#"Drilled","JC",""))</v>
      </c>
      <c r="BC163" t="s">
        <v>452</v>
      </c>
      <c r="BJ163" t="s">
        <v>515</v>
      </c>
      <c r="BQ163" t="s">
        <v>600</v>
      </c>
      <c r="BR163" t="s">
        <v>346</v>
      </c>
      <c r="BS163" t="s">
        <v>575</v>
      </c>
      <c r="BT163" t="s">
        <v>596</v>
      </c>
      <c r="BU163" t="s">
        <v>407</v>
      </c>
      <c r="BV163" t="s">
        <v>157</v>
      </c>
      <c r="BW163" t="s">
        <v>407</v>
      </c>
      <c r="BX163" t="s">
        <v>408</v>
      </c>
      <c r="BY163" t="s">
        <v>407</v>
      </c>
      <c r="BZ163" t="s">
        <v>80</v>
      </c>
      <c r="CA163" t="s">
        <v>407</v>
      </c>
      <c r="CB163" t="s">
        <v>408</v>
      </c>
      <c r="CC163" t="s">
        <v>597</v>
      </c>
      <c r="CD163" t="s">
        <v>346</v>
      </c>
      <c r="CE163" t="s">
        <v>575</v>
      </c>
      <c r="CF163" t="s">
        <v>596</v>
      </c>
      <c r="CG163" s="32" t="s">
        <v>407</v>
      </c>
      <c r="CH163" t="s">
        <v>411</v>
      </c>
      <c r="CI163" t="s">
        <v>407</v>
      </c>
      <c r="CJ163" t="s">
        <v>408</v>
      </c>
      <c r="CK163" s="32" t="s">
        <v>407</v>
      </c>
      <c r="CL163" t="s">
        <v>29</v>
      </c>
      <c r="CM163" t="s">
        <v>407</v>
      </c>
      <c r="CN163" t="s">
        <v>408</v>
      </c>
      <c r="CO163" t="s">
        <v>597</v>
      </c>
      <c r="CP163" t="s">
        <v>346</v>
      </c>
      <c r="CQ163" t="s">
        <v>575</v>
      </c>
      <c r="CR163" t="s">
        <v>596</v>
      </c>
      <c r="CS163" s="32" t="s">
        <v>407</v>
      </c>
      <c r="CT163" t="s">
        <v>475</v>
      </c>
      <c r="CU163" t="s">
        <v>407</v>
      </c>
      <c r="CV163" t="s">
        <v>408</v>
      </c>
      <c r="CW163" s="32" t="s">
        <v>407</v>
      </c>
      <c r="CX163" t="s">
        <v>83</v>
      </c>
      <c r="CY163" t="s">
        <v>407</v>
      </c>
      <c r="CZ163" t="s">
        <v>408</v>
      </c>
      <c r="DA163" t="s">
        <v>407</v>
      </c>
      <c r="DB163" t="s">
        <v>598</v>
      </c>
      <c r="DC163" t="s">
        <v>407</v>
      </c>
      <c r="DD163" t="s">
        <v>599</v>
      </c>
      <c r="DE163" t="str">
        <f t="shared" si="5"/>
        <v>%IF(K58%"Poplar","PAINT",IF(K58%"Red Oak","SGO",IF(K58%"Maple","SM","SPPN")))</v>
      </c>
      <c r="DO163" t="s">
        <v>512</v>
      </c>
    </row>
    <row r="164" spans="6:119" x14ac:dyDescent="0.25">
      <c r="F164" t="s">
        <v>198</v>
      </c>
      <c r="H164" t="s">
        <v>258</v>
      </c>
      <c r="M164" t="s">
        <v>320</v>
      </c>
      <c r="O164" t="s">
        <v>341</v>
      </c>
      <c r="T164" t="s">
        <v>344</v>
      </c>
      <c r="U164" t="s">
        <v>345</v>
      </c>
      <c r="V164" t="s">
        <v>346</v>
      </c>
      <c r="W164" t="s">
        <v>386</v>
      </c>
      <c r="X164" t="s">
        <v>344</v>
      </c>
      <c r="Y164" t="s">
        <v>407</v>
      </c>
      <c r="Z164" t="s">
        <v>27</v>
      </c>
      <c r="AA164" t="s">
        <v>407</v>
      </c>
      <c r="AB164" t="s">
        <v>408</v>
      </c>
      <c r="AC164" t="s">
        <v>407</v>
      </c>
      <c r="AD164" t="s">
        <v>27</v>
      </c>
      <c r="AE164" t="s">
        <v>407</v>
      </c>
      <c r="AF164" t="s">
        <v>408</v>
      </c>
      <c r="AG164" t="s">
        <v>345</v>
      </c>
      <c r="AH164" t="s">
        <v>346</v>
      </c>
      <c r="AI164" t="s">
        <v>386</v>
      </c>
      <c r="AJ164" t="s">
        <v>344</v>
      </c>
      <c r="AK164" t="s">
        <v>407</v>
      </c>
      <c r="AL164" t="s">
        <v>279</v>
      </c>
      <c r="AM164" t="s">
        <v>407</v>
      </c>
      <c r="AN164" t="s">
        <v>408</v>
      </c>
      <c r="AO164" t="s">
        <v>407</v>
      </c>
      <c r="AP164" t="s">
        <v>53</v>
      </c>
      <c r="AQ164" t="s">
        <v>407</v>
      </c>
      <c r="AR164" t="s">
        <v>408</v>
      </c>
      <c r="AS164" t="s">
        <v>407</v>
      </c>
      <c r="AT164" t="s">
        <v>407</v>
      </c>
      <c r="AU164" t="s">
        <v>409</v>
      </c>
      <c r="AV164" t="s">
        <v>409</v>
      </c>
      <c r="AW164" t="str">
        <f t="shared" si="4"/>
        <v>#if(J58#"JE","JE",if(J58#"Drilled","JC",""))</v>
      </c>
      <c r="BC164" t="s">
        <v>452</v>
      </c>
      <c r="BJ164" t="s">
        <v>515</v>
      </c>
      <c r="BQ164" t="s">
        <v>600</v>
      </c>
      <c r="BR164" t="s">
        <v>346</v>
      </c>
      <c r="BS164" t="s">
        <v>575</v>
      </c>
      <c r="BT164" t="s">
        <v>596</v>
      </c>
      <c r="BU164" t="s">
        <v>407</v>
      </c>
      <c r="BV164" t="s">
        <v>157</v>
      </c>
      <c r="BW164" t="s">
        <v>407</v>
      </c>
      <c r="BX164" t="s">
        <v>408</v>
      </c>
      <c r="BY164" t="s">
        <v>407</v>
      </c>
      <c r="BZ164" t="s">
        <v>80</v>
      </c>
      <c r="CA164" t="s">
        <v>407</v>
      </c>
      <c r="CB164" t="s">
        <v>408</v>
      </c>
      <c r="CC164" t="s">
        <v>597</v>
      </c>
      <c r="CD164" t="s">
        <v>346</v>
      </c>
      <c r="CE164" t="s">
        <v>575</v>
      </c>
      <c r="CF164" t="s">
        <v>596</v>
      </c>
      <c r="CG164" s="32" t="s">
        <v>407</v>
      </c>
      <c r="CH164" t="s">
        <v>411</v>
      </c>
      <c r="CI164" t="s">
        <v>407</v>
      </c>
      <c r="CJ164" t="s">
        <v>408</v>
      </c>
      <c r="CK164" s="32" t="s">
        <v>407</v>
      </c>
      <c r="CL164" t="s">
        <v>29</v>
      </c>
      <c r="CM164" t="s">
        <v>407</v>
      </c>
      <c r="CN164" t="s">
        <v>408</v>
      </c>
      <c r="CO164" t="s">
        <v>597</v>
      </c>
      <c r="CP164" t="s">
        <v>346</v>
      </c>
      <c r="CQ164" t="s">
        <v>575</v>
      </c>
      <c r="CR164" t="s">
        <v>596</v>
      </c>
      <c r="CS164" s="32" t="s">
        <v>407</v>
      </c>
      <c r="CT164" t="s">
        <v>475</v>
      </c>
      <c r="CU164" t="s">
        <v>407</v>
      </c>
      <c r="CV164" t="s">
        <v>408</v>
      </c>
      <c r="CW164" s="32" t="s">
        <v>407</v>
      </c>
      <c r="CX164" t="s">
        <v>83</v>
      </c>
      <c r="CY164" t="s">
        <v>407</v>
      </c>
      <c r="CZ164" t="s">
        <v>408</v>
      </c>
      <c r="DA164" t="s">
        <v>407</v>
      </c>
      <c r="DB164" t="s">
        <v>598</v>
      </c>
      <c r="DC164" t="s">
        <v>407</v>
      </c>
      <c r="DD164" t="s">
        <v>599</v>
      </c>
      <c r="DE164" t="str">
        <f t="shared" si="5"/>
        <v>%IF(K58%"Poplar","PAINT",IF(K58%"Red Oak","SGO",IF(K58%"Maple","SM","SPPN")))</v>
      </c>
      <c r="DO164" t="s">
        <v>512</v>
      </c>
    </row>
    <row r="165" spans="6:119" x14ac:dyDescent="0.25">
      <c r="F165" t="s">
        <v>199</v>
      </c>
      <c r="H165" t="s">
        <v>259</v>
      </c>
      <c r="M165" t="s">
        <v>321</v>
      </c>
      <c r="O165" t="s">
        <v>341</v>
      </c>
      <c r="T165" t="s">
        <v>344</v>
      </c>
      <c r="U165" t="s">
        <v>345</v>
      </c>
      <c r="V165" t="s">
        <v>346</v>
      </c>
      <c r="W165" t="s">
        <v>387</v>
      </c>
      <c r="X165" t="s">
        <v>344</v>
      </c>
      <c r="Y165" t="s">
        <v>407</v>
      </c>
      <c r="Z165" t="s">
        <v>27</v>
      </c>
      <c r="AA165" t="s">
        <v>407</v>
      </c>
      <c r="AB165" t="s">
        <v>408</v>
      </c>
      <c r="AC165" t="s">
        <v>407</v>
      </c>
      <c r="AD165" t="s">
        <v>27</v>
      </c>
      <c r="AE165" t="s">
        <v>407</v>
      </c>
      <c r="AF165" t="s">
        <v>408</v>
      </c>
      <c r="AG165" t="s">
        <v>345</v>
      </c>
      <c r="AH165" t="s">
        <v>346</v>
      </c>
      <c r="AI165" t="s">
        <v>387</v>
      </c>
      <c r="AJ165" t="s">
        <v>344</v>
      </c>
      <c r="AK165" t="s">
        <v>407</v>
      </c>
      <c r="AL165" t="s">
        <v>279</v>
      </c>
      <c r="AM165" t="s">
        <v>407</v>
      </c>
      <c r="AN165" t="s">
        <v>408</v>
      </c>
      <c r="AO165" t="s">
        <v>407</v>
      </c>
      <c r="AP165" t="s">
        <v>53</v>
      </c>
      <c r="AQ165" t="s">
        <v>407</v>
      </c>
      <c r="AR165" t="s">
        <v>408</v>
      </c>
      <c r="AS165" t="s">
        <v>407</v>
      </c>
      <c r="AT165" t="s">
        <v>407</v>
      </c>
      <c r="AU165" t="s">
        <v>409</v>
      </c>
      <c r="AV165" t="s">
        <v>409</v>
      </c>
      <c r="AW165" t="str">
        <f t="shared" si="4"/>
        <v>#if(J59#"JE","JE",if(J59#"Drilled","JC",""))</v>
      </c>
      <c r="BC165" t="s">
        <v>453</v>
      </c>
      <c r="BJ165" t="s">
        <v>516</v>
      </c>
      <c r="BQ165" t="s">
        <v>600</v>
      </c>
      <c r="BR165" t="s">
        <v>346</v>
      </c>
      <c r="BS165" t="s">
        <v>576</v>
      </c>
      <c r="BT165" t="s">
        <v>596</v>
      </c>
      <c r="BU165" t="s">
        <v>407</v>
      </c>
      <c r="BV165" t="s">
        <v>157</v>
      </c>
      <c r="BW165" t="s">
        <v>407</v>
      </c>
      <c r="BX165" t="s">
        <v>408</v>
      </c>
      <c r="BY165" t="s">
        <v>407</v>
      </c>
      <c r="BZ165" t="s">
        <v>80</v>
      </c>
      <c r="CA165" t="s">
        <v>407</v>
      </c>
      <c r="CB165" t="s">
        <v>408</v>
      </c>
      <c r="CC165" t="s">
        <v>597</v>
      </c>
      <c r="CD165" t="s">
        <v>346</v>
      </c>
      <c r="CE165" t="s">
        <v>576</v>
      </c>
      <c r="CF165" t="s">
        <v>596</v>
      </c>
      <c r="CG165" s="32" t="s">
        <v>407</v>
      </c>
      <c r="CH165" t="s">
        <v>411</v>
      </c>
      <c r="CI165" t="s">
        <v>407</v>
      </c>
      <c r="CJ165" t="s">
        <v>408</v>
      </c>
      <c r="CK165" s="32" t="s">
        <v>407</v>
      </c>
      <c r="CL165" t="s">
        <v>29</v>
      </c>
      <c r="CM165" t="s">
        <v>407</v>
      </c>
      <c r="CN165" t="s">
        <v>408</v>
      </c>
      <c r="CO165" t="s">
        <v>597</v>
      </c>
      <c r="CP165" t="s">
        <v>346</v>
      </c>
      <c r="CQ165" t="s">
        <v>576</v>
      </c>
      <c r="CR165" t="s">
        <v>596</v>
      </c>
      <c r="CS165" s="32" t="s">
        <v>407</v>
      </c>
      <c r="CT165" t="s">
        <v>475</v>
      </c>
      <c r="CU165" t="s">
        <v>407</v>
      </c>
      <c r="CV165" t="s">
        <v>408</v>
      </c>
      <c r="CW165" s="32" t="s">
        <v>407</v>
      </c>
      <c r="CX165" t="s">
        <v>83</v>
      </c>
      <c r="CY165" t="s">
        <v>407</v>
      </c>
      <c r="CZ165" t="s">
        <v>408</v>
      </c>
      <c r="DA165" t="s">
        <v>407</v>
      </c>
      <c r="DB165" t="s">
        <v>598</v>
      </c>
      <c r="DC165" t="s">
        <v>407</v>
      </c>
      <c r="DD165" t="s">
        <v>599</v>
      </c>
      <c r="DE165" t="str">
        <f t="shared" si="5"/>
        <v>%IF(K59%"Poplar","PAINT",IF(K59%"Red Oak","SGO",IF(K59%"Maple","SM","SPPN")))</v>
      </c>
      <c r="DO165" t="s">
        <v>512</v>
      </c>
    </row>
    <row r="166" spans="6:119" x14ac:dyDescent="0.25">
      <c r="F166" t="s">
        <v>199</v>
      </c>
      <c r="H166" t="s">
        <v>259</v>
      </c>
      <c r="M166" t="s">
        <v>321</v>
      </c>
      <c r="O166" t="s">
        <v>341</v>
      </c>
      <c r="T166" t="s">
        <v>344</v>
      </c>
      <c r="U166" t="s">
        <v>345</v>
      </c>
      <c r="V166" t="s">
        <v>346</v>
      </c>
      <c r="W166" t="s">
        <v>387</v>
      </c>
      <c r="X166" t="s">
        <v>344</v>
      </c>
      <c r="Y166" t="s">
        <v>407</v>
      </c>
      <c r="Z166" t="s">
        <v>27</v>
      </c>
      <c r="AA166" t="s">
        <v>407</v>
      </c>
      <c r="AB166" t="s">
        <v>408</v>
      </c>
      <c r="AC166" t="s">
        <v>407</v>
      </c>
      <c r="AD166" t="s">
        <v>27</v>
      </c>
      <c r="AE166" t="s">
        <v>407</v>
      </c>
      <c r="AF166" t="s">
        <v>408</v>
      </c>
      <c r="AG166" t="s">
        <v>345</v>
      </c>
      <c r="AH166" t="s">
        <v>346</v>
      </c>
      <c r="AI166" t="s">
        <v>387</v>
      </c>
      <c r="AJ166" t="s">
        <v>344</v>
      </c>
      <c r="AK166" t="s">
        <v>407</v>
      </c>
      <c r="AL166" t="s">
        <v>279</v>
      </c>
      <c r="AM166" t="s">
        <v>407</v>
      </c>
      <c r="AN166" t="s">
        <v>408</v>
      </c>
      <c r="AO166" t="s">
        <v>407</v>
      </c>
      <c r="AP166" t="s">
        <v>53</v>
      </c>
      <c r="AQ166" t="s">
        <v>407</v>
      </c>
      <c r="AR166" t="s">
        <v>408</v>
      </c>
      <c r="AS166" t="s">
        <v>407</v>
      </c>
      <c r="AT166" t="s">
        <v>407</v>
      </c>
      <c r="AU166" t="s">
        <v>409</v>
      </c>
      <c r="AV166" t="s">
        <v>409</v>
      </c>
      <c r="AW166" t="str">
        <f t="shared" si="4"/>
        <v>#if(J59#"JE","JE",if(J59#"Drilled","JC",""))</v>
      </c>
      <c r="BC166" t="s">
        <v>453</v>
      </c>
      <c r="BJ166" t="s">
        <v>516</v>
      </c>
      <c r="BQ166" t="s">
        <v>600</v>
      </c>
      <c r="BR166" t="s">
        <v>346</v>
      </c>
      <c r="BS166" t="s">
        <v>576</v>
      </c>
      <c r="BT166" t="s">
        <v>596</v>
      </c>
      <c r="BU166" t="s">
        <v>407</v>
      </c>
      <c r="BV166" t="s">
        <v>157</v>
      </c>
      <c r="BW166" t="s">
        <v>407</v>
      </c>
      <c r="BX166" t="s">
        <v>408</v>
      </c>
      <c r="BY166" t="s">
        <v>407</v>
      </c>
      <c r="BZ166" t="s">
        <v>80</v>
      </c>
      <c r="CA166" t="s">
        <v>407</v>
      </c>
      <c r="CB166" t="s">
        <v>408</v>
      </c>
      <c r="CC166" t="s">
        <v>597</v>
      </c>
      <c r="CD166" t="s">
        <v>346</v>
      </c>
      <c r="CE166" t="s">
        <v>576</v>
      </c>
      <c r="CF166" t="s">
        <v>596</v>
      </c>
      <c r="CG166" s="32" t="s">
        <v>407</v>
      </c>
      <c r="CH166" t="s">
        <v>411</v>
      </c>
      <c r="CI166" t="s">
        <v>407</v>
      </c>
      <c r="CJ166" t="s">
        <v>408</v>
      </c>
      <c r="CK166" s="32" t="s">
        <v>407</v>
      </c>
      <c r="CL166" t="s">
        <v>29</v>
      </c>
      <c r="CM166" t="s">
        <v>407</v>
      </c>
      <c r="CN166" t="s">
        <v>408</v>
      </c>
      <c r="CO166" t="s">
        <v>597</v>
      </c>
      <c r="CP166" t="s">
        <v>346</v>
      </c>
      <c r="CQ166" t="s">
        <v>576</v>
      </c>
      <c r="CR166" t="s">
        <v>596</v>
      </c>
      <c r="CS166" s="32" t="s">
        <v>407</v>
      </c>
      <c r="CT166" t="s">
        <v>475</v>
      </c>
      <c r="CU166" t="s">
        <v>407</v>
      </c>
      <c r="CV166" t="s">
        <v>408</v>
      </c>
      <c r="CW166" s="32" t="s">
        <v>407</v>
      </c>
      <c r="CX166" t="s">
        <v>83</v>
      </c>
      <c r="CY166" t="s">
        <v>407</v>
      </c>
      <c r="CZ166" t="s">
        <v>408</v>
      </c>
      <c r="DA166" t="s">
        <v>407</v>
      </c>
      <c r="DB166" t="s">
        <v>598</v>
      </c>
      <c r="DC166" t="s">
        <v>407</v>
      </c>
      <c r="DD166" t="s">
        <v>599</v>
      </c>
      <c r="DE166" t="str">
        <f t="shared" si="5"/>
        <v>%IF(K59%"Poplar","PAINT",IF(K59%"Red Oak","SGO",IF(K59%"Maple","SM","SPPN")))</v>
      </c>
      <c r="DO166" t="s">
        <v>512</v>
      </c>
    </row>
    <row r="167" spans="6:119" x14ac:dyDescent="0.25">
      <c r="F167" t="s">
        <v>199</v>
      </c>
      <c r="H167" t="s">
        <v>259</v>
      </c>
      <c r="M167" t="s">
        <v>321</v>
      </c>
      <c r="O167" t="s">
        <v>341</v>
      </c>
      <c r="T167" t="s">
        <v>344</v>
      </c>
      <c r="U167" t="s">
        <v>345</v>
      </c>
      <c r="V167" t="s">
        <v>346</v>
      </c>
      <c r="W167" t="s">
        <v>387</v>
      </c>
      <c r="X167" t="s">
        <v>344</v>
      </c>
      <c r="Y167" t="s">
        <v>407</v>
      </c>
      <c r="Z167" t="s">
        <v>27</v>
      </c>
      <c r="AA167" t="s">
        <v>407</v>
      </c>
      <c r="AB167" t="s">
        <v>408</v>
      </c>
      <c r="AC167" t="s">
        <v>407</v>
      </c>
      <c r="AD167" t="s">
        <v>27</v>
      </c>
      <c r="AE167" t="s">
        <v>407</v>
      </c>
      <c r="AF167" t="s">
        <v>408</v>
      </c>
      <c r="AG167" t="s">
        <v>345</v>
      </c>
      <c r="AH167" t="s">
        <v>346</v>
      </c>
      <c r="AI167" t="s">
        <v>387</v>
      </c>
      <c r="AJ167" t="s">
        <v>344</v>
      </c>
      <c r="AK167" t="s">
        <v>407</v>
      </c>
      <c r="AL167" t="s">
        <v>279</v>
      </c>
      <c r="AM167" t="s">
        <v>407</v>
      </c>
      <c r="AN167" t="s">
        <v>408</v>
      </c>
      <c r="AO167" t="s">
        <v>407</v>
      </c>
      <c r="AP167" t="s">
        <v>53</v>
      </c>
      <c r="AQ167" t="s">
        <v>407</v>
      </c>
      <c r="AR167" t="s">
        <v>408</v>
      </c>
      <c r="AS167" t="s">
        <v>407</v>
      </c>
      <c r="AT167" t="s">
        <v>407</v>
      </c>
      <c r="AU167" t="s">
        <v>409</v>
      </c>
      <c r="AV167" t="s">
        <v>409</v>
      </c>
      <c r="AW167" t="str">
        <f t="shared" si="4"/>
        <v>#if(J59#"JE","JE",if(J59#"Drilled","JC",""))</v>
      </c>
      <c r="BC167" t="s">
        <v>453</v>
      </c>
      <c r="BJ167" t="s">
        <v>516</v>
      </c>
      <c r="BQ167" t="s">
        <v>600</v>
      </c>
      <c r="BR167" t="s">
        <v>346</v>
      </c>
      <c r="BS167" t="s">
        <v>576</v>
      </c>
      <c r="BT167" t="s">
        <v>596</v>
      </c>
      <c r="BU167" t="s">
        <v>407</v>
      </c>
      <c r="BV167" t="s">
        <v>157</v>
      </c>
      <c r="BW167" t="s">
        <v>407</v>
      </c>
      <c r="BX167" t="s">
        <v>408</v>
      </c>
      <c r="BY167" t="s">
        <v>407</v>
      </c>
      <c r="BZ167" t="s">
        <v>80</v>
      </c>
      <c r="CA167" t="s">
        <v>407</v>
      </c>
      <c r="CB167" t="s">
        <v>408</v>
      </c>
      <c r="CC167" t="s">
        <v>597</v>
      </c>
      <c r="CD167" t="s">
        <v>346</v>
      </c>
      <c r="CE167" t="s">
        <v>576</v>
      </c>
      <c r="CF167" t="s">
        <v>596</v>
      </c>
      <c r="CG167" s="32" t="s">
        <v>407</v>
      </c>
      <c r="CH167" t="s">
        <v>411</v>
      </c>
      <c r="CI167" t="s">
        <v>407</v>
      </c>
      <c r="CJ167" t="s">
        <v>408</v>
      </c>
      <c r="CK167" s="32" t="s">
        <v>407</v>
      </c>
      <c r="CL167" t="s">
        <v>29</v>
      </c>
      <c r="CM167" t="s">
        <v>407</v>
      </c>
      <c r="CN167" t="s">
        <v>408</v>
      </c>
      <c r="CO167" t="s">
        <v>597</v>
      </c>
      <c r="CP167" t="s">
        <v>346</v>
      </c>
      <c r="CQ167" t="s">
        <v>576</v>
      </c>
      <c r="CR167" t="s">
        <v>596</v>
      </c>
      <c r="CS167" s="32" t="s">
        <v>407</v>
      </c>
      <c r="CT167" t="s">
        <v>475</v>
      </c>
      <c r="CU167" t="s">
        <v>407</v>
      </c>
      <c r="CV167" t="s">
        <v>408</v>
      </c>
      <c r="CW167" s="32" t="s">
        <v>407</v>
      </c>
      <c r="CX167" t="s">
        <v>83</v>
      </c>
      <c r="CY167" t="s">
        <v>407</v>
      </c>
      <c r="CZ167" t="s">
        <v>408</v>
      </c>
      <c r="DA167" t="s">
        <v>407</v>
      </c>
      <c r="DB167" t="s">
        <v>598</v>
      </c>
      <c r="DC167" t="s">
        <v>407</v>
      </c>
      <c r="DD167" t="s">
        <v>599</v>
      </c>
      <c r="DE167" t="str">
        <f t="shared" si="5"/>
        <v>%IF(K59%"Poplar","PAINT",IF(K59%"Red Oak","SGO",IF(K59%"Maple","SM","SPPN")))</v>
      </c>
      <c r="DO167" t="s">
        <v>513</v>
      </c>
    </row>
    <row r="168" spans="6:119" x14ac:dyDescent="0.25">
      <c r="F168" t="s">
        <v>199</v>
      </c>
      <c r="H168" t="s">
        <v>259</v>
      </c>
      <c r="M168" t="s">
        <v>321</v>
      </c>
      <c r="O168" t="s">
        <v>341</v>
      </c>
      <c r="T168" t="s">
        <v>344</v>
      </c>
      <c r="U168" t="s">
        <v>345</v>
      </c>
      <c r="V168" t="s">
        <v>346</v>
      </c>
      <c r="W168" t="s">
        <v>387</v>
      </c>
      <c r="X168" t="s">
        <v>344</v>
      </c>
      <c r="Y168" t="s">
        <v>407</v>
      </c>
      <c r="Z168" t="s">
        <v>27</v>
      </c>
      <c r="AA168" t="s">
        <v>407</v>
      </c>
      <c r="AB168" t="s">
        <v>408</v>
      </c>
      <c r="AC168" t="s">
        <v>407</v>
      </c>
      <c r="AD168" t="s">
        <v>27</v>
      </c>
      <c r="AE168" t="s">
        <v>407</v>
      </c>
      <c r="AF168" t="s">
        <v>408</v>
      </c>
      <c r="AG168" t="s">
        <v>345</v>
      </c>
      <c r="AH168" t="s">
        <v>346</v>
      </c>
      <c r="AI168" t="s">
        <v>387</v>
      </c>
      <c r="AJ168" t="s">
        <v>344</v>
      </c>
      <c r="AK168" t="s">
        <v>407</v>
      </c>
      <c r="AL168" t="s">
        <v>279</v>
      </c>
      <c r="AM168" t="s">
        <v>407</v>
      </c>
      <c r="AN168" t="s">
        <v>408</v>
      </c>
      <c r="AO168" t="s">
        <v>407</v>
      </c>
      <c r="AP168" t="s">
        <v>53</v>
      </c>
      <c r="AQ168" t="s">
        <v>407</v>
      </c>
      <c r="AR168" t="s">
        <v>408</v>
      </c>
      <c r="AS168" t="s">
        <v>407</v>
      </c>
      <c r="AT168" t="s">
        <v>407</v>
      </c>
      <c r="AU168" t="s">
        <v>409</v>
      </c>
      <c r="AV168" t="s">
        <v>409</v>
      </c>
      <c r="AW168" t="str">
        <f t="shared" si="4"/>
        <v>#if(J59#"JE","JE",if(J59#"Drilled","JC",""))</v>
      </c>
      <c r="BC168" t="s">
        <v>453</v>
      </c>
      <c r="BJ168" t="s">
        <v>516</v>
      </c>
      <c r="BQ168" t="s">
        <v>600</v>
      </c>
      <c r="BR168" t="s">
        <v>346</v>
      </c>
      <c r="BS168" t="s">
        <v>576</v>
      </c>
      <c r="BT168" t="s">
        <v>596</v>
      </c>
      <c r="BU168" t="s">
        <v>407</v>
      </c>
      <c r="BV168" t="s">
        <v>157</v>
      </c>
      <c r="BW168" t="s">
        <v>407</v>
      </c>
      <c r="BX168" t="s">
        <v>408</v>
      </c>
      <c r="BY168" t="s">
        <v>407</v>
      </c>
      <c r="BZ168" t="s">
        <v>80</v>
      </c>
      <c r="CA168" t="s">
        <v>407</v>
      </c>
      <c r="CB168" t="s">
        <v>408</v>
      </c>
      <c r="CC168" t="s">
        <v>597</v>
      </c>
      <c r="CD168" t="s">
        <v>346</v>
      </c>
      <c r="CE168" t="s">
        <v>576</v>
      </c>
      <c r="CF168" t="s">
        <v>596</v>
      </c>
      <c r="CG168" s="32" t="s">
        <v>407</v>
      </c>
      <c r="CH168" t="s">
        <v>411</v>
      </c>
      <c r="CI168" t="s">
        <v>407</v>
      </c>
      <c r="CJ168" t="s">
        <v>408</v>
      </c>
      <c r="CK168" s="32" t="s">
        <v>407</v>
      </c>
      <c r="CL168" t="s">
        <v>29</v>
      </c>
      <c r="CM168" t="s">
        <v>407</v>
      </c>
      <c r="CN168" t="s">
        <v>408</v>
      </c>
      <c r="CO168" t="s">
        <v>597</v>
      </c>
      <c r="CP168" t="s">
        <v>346</v>
      </c>
      <c r="CQ168" t="s">
        <v>576</v>
      </c>
      <c r="CR168" t="s">
        <v>596</v>
      </c>
      <c r="CS168" s="32" t="s">
        <v>407</v>
      </c>
      <c r="CT168" t="s">
        <v>475</v>
      </c>
      <c r="CU168" t="s">
        <v>407</v>
      </c>
      <c r="CV168" t="s">
        <v>408</v>
      </c>
      <c r="CW168" s="32" t="s">
        <v>407</v>
      </c>
      <c r="CX168" t="s">
        <v>83</v>
      </c>
      <c r="CY168" t="s">
        <v>407</v>
      </c>
      <c r="CZ168" t="s">
        <v>408</v>
      </c>
      <c r="DA168" t="s">
        <v>407</v>
      </c>
      <c r="DB168" t="s">
        <v>598</v>
      </c>
      <c r="DC168" t="s">
        <v>407</v>
      </c>
      <c r="DD168" t="s">
        <v>599</v>
      </c>
      <c r="DE168" t="str">
        <f t="shared" si="5"/>
        <v>%IF(K59%"Poplar","PAINT",IF(K59%"Red Oak","SGO",IF(K59%"Maple","SM","SPPN")))</v>
      </c>
      <c r="DO168" t="s">
        <v>513</v>
      </c>
    </row>
    <row r="169" spans="6:119" x14ac:dyDescent="0.25">
      <c r="F169" t="s">
        <v>200</v>
      </c>
      <c r="H169" t="s">
        <v>260</v>
      </c>
      <c r="M169" t="s">
        <v>322</v>
      </c>
      <c r="O169" t="s">
        <v>341</v>
      </c>
      <c r="T169" t="s">
        <v>344</v>
      </c>
      <c r="U169" t="s">
        <v>345</v>
      </c>
      <c r="V169" t="s">
        <v>346</v>
      </c>
      <c r="W169" t="s">
        <v>388</v>
      </c>
      <c r="X169" t="s">
        <v>344</v>
      </c>
      <c r="Y169" t="s">
        <v>407</v>
      </c>
      <c r="Z169" t="s">
        <v>27</v>
      </c>
      <c r="AA169" t="s">
        <v>407</v>
      </c>
      <c r="AB169" t="s">
        <v>408</v>
      </c>
      <c r="AC169" t="s">
        <v>407</v>
      </c>
      <c r="AD169" t="s">
        <v>27</v>
      </c>
      <c r="AE169" t="s">
        <v>407</v>
      </c>
      <c r="AF169" t="s">
        <v>408</v>
      </c>
      <c r="AG169" t="s">
        <v>345</v>
      </c>
      <c r="AH169" t="s">
        <v>346</v>
      </c>
      <c r="AI169" t="s">
        <v>388</v>
      </c>
      <c r="AJ169" t="s">
        <v>344</v>
      </c>
      <c r="AK169" t="s">
        <v>407</v>
      </c>
      <c r="AL169" t="s">
        <v>279</v>
      </c>
      <c r="AM169" t="s">
        <v>407</v>
      </c>
      <c r="AN169" t="s">
        <v>408</v>
      </c>
      <c r="AO169" t="s">
        <v>407</v>
      </c>
      <c r="AP169" t="s">
        <v>53</v>
      </c>
      <c r="AQ169" t="s">
        <v>407</v>
      </c>
      <c r="AR169" t="s">
        <v>408</v>
      </c>
      <c r="AS169" t="s">
        <v>407</v>
      </c>
      <c r="AT169" t="s">
        <v>407</v>
      </c>
      <c r="AU169" t="s">
        <v>409</v>
      </c>
      <c r="AV169" t="s">
        <v>409</v>
      </c>
      <c r="AW169" t="str">
        <f t="shared" si="4"/>
        <v>#if(J60#"JE","JE",if(J60#"Drilled","JC",""))</v>
      </c>
      <c r="BC169" t="s">
        <v>454</v>
      </c>
      <c r="BJ169" t="s">
        <v>517</v>
      </c>
      <c r="BQ169" t="s">
        <v>600</v>
      </c>
      <c r="BR169" t="s">
        <v>346</v>
      </c>
      <c r="BS169" t="s">
        <v>577</v>
      </c>
      <c r="BT169" t="s">
        <v>596</v>
      </c>
      <c r="BU169" t="s">
        <v>407</v>
      </c>
      <c r="BV169" t="s">
        <v>157</v>
      </c>
      <c r="BW169" t="s">
        <v>407</v>
      </c>
      <c r="BX169" t="s">
        <v>408</v>
      </c>
      <c r="BY169" t="s">
        <v>407</v>
      </c>
      <c r="BZ169" t="s">
        <v>80</v>
      </c>
      <c r="CA169" t="s">
        <v>407</v>
      </c>
      <c r="CB169" t="s">
        <v>408</v>
      </c>
      <c r="CC169" t="s">
        <v>597</v>
      </c>
      <c r="CD169" t="s">
        <v>346</v>
      </c>
      <c r="CE169" t="s">
        <v>577</v>
      </c>
      <c r="CF169" t="s">
        <v>596</v>
      </c>
      <c r="CG169" s="32" t="s">
        <v>407</v>
      </c>
      <c r="CH169" t="s">
        <v>411</v>
      </c>
      <c r="CI169" t="s">
        <v>407</v>
      </c>
      <c r="CJ169" t="s">
        <v>408</v>
      </c>
      <c r="CK169" s="32" t="s">
        <v>407</v>
      </c>
      <c r="CL169" t="s">
        <v>29</v>
      </c>
      <c r="CM169" t="s">
        <v>407</v>
      </c>
      <c r="CN169" t="s">
        <v>408</v>
      </c>
      <c r="CO169" t="s">
        <v>597</v>
      </c>
      <c r="CP169" t="s">
        <v>346</v>
      </c>
      <c r="CQ169" t="s">
        <v>577</v>
      </c>
      <c r="CR169" t="s">
        <v>596</v>
      </c>
      <c r="CS169" s="32" t="s">
        <v>407</v>
      </c>
      <c r="CT169" t="s">
        <v>475</v>
      </c>
      <c r="CU169" t="s">
        <v>407</v>
      </c>
      <c r="CV169" t="s">
        <v>408</v>
      </c>
      <c r="CW169" s="32" t="s">
        <v>407</v>
      </c>
      <c r="CX169" t="s">
        <v>83</v>
      </c>
      <c r="CY169" t="s">
        <v>407</v>
      </c>
      <c r="CZ169" t="s">
        <v>408</v>
      </c>
      <c r="DA169" t="s">
        <v>407</v>
      </c>
      <c r="DB169" t="s">
        <v>598</v>
      </c>
      <c r="DC169" t="s">
        <v>407</v>
      </c>
      <c r="DD169" t="s">
        <v>599</v>
      </c>
      <c r="DE169" t="str">
        <f t="shared" si="5"/>
        <v>%IF(K60%"Poplar","PAINT",IF(K60%"Red Oak","SGO",IF(K60%"Maple","SM","SPPN")))</v>
      </c>
      <c r="DO169" t="s">
        <v>513</v>
      </c>
    </row>
    <row r="170" spans="6:119" x14ac:dyDescent="0.25">
      <c r="F170" t="s">
        <v>200</v>
      </c>
      <c r="H170" t="s">
        <v>260</v>
      </c>
      <c r="M170" t="s">
        <v>322</v>
      </c>
      <c r="O170" t="s">
        <v>341</v>
      </c>
      <c r="T170" t="s">
        <v>344</v>
      </c>
      <c r="U170" t="s">
        <v>345</v>
      </c>
      <c r="V170" t="s">
        <v>346</v>
      </c>
      <c r="W170" t="s">
        <v>388</v>
      </c>
      <c r="X170" t="s">
        <v>344</v>
      </c>
      <c r="Y170" t="s">
        <v>407</v>
      </c>
      <c r="Z170" t="s">
        <v>27</v>
      </c>
      <c r="AA170" t="s">
        <v>407</v>
      </c>
      <c r="AB170" t="s">
        <v>408</v>
      </c>
      <c r="AC170" t="s">
        <v>407</v>
      </c>
      <c r="AD170" t="s">
        <v>27</v>
      </c>
      <c r="AE170" t="s">
        <v>407</v>
      </c>
      <c r="AF170" t="s">
        <v>408</v>
      </c>
      <c r="AG170" t="s">
        <v>345</v>
      </c>
      <c r="AH170" t="s">
        <v>346</v>
      </c>
      <c r="AI170" t="s">
        <v>388</v>
      </c>
      <c r="AJ170" t="s">
        <v>344</v>
      </c>
      <c r="AK170" t="s">
        <v>407</v>
      </c>
      <c r="AL170" t="s">
        <v>279</v>
      </c>
      <c r="AM170" t="s">
        <v>407</v>
      </c>
      <c r="AN170" t="s">
        <v>408</v>
      </c>
      <c r="AO170" t="s">
        <v>407</v>
      </c>
      <c r="AP170" t="s">
        <v>53</v>
      </c>
      <c r="AQ170" t="s">
        <v>407</v>
      </c>
      <c r="AR170" t="s">
        <v>408</v>
      </c>
      <c r="AS170" t="s">
        <v>407</v>
      </c>
      <c r="AT170" t="s">
        <v>407</v>
      </c>
      <c r="AU170" t="s">
        <v>409</v>
      </c>
      <c r="AV170" t="s">
        <v>409</v>
      </c>
      <c r="AW170" t="str">
        <f t="shared" si="4"/>
        <v>#if(J60#"JE","JE",if(J60#"Drilled","JC",""))</v>
      </c>
      <c r="BC170" t="s">
        <v>454</v>
      </c>
      <c r="BJ170" t="s">
        <v>517</v>
      </c>
      <c r="BQ170" t="s">
        <v>600</v>
      </c>
      <c r="BR170" t="s">
        <v>346</v>
      </c>
      <c r="BS170" t="s">
        <v>577</v>
      </c>
      <c r="BT170" t="s">
        <v>596</v>
      </c>
      <c r="BU170" t="s">
        <v>407</v>
      </c>
      <c r="BV170" t="s">
        <v>157</v>
      </c>
      <c r="BW170" t="s">
        <v>407</v>
      </c>
      <c r="BX170" t="s">
        <v>408</v>
      </c>
      <c r="BY170" t="s">
        <v>407</v>
      </c>
      <c r="BZ170" t="s">
        <v>80</v>
      </c>
      <c r="CA170" t="s">
        <v>407</v>
      </c>
      <c r="CB170" t="s">
        <v>408</v>
      </c>
      <c r="CC170" t="s">
        <v>597</v>
      </c>
      <c r="CD170" t="s">
        <v>346</v>
      </c>
      <c r="CE170" t="s">
        <v>577</v>
      </c>
      <c r="CF170" t="s">
        <v>596</v>
      </c>
      <c r="CG170" s="32" t="s">
        <v>407</v>
      </c>
      <c r="CH170" t="s">
        <v>411</v>
      </c>
      <c r="CI170" t="s">
        <v>407</v>
      </c>
      <c r="CJ170" t="s">
        <v>408</v>
      </c>
      <c r="CK170" s="32" t="s">
        <v>407</v>
      </c>
      <c r="CL170" t="s">
        <v>29</v>
      </c>
      <c r="CM170" t="s">
        <v>407</v>
      </c>
      <c r="CN170" t="s">
        <v>408</v>
      </c>
      <c r="CO170" t="s">
        <v>597</v>
      </c>
      <c r="CP170" t="s">
        <v>346</v>
      </c>
      <c r="CQ170" t="s">
        <v>577</v>
      </c>
      <c r="CR170" t="s">
        <v>596</v>
      </c>
      <c r="CS170" s="32" t="s">
        <v>407</v>
      </c>
      <c r="CT170" t="s">
        <v>475</v>
      </c>
      <c r="CU170" t="s">
        <v>407</v>
      </c>
      <c r="CV170" t="s">
        <v>408</v>
      </c>
      <c r="CW170" s="32" t="s">
        <v>407</v>
      </c>
      <c r="CX170" t="s">
        <v>83</v>
      </c>
      <c r="CY170" t="s">
        <v>407</v>
      </c>
      <c r="CZ170" t="s">
        <v>408</v>
      </c>
      <c r="DA170" t="s">
        <v>407</v>
      </c>
      <c r="DB170" t="s">
        <v>598</v>
      </c>
      <c r="DC170" t="s">
        <v>407</v>
      </c>
      <c r="DD170" t="s">
        <v>599</v>
      </c>
      <c r="DE170" t="str">
        <f t="shared" si="5"/>
        <v>%IF(K60%"Poplar","PAINT",IF(K60%"Red Oak","SGO",IF(K60%"Maple","SM","SPPN")))</v>
      </c>
      <c r="DO170" t="s">
        <v>513</v>
      </c>
    </row>
    <row r="171" spans="6:119" x14ac:dyDescent="0.25">
      <c r="F171" t="s">
        <v>200</v>
      </c>
      <c r="H171" t="s">
        <v>260</v>
      </c>
      <c r="M171" t="s">
        <v>322</v>
      </c>
      <c r="O171" t="s">
        <v>341</v>
      </c>
      <c r="T171" t="s">
        <v>344</v>
      </c>
      <c r="U171" t="s">
        <v>345</v>
      </c>
      <c r="V171" t="s">
        <v>346</v>
      </c>
      <c r="W171" t="s">
        <v>388</v>
      </c>
      <c r="X171" t="s">
        <v>344</v>
      </c>
      <c r="Y171" t="s">
        <v>407</v>
      </c>
      <c r="Z171" t="s">
        <v>27</v>
      </c>
      <c r="AA171" t="s">
        <v>407</v>
      </c>
      <c r="AB171" t="s">
        <v>408</v>
      </c>
      <c r="AC171" t="s">
        <v>407</v>
      </c>
      <c r="AD171" t="s">
        <v>27</v>
      </c>
      <c r="AE171" t="s">
        <v>407</v>
      </c>
      <c r="AF171" t="s">
        <v>408</v>
      </c>
      <c r="AG171" t="s">
        <v>345</v>
      </c>
      <c r="AH171" t="s">
        <v>346</v>
      </c>
      <c r="AI171" t="s">
        <v>388</v>
      </c>
      <c r="AJ171" t="s">
        <v>344</v>
      </c>
      <c r="AK171" t="s">
        <v>407</v>
      </c>
      <c r="AL171" t="s">
        <v>279</v>
      </c>
      <c r="AM171" t="s">
        <v>407</v>
      </c>
      <c r="AN171" t="s">
        <v>408</v>
      </c>
      <c r="AO171" t="s">
        <v>407</v>
      </c>
      <c r="AP171" t="s">
        <v>53</v>
      </c>
      <c r="AQ171" t="s">
        <v>407</v>
      </c>
      <c r="AR171" t="s">
        <v>408</v>
      </c>
      <c r="AS171" t="s">
        <v>407</v>
      </c>
      <c r="AT171" t="s">
        <v>407</v>
      </c>
      <c r="AU171" t="s">
        <v>409</v>
      </c>
      <c r="AV171" t="s">
        <v>409</v>
      </c>
      <c r="AW171" t="str">
        <f t="shared" si="4"/>
        <v>#if(J60#"JE","JE",if(J60#"Drilled","JC",""))</v>
      </c>
      <c r="BC171" t="s">
        <v>454</v>
      </c>
      <c r="BJ171" t="s">
        <v>517</v>
      </c>
      <c r="BQ171" t="s">
        <v>600</v>
      </c>
      <c r="BR171" t="s">
        <v>346</v>
      </c>
      <c r="BS171" t="s">
        <v>577</v>
      </c>
      <c r="BT171" t="s">
        <v>596</v>
      </c>
      <c r="BU171" t="s">
        <v>407</v>
      </c>
      <c r="BV171" t="s">
        <v>157</v>
      </c>
      <c r="BW171" t="s">
        <v>407</v>
      </c>
      <c r="BX171" t="s">
        <v>408</v>
      </c>
      <c r="BY171" t="s">
        <v>407</v>
      </c>
      <c r="BZ171" t="s">
        <v>80</v>
      </c>
      <c r="CA171" t="s">
        <v>407</v>
      </c>
      <c r="CB171" t="s">
        <v>408</v>
      </c>
      <c r="CC171" t="s">
        <v>597</v>
      </c>
      <c r="CD171" t="s">
        <v>346</v>
      </c>
      <c r="CE171" t="s">
        <v>577</v>
      </c>
      <c r="CF171" t="s">
        <v>596</v>
      </c>
      <c r="CG171" s="32" t="s">
        <v>407</v>
      </c>
      <c r="CH171" t="s">
        <v>411</v>
      </c>
      <c r="CI171" t="s">
        <v>407</v>
      </c>
      <c r="CJ171" t="s">
        <v>408</v>
      </c>
      <c r="CK171" s="32" t="s">
        <v>407</v>
      </c>
      <c r="CL171" t="s">
        <v>29</v>
      </c>
      <c r="CM171" t="s">
        <v>407</v>
      </c>
      <c r="CN171" t="s">
        <v>408</v>
      </c>
      <c r="CO171" t="s">
        <v>597</v>
      </c>
      <c r="CP171" t="s">
        <v>346</v>
      </c>
      <c r="CQ171" t="s">
        <v>577</v>
      </c>
      <c r="CR171" t="s">
        <v>596</v>
      </c>
      <c r="CS171" s="32" t="s">
        <v>407</v>
      </c>
      <c r="CT171" t="s">
        <v>475</v>
      </c>
      <c r="CU171" t="s">
        <v>407</v>
      </c>
      <c r="CV171" t="s">
        <v>408</v>
      </c>
      <c r="CW171" s="32" t="s">
        <v>407</v>
      </c>
      <c r="CX171" t="s">
        <v>83</v>
      </c>
      <c r="CY171" t="s">
        <v>407</v>
      </c>
      <c r="CZ171" t="s">
        <v>408</v>
      </c>
      <c r="DA171" t="s">
        <v>407</v>
      </c>
      <c r="DB171" t="s">
        <v>598</v>
      </c>
      <c r="DC171" t="s">
        <v>407</v>
      </c>
      <c r="DD171" t="s">
        <v>599</v>
      </c>
      <c r="DE171" t="str">
        <f t="shared" si="5"/>
        <v>%IF(K60%"Poplar","PAINT",IF(K60%"Red Oak","SGO",IF(K60%"Maple","SM","SPPN")))</v>
      </c>
      <c r="DO171" t="s">
        <v>514</v>
      </c>
    </row>
    <row r="172" spans="6:119" x14ac:dyDescent="0.25">
      <c r="F172" t="s">
        <v>200</v>
      </c>
      <c r="H172" t="s">
        <v>260</v>
      </c>
      <c r="M172" t="s">
        <v>322</v>
      </c>
      <c r="O172" t="s">
        <v>341</v>
      </c>
      <c r="T172" t="s">
        <v>344</v>
      </c>
      <c r="U172" t="s">
        <v>345</v>
      </c>
      <c r="V172" t="s">
        <v>346</v>
      </c>
      <c r="W172" t="s">
        <v>388</v>
      </c>
      <c r="X172" t="s">
        <v>344</v>
      </c>
      <c r="Y172" t="s">
        <v>407</v>
      </c>
      <c r="Z172" t="s">
        <v>27</v>
      </c>
      <c r="AA172" t="s">
        <v>407</v>
      </c>
      <c r="AB172" t="s">
        <v>408</v>
      </c>
      <c r="AC172" t="s">
        <v>407</v>
      </c>
      <c r="AD172" t="s">
        <v>27</v>
      </c>
      <c r="AE172" t="s">
        <v>407</v>
      </c>
      <c r="AF172" t="s">
        <v>408</v>
      </c>
      <c r="AG172" t="s">
        <v>345</v>
      </c>
      <c r="AH172" t="s">
        <v>346</v>
      </c>
      <c r="AI172" t="s">
        <v>388</v>
      </c>
      <c r="AJ172" t="s">
        <v>344</v>
      </c>
      <c r="AK172" t="s">
        <v>407</v>
      </c>
      <c r="AL172" t="s">
        <v>279</v>
      </c>
      <c r="AM172" t="s">
        <v>407</v>
      </c>
      <c r="AN172" t="s">
        <v>408</v>
      </c>
      <c r="AO172" t="s">
        <v>407</v>
      </c>
      <c r="AP172" t="s">
        <v>53</v>
      </c>
      <c r="AQ172" t="s">
        <v>407</v>
      </c>
      <c r="AR172" t="s">
        <v>408</v>
      </c>
      <c r="AS172" t="s">
        <v>407</v>
      </c>
      <c r="AT172" t="s">
        <v>407</v>
      </c>
      <c r="AU172" t="s">
        <v>409</v>
      </c>
      <c r="AV172" t="s">
        <v>409</v>
      </c>
      <c r="AW172" t="str">
        <f t="shared" si="4"/>
        <v>#if(J60#"JE","JE",if(J60#"Drilled","JC",""))</v>
      </c>
      <c r="BC172" t="s">
        <v>454</v>
      </c>
      <c r="BJ172" t="s">
        <v>517</v>
      </c>
      <c r="BQ172" t="s">
        <v>600</v>
      </c>
      <c r="BR172" t="s">
        <v>346</v>
      </c>
      <c r="BS172" t="s">
        <v>577</v>
      </c>
      <c r="BT172" t="s">
        <v>596</v>
      </c>
      <c r="BU172" t="s">
        <v>407</v>
      </c>
      <c r="BV172" t="s">
        <v>157</v>
      </c>
      <c r="BW172" t="s">
        <v>407</v>
      </c>
      <c r="BX172" t="s">
        <v>408</v>
      </c>
      <c r="BY172" t="s">
        <v>407</v>
      </c>
      <c r="BZ172" t="s">
        <v>80</v>
      </c>
      <c r="CA172" t="s">
        <v>407</v>
      </c>
      <c r="CB172" t="s">
        <v>408</v>
      </c>
      <c r="CC172" t="s">
        <v>597</v>
      </c>
      <c r="CD172" t="s">
        <v>346</v>
      </c>
      <c r="CE172" t="s">
        <v>577</v>
      </c>
      <c r="CF172" t="s">
        <v>596</v>
      </c>
      <c r="CG172" s="32" t="s">
        <v>407</v>
      </c>
      <c r="CH172" t="s">
        <v>411</v>
      </c>
      <c r="CI172" t="s">
        <v>407</v>
      </c>
      <c r="CJ172" t="s">
        <v>408</v>
      </c>
      <c r="CK172" s="32" t="s">
        <v>407</v>
      </c>
      <c r="CL172" t="s">
        <v>29</v>
      </c>
      <c r="CM172" t="s">
        <v>407</v>
      </c>
      <c r="CN172" t="s">
        <v>408</v>
      </c>
      <c r="CO172" t="s">
        <v>597</v>
      </c>
      <c r="CP172" t="s">
        <v>346</v>
      </c>
      <c r="CQ172" t="s">
        <v>577</v>
      </c>
      <c r="CR172" t="s">
        <v>596</v>
      </c>
      <c r="CS172" s="32" t="s">
        <v>407</v>
      </c>
      <c r="CT172" t="s">
        <v>475</v>
      </c>
      <c r="CU172" t="s">
        <v>407</v>
      </c>
      <c r="CV172" t="s">
        <v>408</v>
      </c>
      <c r="CW172" s="32" t="s">
        <v>407</v>
      </c>
      <c r="CX172" t="s">
        <v>83</v>
      </c>
      <c r="CY172" t="s">
        <v>407</v>
      </c>
      <c r="CZ172" t="s">
        <v>408</v>
      </c>
      <c r="DA172" t="s">
        <v>407</v>
      </c>
      <c r="DB172" t="s">
        <v>598</v>
      </c>
      <c r="DC172" t="s">
        <v>407</v>
      </c>
      <c r="DD172" t="s">
        <v>599</v>
      </c>
      <c r="DE172" t="str">
        <f t="shared" si="5"/>
        <v>%IF(K60%"Poplar","PAINT",IF(K60%"Red Oak","SGO",IF(K60%"Maple","SM","SPPN")))</v>
      </c>
      <c r="DO172" t="s">
        <v>514</v>
      </c>
    </row>
    <row r="173" spans="6:119" x14ac:dyDescent="0.25">
      <c r="F173" t="s">
        <v>201</v>
      </c>
      <c r="H173" t="s">
        <v>261</v>
      </c>
      <c r="M173" t="s">
        <v>323</v>
      </c>
      <c r="O173" t="s">
        <v>341</v>
      </c>
      <c r="T173" t="s">
        <v>344</v>
      </c>
      <c r="U173" t="s">
        <v>345</v>
      </c>
      <c r="V173" t="s">
        <v>346</v>
      </c>
      <c r="W173" t="s">
        <v>389</v>
      </c>
      <c r="X173" t="s">
        <v>344</v>
      </c>
      <c r="Y173" t="s">
        <v>407</v>
      </c>
      <c r="Z173" t="s">
        <v>27</v>
      </c>
      <c r="AA173" t="s">
        <v>407</v>
      </c>
      <c r="AB173" t="s">
        <v>408</v>
      </c>
      <c r="AC173" t="s">
        <v>407</v>
      </c>
      <c r="AD173" t="s">
        <v>27</v>
      </c>
      <c r="AE173" t="s">
        <v>407</v>
      </c>
      <c r="AF173" t="s">
        <v>408</v>
      </c>
      <c r="AG173" t="s">
        <v>345</v>
      </c>
      <c r="AH173" t="s">
        <v>346</v>
      </c>
      <c r="AI173" t="s">
        <v>389</v>
      </c>
      <c r="AJ173" t="s">
        <v>344</v>
      </c>
      <c r="AK173" t="s">
        <v>407</v>
      </c>
      <c r="AL173" t="s">
        <v>279</v>
      </c>
      <c r="AM173" t="s">
        <v>407</v>
      </c>
      <c r="AN173" t="s">
        <v>408</v>
      </c>
      <c r="AO173" t="s">
        <v>407</v>
      </c>
      <c r="AP173" t="s">
        <v>53</v>
      </c>
      <c r="AQ173" t="s">
        <v>407</v>
      </c>
      <c r="AR173" t="s">
        <v>408</v>
      </c>
      <c r="AS173" t="s">
        <v>407</v>
      </c>
      <c r="AT173" t="s">
        <v>407</v>
      </c>
      <c r="AU173" t="s">
        <v>409</v>
      </c>
      <c r="AV173" t="s">
        <v>409</v>
      </c>
      <c r="AW173" t="str">
        <f t="shared" si="4"/>
        <v>#if(J61#"JE","JE",if(J61#"Drilled","JC",""))</v>
      </c>
      <c r="BC173" t="s">
        <v>455</v>
      </c>
      <c r="BJ173" t="s">
        <v>518</v>
      </c>
      <c r="BQ173" t="s">
        <v>600</v>
      </c>
      <c r="BR173" t="s">
        <v>346</v>
      </c>
      <c r="BS173" t="s">
        <v>578</v>
      </c>
      <c r="BT173" t="s">
        <v>596</v>
      </c>
      <c r="BU173" t="s">
        <v>407</v>
      </c>
      <c r="BV173" t="s">
        <v>157</v>
      </c>
      <c r="BW173" t="s">
        <v>407</v>
      </c>
      <c r="BX173" t="s">
        <v>408</v>
      </c>
      <c r="BY173" t="s">
        <v>407</v>
      </c>
      <c r="BZ173" t="s">
        <v>80</v>
      </c>
      <c r="CA173" t="s">
        <v>407</v>
      </c>
      <c r="CB173" t="s">
        <v>408</v>
      </c>
      <c r="CC173" t="s">
        <v>597</v>
      </c>
      <c r="CD173" t="s">
        <v>346</v>
      </c>
      <c r="CE173" t="s">
        <v>578</v>
      </c>
      <c r="CF173" t="s">
        <v>596</v>
      </c>
      <c r="CG173" s="32" t="s">
        <v>407</v>
      </c>
      <c r="CH173" t="s">
        <v>411</v>
      </c>
      <c r="CI173" t="s">
        <v>407</v>
      </c>
      <c r="CJ173" t="s">
        <v>408</v>
      </c>
      <c r="CK173" s="32" t="s">
        <v>407</v>
      </c>
      <c r="CL173" t="s">
        <v>29</v>
      </c>
      <c r="CM173" t="s">
        <v>407</v>
      </c>
      <c r="CN173" t="s">
        <v>408</v>
      </c>
      <c r="CO173" t="s">
        <v>597</v>
      </c>
      <c r="CP173" t="s">
        <v>346</v>
      </c>
      <c r="CQ173" t="s">
        <v>578</v>
      </c>
      <c r="CR173" t="s">
        <v>596</v>
      </c>
      <c r="CS173" s="32" t="s">
        <v>407</v>
      </c>
      <c r="CT173" t="s">
        <v>475</v>
      </c>
      <c r="CU173" t="s">
        <v>407</v>
      </c>
      <c r="CV173" t="s">
        <v>408</v>
      </c>
      <c r="CW173" s="32" t="s">
        <v>407</v>
      </c>
      <c r="CX173" t="s">
        <v>83</v>
      </c>
      <c r="CY173" t="s">
        <v>407</v>
      </c>
      <c r="CZ173" t="s">
        <v>408</v>
      </c>
      <c r="DA173" t="s">
        <v>407</v>
      </c>
      <c r="DB173" t="s">
        <v>598</v>
      </c>
      <c r="DC173" t="s">
        <v>407</v>
      </c>
      <c r="DD173" t="s">
        <v>599</v>
      </c>
      <c r="DE173" t="str">
        <f t="shared" si="5"/>
        <v>%IF(K61%"Poplar","PAINT",IF(K61%"Red Oak","SGO",IF(K61%"Maple","SM","SPPN")))</v>
      </c>
      <c r="DO173" t="s">
        <v>514</v>
      </c>
    </row>
    <row r="174" spans="6:119" x14ac:dyDescent="0.25">
      <c r="F174" t="s">
        <v>201</v>
      </c>
      <c r="H174" t="s">
        <v>261</v>
      </c>
      <c r="M174" t="s">
        <v>323</v>
      </c>
      <c r="O174" t="s">
        <v>341</v>
      </c>
      <c r="T174" t="s">
        <v>344</v>
      </c>
      <c r="U174" t="s">
        <v>345</v>
      </c>
      <c r="V174" t="s">
        <v>346</v>
      </c>
      <c r="W174" t="s">
        <v>389</v>
      </c>
      <c r="X174" t="s">
        <v>344</v>
      </c>
      <c r="Y174" t="s">
        <v>407</v>
      </c>
      <c r="Z174" t="s">
        <v>27</v>
      </c>
      <c r="AA174" t="s">
        <v>407</v>
      </c>
      <c r="AB174" t="s">
        <v>408</v>
      </c>
      <c r="AC174" t="s">
        <v>407</v>
      </c>
      <c r="AD174" t="s">
        <v>27</v>
      </c>
      <c r="AE174" t="s">
        <v>407</v>
      </c>
      <c r="AF174" t="s">
        <v>408</v>
      </c>
      <c r="AG174" t="s">
        <v>345</v>
      </c>
      <c r="AH174" t="s">
        <v>346</v>
      </c>
      <c r="AI174" t="s">
        <v>389</v>
      </c>
      <c r="AJ174" t="s">
        <v>344</v>
      </c>
      <c r="AK174" t="s">
        <v>407</v>
      </c>
      <c r="AL174" t="s">
        <v>279</v>
      </c>
      <c r="AM174" t="s">
        <v>407</v>
      </c>
      <c r="AN174" t="s">
        <v>408</v>
      </c>
      <c r="AO174" t="s">
        <v>407</v>
      </c>
      <c r="AP174" t="s">
        <v>53</v>
      </c>
      <c r="AQ174" t="s">
        <v>407</v>
      </c>
      <c r="AR174" t="s">
        <v>408</v>
      </c>
      <c r="AS174" t="s">
        <v>407</v>
      </c>
      <c r="AT174" t="s">
        <v>407</v>
      </c>
      <c r="AU174" t="s">
        <v>409</v>
      </c>
      <c r="AV174" t="s">
        <v>409</v>
      </c>
      <c r="AW174" t="str">
        <f t="shared" si="4"/>
        <v>#if(J61#"JE","JE",if(J61#"Drilled","JC",""))</v>
      </c>
      <c r="BC174" t="s">
        <v>455</v>
      </c>
      <c r="BJ174" t="s">
        <v>518</v>
      </c>
      <c r="BQ174" t="s">
        <v>600</v>
      </c>
      <c r="BR174" t="s">
        <v>346</v>
      </c>
      <c r="BS174" t="s">
        <v>578</v>
      </c>
      <c r="BT174" t="s">
        <v>596</v>
      </c>
      <c r="BU174" t="s">
        <v>407</v>
      </c>
      <c r="BV174" t="s">
        <v>157</v>
      </c>
      <c r="BW174" t="s">
        <v>407</v>
      </c>
      <c r="BX174" t="s">
        <v>408</v>
      </c>
      <c r="BY174" t="s">
        <v>407</v>
      </c>
      <c r="BZ174" t="s">
        <v>80</v>
      </c>
      <c r="CA174" t="s">
        <v>407</v>
      </c>
      <c r="CB174" t="s">
        <v>408</v>
      </c>
      <c r="CC174" t="s">
        <v>597</v>
      </c>
      <c r="CD174" t="s">
        <v>346</v>
      </c>
      <c r="CE174" t="s">
        <v>578</v>
      </c>
      <c r="CF174" t="s">
        <v>596</v>
      </c>
      <c r="CG174" s="32" t="s">
        <v>407</v>
      </c>
      <c r="CH174" t="s">
        <v>411</v>
      </c>
      <c r="CI174" t="s">
        <v>407</v>
      </c>
      <c r="CJ174" t="s">
        <v>408</v>
      </c>
      <c r="CK174" s="32" t="s">
        <v>407</v>
      </c>
      <c r="CL174" t="s">
        <v>29</v>
      </c>
      <c r="CM174" t="s">
        <v>407</v>
      </c>
      <c r="CN174" t="s">
        <v>408</v>
      </c>
      <c r="CO174" t="s">
        <v>597</v>
      </c>
      <c r="CP174" t="s">
        <v>346</v>
      </c>
      <c r="CQ174" t="s">
        <v>578</v>
      </c>
      <c r="CR174" t="s">
        <v>596</v>
      </c>
      <c r="CS174" s="32" t="s">
        <v>407</v>
      </c>
      <c r="CT174" t="s">
        <v>475</v>
      </c>
      <c r="CU174" t="s">
        <v>407</v>
      </c>
      <c r="CV174" t="s">
        <v>408</v>
      </c>
      <c r="CW174" s="32" t="s">
        <v>407</v>
      </c>
      <c r="CX174" t="s">
        <v>83</v>
      </c>
      <c r="CY174" t="s">
        <v>407</v>
      </c>
      <c r="CZ174" t="s">
        <v>408</v>
      </c>
      <c r="DA174" t="s">
        <v>407</v>
      </c>
      <c r="DB174" t="s">
        <v>598</v>
      </c>
      <c r="DC174" t="s">
        <v>407</v>
      </c>
      <c r="DD174" t="s">
        <v>599</v>
      </c>
      <c r="DE174" t="str">
        <f t="shared" si="5"/>
        <v>%IF(K61%"Poplar","PAINT",IF(K61%"Red Oak","SGO",IF(K61%"Maple","SM","SPPN")))</v>
      </c>
      <c r="DO174" t="s">
        <v>514</v>
      </c>
    </row>
    <row r="175" spans="6:119" x14ac:dyDescent="0.25">
      <c r="F175" t="s">
        <v>201</v>
      </c>
      <c r="H175" t="s">
        <v>261</v>
      </c>
      <c r="M175" t="s">
        <v>323</v>
      </c>
      <c r="O175" t="s">
        <v>341</v>
      </c>
      <c r="T175" t="s">
        <v>344</v>
      </c>
      <c r="U175" t="s">
        <v>345</v>
      </c>
      <c r="V175" t="s">
        <v>346</v>
      </c>
      <c r="W175" t="s">
        <v>389</v>
      </c>
      <c r="X175" t="s">
        <v>344</v>
      </c>
      <c r="Y175" t="s">
        <v>407</v>
      </c>
      <c r="Z175" t="s">
        <v>27</v>
      </c>
      <c r="AA175" t="s">
        <v>407</v>
      </c>
      <c r="AB175" t="s">
        <v>408</v>
      </c>
      <c r="AC175" t="s">
        <v>407</v>
      </c>
      <c r="AD175" t="s">
        <v>27</v>
      </c>
      <c r="AE175" t="s">
        <v>407</v>
      </c>
      <c r="AF175" t="s">
        <v>408</v>
      </c>
      <c r="AG175" t="s">
        <v>345</v>
      </c>
      <c r="AH175" t="s">
        <v>346</v>
      </c>
      <c r="AI175" t="s">
        <v>389</v>
      </c>
      <c r="AJ175" t="s">
        <v>344</v>
      </c>
      <c r="AK175" t="s">
        <v>407</v>
      </c>
      <c r="AL175" t="s">
        <v>279</v>
      </c>
      <c r="AM175" t="s">
        <v>407</v>
      </c>
      <c r="AN175" t="s">
        <v>408</v>
      </c>
      <c r="AO175" t="s">
        <v>407</v>
      </c>
      <c r="AP175" t="s">
        <v>53</v>
      </c>
      <c r="AQ175" t="s">
        <v>407</v>
      </c>
      <c r="AR175" t="s">
        <v>408</v>
      </c>
      <c r="AS175" t="s">
        <v>407</v>
      </c>
      <c r="AT175" t="s">
        <v>407</v>
      </c>
      <c r="AU175" t="s">
        <v>409</v>
      </c>
      <c r="AV175" t="s">
        <v>409</v>
      </c>
      <c r="AW175" t="str">
        <f t="shared" si="4"/>
        <v>#if(J61#"JE","JE",if(J61#"Drilled","JC",""))</v>
      </c>
      <c r="BC175" t="s">
        <v>455</v>
      </c>
      <c r="BJ175" t="s">
        <v>518</v>
      </c>
      <c r="BQ175" t="s">
        <v>600</v>
      </c>
      <c r="BR175" t="s">
        <v>346</v>
      </c>
      <c r="BS175" t="s">
        <v>578</v>
      </c>
      <c r="BT175" t="s">
        <v>596</v>
      </c>
      <c r="BU175" t="s">
        <v>407</v>
      </c>
      <c r="BV175" t="s">
        <v>157</v>
      </c>
      <c r="BW175" t="s">
        <v>407</v>
      </c>
      <c r="BX175" t="s">
        <v>408</v>
      </c>
      <c r="BY175" t="s">
        <v>407</v>
      </c>
      <c r="BZ175" t="s">
        <v>80</v>
      </c>
      <c r="CA175" t="s">
        <v>407</v>
      </c>
      <c r="CB175" t="s">
        <v>408</v>
      </c>
      <c r="CC175" t="s">
        <v>597</v>
      </c>
      <c r="CD175" t="s">
        <v>346</v>
      </c>
      <c r="CE175" t="s">
        <v>578</v>
      </c>
      <c r="CF175" t="s">
        <v>596</v>
      </c>
      <c r="CG175" s="32" t="s">
        <v>407</v>
      </c>
      <c r="CH175" t="s">
        <v>411</v>
      </c>
      <c r="CI175" t="s">
        <v>407</v>
      </c>
      <c r="CJ175" t="s">
        <v>408</v>
      </c>
      <c r="CK175" s="32" t="s">
        <v>407</v>
      </c>
      <c r="CL175" t="s">
        <v>29</v>
      </c>
      <c r="CM175" t="s">
        <v>407</v>
      </c>
      <c r="CN175" t="s">
        <v>408</v>
      </c>
      <c r="CO175" t="s">
        <v>597</v>
      </c>
      <c r="CP175" t="s">
        <v>346</v>
      </c>
      <c r="CQ175" t="s">
        <v>578</v>
      </c>
      <c r="CR175" t="s">
        <v>596</v>
      </c>
      <c r="CS175" s="32" t="s">
        <v>407</v>
      </c>
      <c r="CT175" t="s">
        <v>475</v>
      </c>
      <c r="CU175" t="s">
        <v>407</v>
      </c>
      <c r="CV175" t="s">
        <v>408</v>
      </c>
      <c r="CW175" s="32" t="s">
        <v>407</v>
      </c>
      <c r="CX175" t="s">
        <v>83</v>
      </c>
      <c r="CY175" t="s">
        <v>407</v>
      </c>
      <c r="CZ175" t="s">
        <v>408</v>
      </c>
      <c r="DA175" t="s">
        <v>407</v>
      </c>
      <c r="DB175" t="s">
        <v>598</v>
      </c>
      <c r="DC175" t="s">
        <v>407</v>
      </c>
      <c r="DD175" t="s">
        <v>599</v>
      </c>
      <c r="DE175" t="str">
        <f t="shared" si="5"/>
        <v>%IF(K61%"Poplar","PAINT",IF(K61%"Red Oak","SGO",IF(K61%"Maple","SM","SPPN")))</v>
      </c>
      <c r="DO175" t="s">
        <v>515</v>
      </c>
    </row>
    <row r="176" spans="6:119" x14ac:dyDescent="0.25">
      <c r="F176" t="s">
        <v>201</v>
      </c>
      <c r="H176" t="s">
        <v>261</v>
      </c>
      <c r="M176" t="s">
        <v>323</v>
      </c>
      <c r="O176" t="s">
        <v>341</v>
      </c>
      <c r="T176" t="s">
        <v>344</v>
      </c>
      <c r="U176" t="s">
        <v>345</v>
      </c>
      <c r="V176" t="s">
        <v>346</v>
      </c>
      <c r="W176" t="s">
        <v>389</v>
      </c>
      <c r="X176" t="s">
        <v>344</v>
      </c>
      <c r="Y176" t="s">
        <v>407</v>
      </c>
      <c r="Z176" t="s">
        <v>27</v>
      </c>
      <c r="AA176" t="s">
        <v>407</v>
      </c>
      <c r="AB176" t="s">
        <v>408</v>
      </c>
      <c r="AC176" t="s">
        <v>407</v>
      </c>
      <c r="AD176" t="s">
        <v>27</v>
      </c>
      <c r="AE176" t="s">
        <v>407</v>
      </c>
      <c r="AF176" t="s">
        <v>408</v>
      </c>
      <c r="AG176" t="s">
        <v>345</v>
      </c>
      <c r="AH176" t="s">
        <v>346</v>
      </c>
      <c r="AI176" t="s">
        <v>389</v>
      </c>
      <c r="AJ176" t="s">
        <v>344</v>
      </c>
      <c r="AK176" t="s">
        <v>407</v>
      </c>
      <c r="AL176" t="s">
        <v>279</v>
      </c>
      <c r="AM176" t="s">
        <v>407</v>
      </c>
      <c r="AN176" t="s">
        <v>408</v>
      </c>
      <c r="AO176" t="s">
        <v>407</v>
      </c>
      <c r="AP176" t="s">
        <v>53</v>
      </c>
      <c r="AQ176" t="s">
        <v>407</v>
      </c>
      <c r="AR176" t="s">
        <v>408</v>
      </c>
      <c r="AS176" t="s">
        <v>407</v>
      </c>
      <c r="AT176" t="s">
        <v>407</v>
      </c>
      <c r="AU176" t="s">
        <v>409</v>
      </c>
      <c r="AV176" t="s">
        <v>409</v>
      </c>
      <c r="AW176" t="str">
        <f t="shared" si="4"/>
        <v>#if(J61#"JE","JE",if(J61#"Drilled","JC",""))</v>
      </c>
      <c r="BC176" t="s">
        <v>455</v>
      </c>
      <c r="BJ176" t="s">
        <v>518</v>
      </c>
      <c r="BQ176" t="s">
        <v>600</v>
      </c>
      <c r="BR176" t="s">
        <v>346</v>
      </c>
      <c r="BS176" t="s">
        <v>578</v>
      </c>
      <c r="BT176" t="s">
        <v>596</v>
      </c>
      <c r="BU176" t="s">
        <v>407</v>
      </c>
      <c r="BV176" t="s">
        <v>157</v>
      </c>
      <c r="BW176" t="s">
        <v>407</v>
      </c>
      <c r="BX176" t="s">
        <v>408</v>
      </c>
      <c r="BY176" t="s">
        <v>407</v>
      </c>
      <c r="BZ176" t="s">
        <v>80</v>
      </c>
      <c r="CA176" t="s">
        <v>407</v>
      </c>
      <c r="CB176" t="s">
        <v>408</v>
      </c>
      <c r="CC176" t="s">
        <v>597</v>
      </c>
      <c r="CD176" t="s">
        <v>346</v>
      </c>
      <c r="CE176" t="s">
        <v>578</v>
      </c>
      <c r="CF176" t="s">
        <v>596</v>
      </c>
      <c r="CG176" s="32" t="s">
        <v>407</v>
      </c>
      <c r="CH176" t="s">
        <v>411</v>
      </c>
      <c r="CI176" t="s">
        <v>407</v>
      </c>
      <c r="CJ176" t="s">
        <v>408</v>
      </c>
      <c r="CK176" s="32" t="s">
        <v>407</v>
      </c>
      <c r="CL176" t="s">
        <v>29</v>
      </c>
      <c r="CM176" t="s">
        <v>407</v>
      </c>
      <c r="CN176" t="s">
        <v>408</v>
      </c>
      <c r="CO176" t="s">
        <v>597</v>
      </c>
      <c r="CP176" t="s">
        <v>346</v>
      </c>
      <c r="CQ176" t="s">
        <v>578</v>
      </c>
      <c r="CR176" t="s">
        <v>596</v>
      </c>
      <c r="CS176" s="32" t="s">
        <v>407</v>
      </c>
      <c r="CT176" t="s">
        <v>475</v>
      </c>
      <c r="CU176" t="s">
        <v>407</v>
      </c>
      <c r="CV176" t="s">
        <v>408</v>
      </c>
      <c r="CW176" s="32" t="s">
        <v>407</v>
      </c>
      <c r="CX176" t="s">
        <v>83</v>
      </c>
      <c r="CY176" t="s">
        <v>407</v>
      </c>
      <c r="CZ176" t="s">
        <v>408</v>
      </c>
      <c r="DA176" t="s">
        <v>407</v>
      </c>
      <c r="DB176" t="s">
        <v>598</v>
      </c>
      <c r="DC176" t="s">
        <v>407</v>
      </c>
      <c r="DD176" t="s">
        <v>599</v>
      </c>
      <c r="DE176" t="str">
        <f t="shared" si="5"/>
        <v>%IF(K61%"Poplar","PAINT",IF(K61%"Red Oak","SGO",IF(K61%"Maple","SM","SPPN")))</v>
      </c>
      <c r="DO176" t="s">
        <v>515</v>
      </c>
    </row>
    <row r="177" spans="6:119" x14ac:dyDescent="0.25">
      <c r="F177" t="s">
        <v>202</v>
      </c>
      <c r="H177" t="s">
        <v>262</v>
      </c>
      <c r="M177" t="s">
        <v>324</v>
      </c>
      <c r="O177" t="s">
        <v>341</v>
      </c>
      <c r="T177" t="s">
        <v>344</v>
      </c>
      <c r="U177" t="s">
        <v>345</v>
      </c>
      <c r="V177" t="s">
        <v>346</v>
      </c>
      <c r="W177" t="s">
        <v>390</v>
      </c>
      <c r="X177" t="s">
        <v>344</v>
      </c>
      <c r="Y177" t="s">
        <v>407</v>
      </c>
      <c r="Z177" t="s">
        <v>27</v>
      </c>
      <c r="AA177" t="s">
        <v>407</v>
      </c>
      <c r="AB177" t="s">
        <v>408</v>
      </c>
      <c r="AC177" t="s">
        <v>407</v>
      </c>
      <c r="AD177" t="s">
        <v>27</v>
      </c>
      <c r="AE177" t="s">
        <v>407</v>
      </c>
      <c r="AF177" t="s">
        <v>408</v>
      </c>
      <c r="AG177" t="s">
        <v>345</v>
      </c>
      <c r="AH177" t="s">
        <v>346</v>
      </c>
      <c r="AI177" t="s">
        <v>390</v>
      </c>
      <c r="AJ177" t="s">
        <v>344</v>
      </c>
      <c r="AK177" t="s">
        <v>407</v>
      </c>
      <c r="AL177" t="s">
        <v>279</v>
      </c>
      <c r="AM177" t="s">
        <v>407</v>
      </c>
      <c r="AN177" t="s">
        <v>408</v>
      </c>
      <c r="AO177" t="s">
        <v>407</v>
      </c>
      <c r="AP177" t="s">
        <v>53</v>
      </c>
      <c r="AQ177" t="s">
        <v>407</v>
      </c>
      <c r="AR177" t="s">
        <v>408</v>
      </c>
      <c r="AS177" t="s">
        <v>407</v>
      </c>
      <c r="AT177" t="s">
        <v>407</v>
      </c>
      <c r="AU177" t="s">
        <v>409</v>
      </c>
      <c r="AV177" t="s">
        <v>409</v>
      </c>
      <c r="AW177" t="str">
        <f t="shared" si="4"/>
        <v>#if(J62#"JE","JE",if(J62#"Drilled","JC",""))</v>
      </c>
      <c r="BC177" t="s">
        <v>456</v>
      </c>
      <c r="BJ177" t="s">
        <v>519</v>
      </c>
      <c r="BQ177" t="s">
        <v>600</v>
      </c>
      <c r="BR177" t="s">
        <v>346</v>
      </c>
      <c r="BS177" t="s">
        <v>579</v>
      </c>
      <c r="BT177" t="s">
        <v>596</v>
      </c>
      <c r="BU177" t="s">
        <v>407</v>
      </c>
      <c r="BV177" t="s">
        <v>157</v>
      </c>
      <c r="BW177" t="s">
        <v>407</v>
      </c>
      <c r="BX177" t="s">
        <v>408</v>
      </c>
      <c r="BY177" t="s">
        <v>407</v>
      </c>
      <c r="BZ177" t="s">
        <v>80</v>
      </c>
      <c r="CA177" t="s">
        <v>407</v>
      </c>
      <c r="CB177" t="s">
        <v>408</v>
      </c>
      <c r="CC177" t="s">
        <v>597</v>
      </c>
      <c r="CD177" t="s">
        <v>346</v>
      </c>
      <c r="CE177" t="s">
        <v>579</v>
      </c>
      <c r="CF177" t="s">
        <v>596</v>
      </c>
      <c r="CG177" s="32" t="s">
        <v>407</v>
      </c>
      <c r="CH177" t="s">
        <v>411</v>
      </c>
      <c r="CI177" t="s">
        <v>407</v>
      </c>
      <c r="CJ177" t="s">
        <v>408</v>
      </c>
      <c r="CK177" s="32" t="s">
        <v>407</v>
      </c>
      <c r="CL177" t="s">
        <v>29</v>
      </c>
      <c r="CM177" t="s">
        <v>407</v>
      </c>
      <c r="CN177" t="s">
        <v>408</v>
      </c>
      <c r="CO177" t="s">
        <v>597</v>
      </c>
      <c r="CP177" t="s">
        <v>346</v>
      </c>
      <c r="CQ177" t="s">
        <v>579</v>
      </c>
      <c r="CR177" t="s">
        <v>596</v>
      </c>
      <c r="CS177" s="32" t="s">
        <v>407</v>
      </c>
      <c r="CT177" t="s">
        <v>475</v>
      </c>
      <c r="CU177" t="s">
        <v>407</v>
      </c>
      <c r="CV177" t="s">
        <v>408</v>
      </c>
      <c r="CW177" s="32" t="s">
        <v>407</v>
      </c>
      <c r="CX177" t="s">
        <v>83</v>
      </c>
      <c r="CY177" t="s">
        <v>407</v>
      </c>
      <c r="CZ177" t="s">
        <v>408</v>
      </c>
      <c r="DA177" t="s">
        <v>407</v>
      </c>
      <c r="DB177" t="s">
        <v>598</v>
      </c>
      <c r="DC177" t="s">
        <v>407</v>
      </c>
      <c r="DD177" t="s">
        <v>599</v>
      </c>
      <c r="DE177" t="str">
        <f t="shared" si="5"/>
        <v>%IF(K62%"Poplar","PAINT",IF(K62%"Red Oak","SGO",IF(K62%"Maple","SM","SPPN")))</v>
      </c>
      <c r="DO177" t="s">
        <v>515</v>
      </c>
    </row>
    <row r="178" spans="6:119" x14ac:dyDescent="0.25">
      <c r="F178" t="s">
        <v>202</v>
      </c>
      <c r="H178" t="s">
        <v>262</v>
      </c>
      <c r="M178" t="s">
        <v>324</v>
      </c>
      <c r="O178" t="s">
        <v>341</v>
      </c>
      <c r="T178" t="s">
        <v>344</v>
      </c>
      <c r="U178" t="s">
        <v>345</v>
      </c>
      <c r="V178" t="s">
        <v>346</v>
      </c>
      <c r="W178" t="s">
        <v>390</v>
      </c>
      <c r="X178" t="s">
        <v>344</v>
      </c>
      <c r="Y178" t="s">
        <v>407</v>
      </c>
      <c r="Z178" t="s">
        <v>27</v>
      </c>
      <c r="AA178" t="s">
        <v>407</v>
      </c>
      <c r="AB178" t="s">
        <v>408</v>
      </c>
      <c r="AC178" t="s">
        <v>407</v>
      </c>
      <c r="AD178" t="s">
        <v>27</v>
      </c>
      <c r="AE178" t="s">
        <v>407</v>
      </c>
      <c r="AF178" t="s">
        <v>408</v>
      </c>
      <c r="AG178" t="s">
        <v>345</v>
      </c>
      <c r="AH178" t="s">
        <v>346</v>
      </c>
      <c r="AI178" t="s">
        <v>390</v>
      </c>
      <c r="AJ178" t="s">
        <v>344</v>
      </c>
      <c r="AK178" t="s">
        <v>407</v>
      </c>
      <c r="AL178" t="s">
        <v>279</v>
      </c>
      <c r="AM178" t="s">
        <v>407</v>
      </c>
      <c r="AN178" t="s">
        <v>408</v>
      </c>
      <c r="AO178" t="s">
        <v>407</v>
      </c>
      <c r="AP178" t="s">
        <v>53</v>
      </c>
      <c r="AQ178" t="s">
        <v>407</v>
      </c>
      <c r="AR178" t="s">
        <v>408</v>
      </c>
      <c r="AS178" t="s">
        <v>407</v>
      </c>
      <c r="AT178" t="s">
        <v>407</v>
      </c>
      <c r="AU178" t="s">
        <v>409</v>
      </c>
      <c r="AV178" t="s">
        <v>409</v>
      </c>
      <c r="AW178" t="str">
        <f t="shared" si="4"/>
        <v>#if(J62#"JE","JE",if(J62#"Drilled","JC",""))</v>
      </c>
      <c r="BC178" t="s">
        <v>456</v>
      </c>
      <c r="BJ178" t="s">
        <v>519</v>
      </c>
      <c r="BQ178" t="s">
        <v>600</v>
      </c>
      <c r="BR178" t="s">
        <v>346</v>
      </c>
      <c r="BS178" t="s">
        <v>579</v>
      </c>
      <c r="BT178" t="s">
        <v>596</v>
      </c>
      <c r="BU178" t="s">
        <v>407</v>
      </c>
      <c r="BV178" t="s">
        <v>157</v>
      </c>
      <c r="BW178" t="s">
        <v>407</v>
      </c>
      <c r="BX178" t="s">
        <v>408</v>
      </c>
      <c r="BY178" t="s">
        <v>407</v>
      </c>
      <c r="BZ178" t="s">
        <v>80</v>
      </c>
      <c r="CA178" t="s">
        <v>407</v>
      </c>
      <c r="CB178" t="s">
        <v>408</v>
      </c>
      <c r="CC178" t="s">
        <v>597</v>
      </c>
      <c r="CD178" t="s">
        <v>346</v>
      </c>
      <c r="CE178" t="s">
        <v>579</v>
      </c>
      <c r="CF178" t="s">
        <v>596</v>
      </c>
      <c r="CG178" s="32" t="s">
        <v>407</v>
      </c>
      <c r="CH178" t="s">
        <v>411</v>
      </c>
      <c r="CI178" t="s">
        <v>407</v>
      </c>
      <c r="CJ178" t="s">
        <v>408</v>
      </c>
      <c r="CK178" s="32" t="s">
        <v>407</v>
      </c>
      <c r="CL178" t="s">
        <v>29</v>
      </c>
      <c r="CM178" t="s">
        <v>407</v>
      </c>
      <c r="CN178" t="s">
        <v>408</v>
      </c>
      <c r="CO178" t="s">
        <v>597</v>
      </c>
      <c r="CP178" t="s">
        <v>346</v>
      </c>
      <c r="CQ178" t="s">
        <v>579</v>
      </c>
      <c r="CR178" t="s">
        <v>596</v>
      </c>
      <c r="CS178" s="32" t="s">
        <v>407</v>
      </c>
      <c r="CT178" t="s">
        <v>475</v>
      </c>
      <c r="CU178" t="s">
        <v>407</v>
      </c>
      <c r="CV178" t="s">
        <v>408</v>
      </c>
      <c r="CW178" s="32" t="s">
        <v>407</v>
      </c>
      <c r="CX178" t="s">
        <v>83</v>
      </c>
      <c r="CY178" t="s">
        <v>407</v>
      </c>
      <c r="CZ178" t="s">
        <v>408</v>
      </c>
      <c r="DA178" t="s">
        <v>407</v>
      </c>
      <c r="DB178" t="s">
        <v>598</v>
      </c>
      <c r="DC178" t="s">
        <v>407</v>
      </c>
      <c r="DD178" t="s">
        <v>599</v>
      </c>
      <c r="DE178" t="str">
        <f t="shared" si="5"/>
        <v>%IF(K62%"Poplar","PAINT",IF(K62%"Red Oak","SGO",IF(K62%"Maple","SM","SPPN")))</v>
      </c>
      <c r="DO178" t="s">
        <v>515</v>
      </c>
    </row>
    <row r="179" spans="6:119" x14ac:dyDescent="0.25">
      <c r="F179" t="s">
        <v>202</v>
      </c>
      <c r="H179" t="s">
        <v>262</v>
      </c>
      <c r="M179" t="s">
        <v>324</v>
      </c>
      <c r="O179" t="s">
        <v>341</v>
      </c>
      <c r="T179" t="s">
        <v>344</v>
      </c>
      <c r="U179" t="s">
        <v>345</v>
      </c>
      <c r="V179" t="s">
        <v>346</v>
      </c>
      <c r="W179" t="s">
        <v>390</v>
      </c>
      <c r="X179" t="s">
        <v>344</v>
      </c>
      <c r="Y179" t="s">
        <v>407</v>
      </c>
      <c r="Z179" t="s">
        <v>27</v>
      </c>
      <c r="AA179" t="s">
        <v>407</v>
      </c>
      <c r="AB179" t="s">
        <v>408</v>
      </c>
      <c r="AC179" t="s">
        <v>407</v>
      </c>
      <c r="AD179" t="s">
        <v>27</v>
      </c>
      <c r="AE179" t="s">
        <v>407</v>
      </c>
      <c r="AF179" t="s">
        <v>408</v>
      </c>
      <c r="AG179" t="s">
        <v>345</v>
      </c>
      <c r="AH179" t="s">
        <v>346</v>
      </c>
      <c r="AI179" t="s">
        <v>390</v>
      </c>
      <c r="AJ179" t="s">
        <v>344</v>
      </c>
      <c r="AK179" t="s">
        <v>407</v>
      </c>
      <c r="AL179" t="s">
        <v>279</v>
      </c>
      <c r="AM179" t="s">
        <v>407</v>
      </c>
      <c r="AN179" t="s">
        <v>408</v>
      </c>
      <c r="AO179" t="s">
        <v>407</v>
      </c>
      <c r="AP179" t="s">
        <v>53</v>
      </c>
      <c r="AQ179" t="s">
        <v>407</v>
      </c>
      <c r="AR179" t="s">
        <v>408</v>
      </c>
      <c r="AS179" t="s">
        <v>407</v>
      </c>
      <c r="AT179" t="s">
        <v>407</v>
      </c>
      <c r="AU179" t="s">
        <v>409</v>
      </c>
      <c r="AV179" t="s">
        <v>409</v>
      </c>
      <c r="AW179" t="str">
        <f t="shared" si="4"/>
        <v>#if(J62#"JE","JE",if(J62#"Drilled","JC",""))</v>
      </c>
      <c r="BC179" t="s">
        <v>456</v>
      </c>
      <c r="BJ179" t="s">
        <v>519</v>
      </c>
      <c r="BQ179" t="s">
        <v>600</v>
      </c>
      <c r="BR179" t="s">
        <v>346</v>
      </c>
      <c r="BS179" t="s">
        <v>579</v>
      </c>
      <c r="BT179" t="s">
        <v>596</v>
      </c>
      <c r="BU179" t="s">
        <v>407</v>
      </c>
      <c r="BV179" t="s">
        <v>157</v>
      </c>
      <c r="BW179" t="s">
        <v>407</v>
      </c>
      <c r="BX179" t="s">
        <v>408</v>
      </c>
      <c r="BY179" t="s">
        <v>407</v>
      </c>
      <c r="BZ179" t="s">
        <v>80</v>
      </c>
      <c r="CA179" t="s">
        <v>407</v>
      </c>
      <c r="CB179" t="s">
        <v>408</v>
      </c>
      <c r="CC179" t="s">
        <v>597</v>
      </c>
      <c r="CD179" t="s">
        <v>346</v>
      </c>
      <c r="CE179" t="s">
        <v>579</v>
      </c>
      <c r="CF179" t="s">
        <v>596</v>
      </c>
      <c r="CG179" s="32" t="s">
        <v>407</v>
      </c>
      <c r="CH179" t="s">
        <v>411</v>
      </c>
      <c r="CI179" t="s">
        <v>407</v>
      </c>
      <c r="CJ179" t="s">
        <v>408</v>
      </c>
      <c r="CK179" s="32" t="s">
        <v>407</v>
      </c>
      <c r="CL179" t="s">
        <v>29</v>
      </c>
      <c r="CM179" t="s">
        <v>407</v>
      </c>
      <c r="CN179" t="s">
        <v>408</v>
      </c>
      <c r="CO179" t="s">
        <v>597</v>
      </c>
      <c r="CP179" t="s">
        <v>346</v>
      </c>
      <c r="CQ179" t="s">
        <v>579</v>
      </c>
      <c r="CR179" t="s">
        <v>596</v>
      </c>
      <c r="CS179" s="32" t="s">
        <v>407</v>
      </c>
      <c r="CT179" t="s">
        <v>475</v>
      </c>
      <c r="CU179" t="s">
        <v>407</v>
      </c>
      <c r="CV179" t="s">
        <v>408</v>
      </c>
      <c r="CW179" s="32" t="s">
        <v>407</v>
      </c>
      <c r="CX179" t="s">
        <v>83</v>
      </c>
      <c r="CY179" t="s">
        <v>407</v>
      </c>
      <c r="CZ179" t="s">
        <v>408</v>
      </c>
      <c r="DA179" t="s">
        <v>407</v>
      </c>
      <c r="DB179" t="s">
        <v>598</v>
      </c>
      <c r="DC179" t="s">
        <v>407</v>
      </c>
      <c r="DD179" t="s">
        <v>599</v>
      </c>
      <c r="DE179" t="str">
        <f t="shared" si="5"/>
        <v>%IF(K62%"Poplar","PAINT",IF(K62%"Red Oak","SGO",IF(K62%"Maple","SM","SPPN")))</v>
      </c>
      <c r="DO179" t="s">
        <v>516</v>
      </c>
    </row>
    <row r="180" spans="6:119" x14ac:dyDescent="0.25">
      <c r="F180" t="s">
        <v>202</v>
      </c>
      <c r="H180" t="s">
        <v>262</v>
      </c>
      <c r="M180" t="s">
        <v>324</v>
      </c>
      <c r="O180" t="s">
        <v>341</v>
      </c>
      <c r="T180" t="s">
        <v>344</v>
      </c>
      <c r="U180" t="s">
        <v>345</v>
      </c>
      <c r="V180" t="s">
        <v>346</v>
      </c>
      <c r="W180" t="s">
        <v>390</v>
      </c>
      <c r="X180" t="s">
        <v>344</v>
      </c>
      <c r="Y180" t="s">
        <v>407</v>
      </c>
      <c r="Z180" t="s">
        <v>27</v>
      </c>
      <c r="AA180" t="s">
        <v>407</v>
      </c>
      <c r="AB180" t="s">
        <v>408</v>
      </c>
      <c r="AC180" t="s">
        <v>407</v>
      </c>
      <c r="AD180" t="s">
        <v>27</v>
      </c>
      <c r="AE180" t="s">
        <v>407</v>
      </c>
      <c r="AF180" t="s">
        <v>408</v>
      </c>
      <c r="AG180" t="s">
        <v>345</v>
      </c>
      <c r="AH180" t="s">
        <v>346</v>
      </c>
      <c r="AI180" t="s">
        <v>390</v>
      </c>
      <c r="AJ180" t="s">
        <v>344</v>
      </c>
      <c r="AK180" t="s">
        <v>407</v>
      </c>
      <c r="AL180" t="s">
        <v>279</v>
      </c>
      <c r="AM180" t="s">
        <v>407</v>
      </c>
      <c r="AN180" t="s">
        <v>408</v>
      </c>
      <c r="AO180" t="s">
        <v>407</v>
      </c>
      <c r="AP180" t="s">
        <v>53</v>
      </c>
      <c r="AQ180" t="s">
        <v>407</v>
      </c>
      <c r="AR180" t="s">
        <v>408</v>
      </c>
      <c r="AS180" t="s">
        <v>407</v>
      </c>
      <c r="AT180" t="s">
        <v>407</v>
      </c>
      <c r="AU180" t="s">
        <v>409</v>
      </c>
      <c r="AV180" t="s">
        <v>409</v>
      </c>
      <c r="AW180" t="str">
        <f t="shared" si="4"/>
        <v>#if(J62#"JE","JE",if(J62#"Drilled","JC",""))</v>
      </c>
      <c r="BC180" t="s">
        <v>456</v>
      </c>
      <c r="BJ180" t="s">
        <v>519</v>
      </c>
      <c r="BQ180" t="s">
        <v>600</v>
      </c>
      <c r="BR180" t="s">
        <v>346</v>
      </c>
      <c r="BS180" t="s">
        <v>579</v>
      </c>
      <c r="BT180" t="s">
        <v>596</v>
      </c>
      <c r="BU180" t="s">
        <v>407</v>
      </c>
      <c r="BV180" t="s">
        <v>157</v>
      </c>
      <c r="BW180" t="s">
        <v>407</v>
      </c>
      <c r="BX180" t="s">
        <v>408</v>
      </c>
      <c r="BY180" t="s">
        <v>407</v>
      </c>
      <c r="BZ180" t="s">
        <v>80</v>
      </c>
      <c r="CA180" t="s">
        <v>407</v>
      </c>
      <c r="CB180" t="s">
        <v>408</v>
      </c>
      <c r="CC180" t="s">
        <v>597</v>
      </c>
      <c r="CD180" t="s">
        <v>346</v>
      </c>
      <c r="CE180" t="s">
        <v>579</v>
      </c>
      <c r="CF180" t="s">
        <v>596</v>
      </c>
      <c r="CG180" s="32" t="s">
        <v>407</v>
      </c>
      <c r="CH180" t="s">
        <v>411</v>
      </c>
      <c r="CI180" t="s">
        <v>407</v>
      </c>
      <c r="CJ180" t="s">
        <v>408</v>
      </c>
      <c r="CK180" s="32" t="s">
        <v>407</v>
      </c>
      <c r="CL180" t="s">
        <v>29</v>
      </c>
      <c r="CM180" t="s">
        <v>407</v>
      </c>
      <c r="CN180" t="s">
        <v>408</v>
      </c>
      <c r="CO180" t="s">
        <v>597</v>
      </c>
      <c r="CP180" t="s">
        <v>346</v>
      </c>
      <c r="CQ180" t="s">
        <v>579</v>
      </c>
      <c r="CR180" t="s">
        <v>596</v>
      </c>
      <c r="CS180" s="32" t="s">
        <v>407</v>
      </c>
      <c r="CT180" t="s">
        <v>475</v>
      </c>
      <c r="CU180" t="s">
        <v>407</v>
      </c>
      <c r="CV180" t="s">
        <v>408</v>
      </c>
      <c r="CW180" s="32" t="s">
        <v>407</v>
      </c>
      <c r="CX180" t="s">
        <v>83</v>
      </c>
      <c r="CY180" t="s">
        <v>407</v>
      </c>
      <c r="CZ180" t="s">
        <v>408</v>
      </c>
      <c r="DA180" t="s">
        <v>407</v>
      </c>
      <c r="DB180" t="s">
        <v>598</v>
      </c>
      <c r="DC180" t="s">
        <v>407</v>
      </c>
      <c r="DD180" t="s">
        <v>599</v>
      </c>
      <c r="DE180" t="str">
        <f t="shared" si="5"/>
        <v>%IF(K62%"Poplar","PAINT",IF(K62%"Red Oak","SGO",IF(K62%"Maple","SM","SPPN")))</v>
      </c>
      <c r="DO180" t="s">
        <v>516</v>
      </c>
    </row>
    <row r="181" spans="6:119" x14ac:dyDescent="0.25">
      <c r="F181" t="s">
        <v>203</v>
      </c>
      <c r="H181" t="s">
        <v>263</v>
      </c>
      <c r="M181" t="s">
        <v>325</v>
      </c>
      <c r="O181" t="s">
        <v>341</v>
      </c>
      <c r="T181" t="s">
        <v>344</v>
      </c>
      <c r="U181" t="s">
        <v>345</v>
      </c>
      <c r="V181" t="s">
        <v>346</v>
      </c>
      <c r="W181" t="s">
        <v>391</v>
      </c>
      <c r="X181" t="s">
        <v>344</v>
      </c>
      <c r="Y181" t="s">
        <v>407</v>
      </c>
      <c r="Z181" t="s">
        <v>27</v>
      </c>
      <c r="AA181" t="s">
        <v>407</v>
      </c>
      <c r="AB181" t="s">
        <v>408</v>
      </c>
      <c r="AC181" t="s">
        <v>407</v>
      </c>
      <c r="AD181" t="s">
        <v>27</v>
      </c>
      <c r="AE181" t="s">
        <v>407</v>
      </c>
      <c r="AF181" t="s">
        <v>408</v>
      </c>
      <c r="AG181" t="s">
        <v>345</v>
      </c>
      <c r="AH181" t="s">
        <v>346</v>
      </c>
      <c r="AI181" t="s">
        <v>391</v>
      </c>
      <c r="AJ181" t="s">
        <v>344</v>
      </c>
      <c r="AK181" t="s">
        <v>407</v>
      </c>
      <c r="AL181" t="s">
        <v>279</v>
      </c>
      <c r="AM181" t="s">
        <v>407</v>
      </c>
      <c r="AN181" t="s">
        <v>408</v>
      </c>
      <c r="AO181" t="s">
        <v>407</v>
      </c>
      <c r="AP181" t="s">
        <v>53</v>
      </c>
      <c r="AQ181" t="s">
        <v>407</v>
      </c>
      <c r="AR181" t="s">
        <v>408</v>
      </c>
      <c r="AS181" t="s">
        <v>407</v>
      </c>
      <c r="AT181" t="s">
        <v>407</v>
      </c>
      <c r="AU181" t="s">
        <v>409</v>
      </c>
      <c r="AV181" t="s">
        <v>409</v>
      </c>
      <c r="AW181" t="str">
        <f t="shared" si="4"/>
        <v>#if(J63#"JE","JE",if(J63#"Drilled","JC",""))</v>
      </c>
      <c r="BC181" t="s">
        <v>457</v>
      </c>
      <c r="BJ181" t="s">
        <v>520</v>
      </c>
      <c r="BQ181" t="s">
        <v>600</v>
      </c>
      <c r="BR181" t="s">
        <v>346</v>
      </c>
      <c r="BS181" t="s">
        <v>580</v>
      </c>
      <c r="BT181" t="s">
        <v>596</v>
      </c>
      <c r="BU181" t="s">
        <v>407</v>
      </c>
      <c r="BV181" t="s">
        <v>157</v>
      </c>
      <c r="BW181" t="s">
        <v>407</v>
      </c>
      <c r="BX181" t="s">
        <v>408</v>
      </c>
      <c r="BY181" t="s">
        <v>407</v>
      </c>
      <c r="BZ181" t="s">
        <v>80</v>
      </c>
      <c r="CA181" t="s">
        <v>407</v>
      </c>
      <c r="CB181" t="s">
        <v>408</v>
      </c>
      <c r="CC181" t="s">
        <v>597</v>
      </c>
      <c r="CD181" t="s">
        <v>346</v>
      </c>
      <c r="CE181" t="s">
        <v>580</v>
      </c>
      <c r="CF181" t="s">
        <v>596</v>
      </c>
      <c r="CG181" s="32" t="s">
        <v>407</v>
      </c>
      <c r="CH181" t="s">
        <v>411</v>
      </c>
      <c r="CI181" t="s">
        <v>407</v>
      </c>
      <c r="CJ181" t="s">
        <v>408</v>
      </c>
      <c r="CK181" s="32" t="s">
        <v>407</v>
      </c>
      <c r="CL181" t="s">
        <v>29</v>
      </c>
      <c r="CM181" t="s">
        <v>407</v>
      </c>
      <c r="CN181" t="s">
        <v>408</v>
      </c>
      <c r="CO181" t="s">
        <v>597</v>
      </c>
      <c r="CP181" t="s">
        <v>346</v>
      </c>
      <c r="CQ181" t="s">
        <v>580</v>
      </c>
      <c r="CR181" t="s">
        <v>596</v>
      </c>
      <c r="CS181" s="32" t="s">
        <v>407</v>
      </c>
      <c r="CT181" t="s">
        <v>475</v>
      </c>
      <c r="CU181" t="s">
        <v>407</v>
      </c>
      <c r="CV181" t="s">
        <v>408</v>
      </c>
      <c r="CW181" s="32" t="s">
        <v>407</v>
      </c>
      <c r="CX181" t="s">
        <v>83</v>
      </c>
      <c r="CY181" t="s">
        <v>407</v>
      </c>
      <c r="CZ181" t="s">
        <v>408</v>
      </c>
      <c r="DA181" t="s">
        <v>407</v>
      </c>
      <c r="DB181" t="s">
        <v>598</v>
      </c>
      <c r="DC181" t="s">
        <v>407</v>
      </c>
      <c r="DD181" t="s">
        <v>599</v>
      </c>
      <c r="DE181" t="str">
        <f t="shared" si="5"/>
        <v>%IF(K63%"Poplar","PAINT",IF(K63%"Red Oak","SGO",IF(K63%"Maple","SM","SPPN")))</v>
      </c>
      <c r="DO181" t="s">
        <v>516</v>
      </c>
    </row>
    <row r="182" spans="6:119" x14ac:dyDescent="0.25">
      <c r="F182" t="s">
        <v>203</v>
      </c>
      <c r="H182" t="s">
        <v>263</v>
      </c>
      <c r="M182" t="s">
        <v>325</v>
      </c>
      <c r="O182" t="s">
        <v>341</v>
      </c>
      <c r="T182" t="s">
        <v>344</v>
      </c>
      <c r="U182" t="s">
        <v>345</v>
      </c>
      <c r="V182" t="s">
        <v>346</v>
      </c>
      <c r="W182" t="s">
        <v>391</v>
      </c>
      <c r="X182" t="s">
        <v>344</v>
      </c>
      <c r="Y182" t="s">
        <v>407</v>
      </c>
      <c r="Z182" t="s">
        <v>27</v>
      </c>
      <c r="AA182" t="s">
        <v>407</v>
      </c>
      <c r="AB182" t="s">
        <v>408</v>
      </c>
      <c r="AC182" t="s">
        <v>407</v>
      </c>
      <c r="AD182" t="s">
        <v>27</v>
      </c>
      <c r="AE182" t="s">
        <v>407</v>
      </c>
      <c r="AF182" t="s">
        <v>408</v>
      </c>
      <c r="AG182" t="s">
        <v>345</v>
      </c>
      <c r="AH182" t="s">
        <v>346</v>
      </c>
      <c r="AI182" t="s">
        <v>391</v>
      </c>
      <c r="AJ182" t="s">
        <v>344</v>
      </c>
      <c r="AK182" t="s">
        <v>407</v>
      </c>
      <c r="AL182" t="s">
        <v>279</v>
      </c>
      <c r="AM182" t="s">
        <v>407</v>
      </c>
      <c r="AN182" t="s">
        <v>408</v>
      </c>
      <c r="AO182" t="s">
        <v>407</v>
      </c>
      <c r="AP182" t="s">
        <v>53</v>
      </c>
      <c r="AQ182" t="s">
        <v>407</v>
      </c>
      <c r="AR182" t="s">
        <v>408</v>
      </c>
      <c r="AS182" t="s">
        <v>407</v>
      </c>
      <c r="AT182" t="s">
        <v>407</v>
      </c>
      <c r="AU182" t="s">
        <v>409</v>
      </c>
      <c r="AV182" t="s">
        <v>409</v>
      </c>
      <c r="AW182" t="str">
        <f t="shared" si="4"/>
        <v>#if(J63#"JE","JE",if(J63#"Drilled","JC",""))</v>
      </c>
      <c r="BC182" t="s">
        <v>457</v>
      </c>
      <c r="BJ182" t="s">
        <v>520</v>
      </c>
      <c r="BQ182" t="s">
        <v>600</v>
      </c>
      <c r="BR182" t="s">
        <v>346</v>
      </c>
      <c r="BS182" t="s">
        <v>580</v>
      </c>
      <c r="BT182" t="s">
        <v>596</v>
      </c>
      <c r="BU182" t="s">
        <v>407</v>
      </c>
      <c r="BV182" t="s">
        <v>157</v>
      </c>
      <c r="BW182" t="s">
        <v>407</v>
      </c>
      <c r="BX182" t="s">
        <v>408</v>
      </c>
      <c r="BY182" t="s">
        <v>407</v>
      </c>
      <c r="BZ182" t="s">
        <v>80</v>
      </c>
      <c r="CA182" t="s">
        <v>407</v>
      </c>
      <c r="CB182" t="s">
        <v>408</v>
      </c>
      <c r="CC182" t="s">
        <v>597</v>
      </c>
      <c r="CD182" t="s">
        <v>346</v>
      </c>
      <c r="CE182" t="s">
        <v>580</v>
      </c>
      <c r="CF182" t="s">
        <v>596</v>
      </c>
      <c r="CG182" s="32" t="s">
        <v>407</v>
      </c>
      <c r="CH182" t="s">
        <v>411</v>
      </c>
      <c r="CI182" t="s">
        <v>407</v>
      </c>
      <c r="CJ182" t="s">
        <v>408</v>
      </c>
      <c r="CK182" s="32" t="s">
        <v>407</v>
      </c>
      <c r="CL182" t="s">
        <v>29</v>
      </c>
      <c r="CM182" t="s">
        <v>407</v>
      </c>
      <c r="CN182" t="s">
        <v>408</v>
      </c>
      <c r="CO182" t="s">
        <v>597</v>
      </c>
      <c r="CP182" t="s">
        <v>346</v>
      </c>
      <c r="CQ182" t="s">
        <v>580</v>
      </c>
      <c r="CR182" t="s">
        <v>596</v>
      </c>
      <c r="CS182" s="32" t="s">
        <v>407</v>
      </c>
      <c r="CT182" t="s">
        <v>475</v>
      </c>
      <c r="CU182" t="s">
        <v>407</v>
      </c>
      <c r="CV182" t="s">
        <v>408</v>
      </c>
      <c r="CW182" s="32" t="s">
        <v>407</v>
      </c>
      <c r="CX182" t="s">
        <v>83</v>
      </c>
      <c r="CY182" t="s">
        <v>407</v>
      </c>
      <c r="CZ182" t="s">
        <v>408</v>
      </c>
      <c r="DA182" t="s">
        <v>407</v>
      </c>
      <c r="DB182" t="s">
        <v>598</v>
      </c>
      <c r="DC182" t="s">
        <v>407</v>
      </c>
      <c r="DD182" t="s">
        <v>599</v>
      </c>
      <c r="DE182" t="str">
        <f t="shared" si="5"/>
        <v>%IF(K63%"Poplar","PAINT",IF(K63%"Red Oak","SGO",IF(K63%"Maple","SM","SPPN")))</v>
      </c>
      <c r="DO182" t="s">
        <v>516</v>
      </c>
    </row>
    <row r="183" spans="6:119" x14ac:dyDescent="0.25">
      <c r="F183" t="s">
        <v>203</v>
      </c>
      <c r="H183" t="s">
        <v>263</v>
      </c>
      <c r="M183" t="s">
        <v>325</v>
      </c>
      <c r="O183" t="s">
        <v>341</v>
      </c>
      <c r="T183" t="s">
        <v>344</v>
      </c>
      <c r="U183" t="s">
        <v>345</v>
      </c>
      <c r="V183" t="s">
        <v>346</v>
      </c>
      <c r="W183" t="s">
        <v>391</v>
      </c>
      <c r="X183" t="s">
        <v>344</v>
      </c>
      <c r="Y183" t="s">
        <v>407</v>
      </c>
      <c r="Z183" t="s">
        <v>27</v>
      </c>
      <c r="AA183" t="s">
        <v>407</v>
      </c>
      <c r="AB183" t="s">
        <v>408</v>
      </c>
      <c r="AC183" t="s">
        <v>407</v>
      </c>
      <c r="AD183" t="s">
        <v>27</v>
      </c>
      <c r="AE183" t="s">
        <v>407</v>
      </c>
      <c r="AF183" t="s">
        <v>408</v>
      </c>
      <c r="AG183" t="s">
        <v>345</v>
      </c>
      <c r="AH183" t="s">
        <v>346</v>
      </c>
      <c r="AI183" t="s">
        <v>391</v>
      </c>
      <c r="AJ183" t="s">
        <v>344</v>
      </c>
      <c r="AK183" t="s">
        <v>407</v>
      </c>
      <c r="AL183" t="s">
        <v>279</v>
      </c>
      <c r="AM183" t="s">
        <v>407</v>
      </c>
      <c r="AN183" t="s">
        <v>408</v>
      </c>
      <c r="AO183" t="s">
        <v>407</v>
      </c>
      <c r="AP183" t="s">
        <v>53</v>
      </c>
      <c r="AQ183" t="s">
        <v>407</v>
      </c>
      <c r="AR183" t="s">
        <v>408</v>
      </c>
      <c r="AS183" t="s">
        <v>407</v>
      </c>
      <c r="AT183" t="s">
        <v>407</v>
      </c>
      <c r="AU183" t="s">
        <v>409</v>
      </c>
      <c r="AV183" t="s">
        <v>409</v>
      </c>
      <c r="AW183" t="str">
        <f t="shared" si="4"/>
        <v>#if(J63#"JE","JE",if(J63#"Drilled","JC",""))</v>
      </c>
      <c r="BC183" t="s">
        <v>457</v>
      </c>
      <c r="BJ183" t="s">
        <v>520</v>
      </c>
      <c r="BQ183" t="s">
        <v>600</v>
      </c>
      <c r="BR183" t="s">
        <v>346</v>
      </c>
      <c r="BS183" t="s">
        <v>580</v>
      </c>
      <c r="BT183" t="s">
        <v>596</v>
      </c>
      <c r="BU183" t="s">
        <v>407</v>
      </c>
      <c r="BV183" t="s">
        <v>157</v>
      </c>
      <c r="BW183" t="s">
        <v>407</v>
      </c>
      <c r="BX183" t="s">
        <v>408</v>
      </c>
      <c r="BY183" t="s">
        <v>407</v>
      </c>
      <c r="BZ183" t="s">
        <v>80</v>
      </c>
      <c r="CA183" t="s">
        <v>407</v>
      </c>
      <c r="CB183" t="s">
        <v>408</v>
      </c>
      <c r="CC183" t="s">
        <v>597</v>
      </c>
      <c r="CD183" t="s">
        <v>346</v>
      </c>
      <c r="CE183" t="s">
        <v>580</v>
      </c>
      <c r="CF183" t="s">
        <v>596</v>
      </c>
      <c r="CG183" s="32" t="s">
        <v>407</v>
      </c>
      <c r="CH183" t="s">
        <v>411</v>
      </c>
      <c r="CI183" t="s">
        <v>407</v>
      </c>
      <c r="CJ183" t="s">
        <v>408</v>
      </c>
      <c r="CK183" s="32" t="s">
        <v>407</v>
      </c>
      <c r="CL183" t="s">
        <v>29</v>
      </c>
      <c r="CM183" t="s">
        <v>407</v>
      </c>
      <c r="CN183" t="s">
        <v>408</v>
      </c>
      <c r="CO183" t="s">
        <v>597</v>
      </c>
      <c r="CP183" t="s">
        <v>346</v>
      </c>
      <c r="CQ183" t="s">
        <v>580</v>
      </c>
      <c r="CR183" t="s">
        <v>596</v>
      </c>
      <c r="CS183" s="32" t="s">
        <v>407</v>
      </c>
      <c r="CT183" t="s">
        <v>475</v>
      </c>
      <c r="CU183" t="s">
        <v>407</v>
      </c>
      <c r="CV183" t="s">
        <v>408</v>
      </c>
      <c r="CW183" s="32" t="s">
        <v>407</v>
      </c>
      <c r="CX183" t="s">
        <v>83</v>
      </c>
      <c r="CY183" t="s">
        <v>407</v>
      </c>
      <c r="CZ183" t="s">
        <v>408</v>
      </c>
      <c r="DA183" t="s">
        <v>407</v>
      </c>
      <c r="DB183" t="s">
        <v>598</v>
      </c>
      <c r="DC183" t="s">
        <v>407</v>
      </c>
      <c r="DD183" t="s">
        <v>599</v>
      </c>
      <c r="DE183" t="str">
        <f t="shared" si="5"/>
        <v>%IF(K63%"Poplar","PAINT",IF(K63%"Red Oak","SGO",IF(K63%"Maple","SM","SPPN")))</v>
      </c>
      <c r="DO183" t="s">
        <v>517</v>
      </c>
    </row>
    <row r="184" spans="6:119" x14ac:dyDescent="0.25">
      <c r="F184" t="s">
        <v>203</v>
      </c>
      <c r="H184" t="s">
        <v>263</v>
      </c>
      <c r="M184" t="s">
        <v>325</v>
      </c>
      <c r="O184" t="s">
        <v>341</v>
      </c>
      <c r="T184" t="s">
        <v>344</v>
      </c>
      <c r="U184" t="s">
        <v>345</v>
      </c>
      <c r="V184" t="s">
        <v>346</v>
      </c>
      <c r="W184" t="s">
        <v>391</v>
      </c>
      <c r="X184" t="s">
        <v>344</v>
      </c>
      <c r="Y184" t="s">
        <v>407</v>
      </c>
      <c r="Z184" t="s">
        <v>27</v>
      </c>
      <c r="AA184" t="s">
        <v>407</v>
      </c>
      <c r="AB184" t="s">
        <v>408</v>
      </c>
      <c r="AC184" t="s">
        <v>407</v>
      </c>
      <c r="AD184" t="s">
        <v>27</v>
      </c>
      <c r="AE184" t="s">
        <v>407</v>
      </c>
      <c r="AF184" t="s">
        <v>408</v>
      </c>
      <c r="AG184" t="s">
        <v>345</v>
      </c>
      <c r="AH184" t="s">
        <v>346</v>
      </c>
      <c r="AI184" t="s">
        <v>391</v>
      </c>
      <c r="AJ184" t="s">
        <v>344</v>
      </c>
      <c r="AK184" t="s">
        <v>407</v>
      </c>
      <c r="AL184" t="s">
        <v>279</v>
      </c>
      <c r="AM184" t="s">
        <v>407</v>
      </c>
      <c r="AN184" t="s">
        <v>408</v>
      </c>
      <c r="AO184" t="s">
        <v>407</v>
      </c>
      <c r="AP184" t="s">
        <v>53</v>
      </c>
      <c r="AQ184" t="s">
        <v>407</v>
      </c>
      <c r="AR184" t="s">
        <v>408</v>
      </c>
      <c r="AS184" t="s">
        <v>407</v>
      </c>
      <c r="AT184" t="s">
        <v>407</v>
      </c>
      <c r="AU184" t="s">
        <v>409</v>
      </c>
      <c r="AV184" t="s">
        <v>409</v>
      </c>
      <c r="AW184" t="str">
        <f t="shared" si="4"/>
        <v>#if(J63#"JE","JE",if(J63#"Drilled","JC",""))</v>
      </c>
      <c r="BC184" t="s">
        <v>457</v>
      </c>
      <c r="BJ184" t="s">
        <v>520</v>
      </c>
      <c r="BQ184" t="s">
        <v>600</v>
      </c>
      <c r="BR184" t="s">
        <v>346</v>
      </c>
      <c r="BS184" t="s">
        <v>580</v>
      </c>
      <c r="BT184" t="s">
        <v>596</v>
      </c>
      <c r="BU184" t="s">
        <v>407</v>
      </c>
      <c r="BV184" t="s">
        <v>157</v>
      </c>
      <c r="BW184" t="s">
        <v>407</v>
      </c>
      <c r="BX184" t="s">
        <v>408</v>
      </c>
      <c r="BY184" t="s">
        <v>407</v>
      </c>
      <c r="BZ184" t="s">
        <v>80</v>
      </c>
      <c r="CA184" t="s">
        <v>407</v>
      </c>
      <c r="CB184" t="s">
        <v>408</v>
      </c>
      <c r="CC184" t="s">
        <v>597</v>
      </c>
      <c r="CD184" t="s">
        <v>346</v>
      </c>
      <c r="CE184" t="s">
        <v>580</v>
      </c>
      <c r="CF184" t="s">
        <v>596</v>
      </c>
      <c r="CG184" s="32" t="s">
        <v>407</v>
      </c>
      <c r="CH184" t="s">
        <v>411</v>
      </c>
      <c r="CI184" t="s">
        <v>407</v>
      </c>
      <c r="CJ184" t="s">
        <v>408</v>
      </c>
      <c r="CK184" s="32" t="s">
        <v>407</v>
      </c>
      <c r="CL184" t="s">
        <v>29</v>
      </c>
      <c r="CM184" t="s">
        <v>407</v>
      </c>
      <c r="CN184" t="s">
        <v>408</v>
      </c>
      <c r="CO184" t="s">
        <v>597</v>
      </c>
      <c r="CP184" t="s">
        <v>346</v>
      </c>
      <c r="CQ184" t="s">
        <v>580</v>
      </c>
      <c r="CR184" t="s">
        <v>596</v>
      </c>
      <c r="CS184" s="32" t="s">
        <v>407</v>
      </c>
      <c r="CT184" t="s">
        <v>475</v>
      </c>
      <c r="CU184" t="s">
        <v>407</v>
      </c>
      <c r="CV184" t="s">
        <v>408</v>
      </c>
      <c r="CW184" s="32" t="s">
        <v>407</v>
      </c>
      <c r="CX184" t="s">
        <v>83</v>
      </c>
      <c r="CY184" t="s">
        <v>407</v>
      </c>
      <c r="CZ184" t="s">
        <v>408</v>
      </c>
      <c r="DA184" t="s">
        <v>407</v>
      </c>
      <c r="DB184" t="s">
        <v>598</v>
      </c>
      <c r="DC184" t="s">
        <v>407</v>
      </c>
      <c r="DD184" t="s">
        <v>599</v>
      </c>
      <c r="DE184" t="str">
        <f t="shared" si="5"/>
        <v>%IF(K63%"Poplar","PAINT",IF(K63%"Red Oak","SGO",IF(K63%"Maple","SM","SPPN")))</v>
      </c>
      <c r="DO184" t="s">
        <v>517</v>
      </c>
    </row>
    <row r="185" spans="6:119" x14ac:dyDescent="0.25">
      <c r="F185" t="s">
        <v>204</v>
      </c>
      <c r="H185" t="s">
        <v>264</v>
      </c>
      <c r="M185" t="s">
        <v>326</v>
      </c>
      <c r="O185" t="s">
        <v>341</v>
      </c>
      <c r="T185" t="s">
        <v>344</v>
      </c>
      <c r="U185" t="s">
        <v>345</v>
      </c>
      <c r="V185" t="s">
        <v>346</v>
      </c>
      <c r="W185" t="s">
        <v>392</v>
      </c>
      <c r="X185" t="s">
        <v>344</v>
      </c>
      <c r="Y185" t="s">
        <v>407</v>
      </c>
      <c r="Z185" t="s">
        <v>27</v>
      </c>
      <c r="AA185" t="s">
        <v>407</v>
      </c>
      <c r="AB185" t="s">
        <v>408</v>
      </c>
      <c r="AC185" t="s">
        <v>407</v>
      </c>
      <c r="AD185" t="s">
        <v>27</v>
      </c>
      <c r="AE185" t="s">
        <v>407</v>
      </c>
      <c r="AF185" t="s">
        <v>408</v>
      </c>
      <c r="AG185" t="s">
        <v>345</v>
      </c>
      <c r="AH185" t="s">
        <v>346</v>
      </c>
      <c r="AI185" t="s">
        <v>392</v>
      </c>
      <c r="AJ185" t="s">
        <v>344</v>
      </c>
      <c r="AK185" t="s">
        <v>407</v>
      </c>
      <c r="AL185" t="s">
        <v>279</v>
      </c>
      <c r="AM185" t="s">
        <v>407</v>
      </c>
      <c r="AN185" t="s">
        <v>408</v>
      </c>
      <c r="AO185" t="s">
        <v>407</v>
      </c>
      <c r="AP185" t="s">
        <v>53</v>
      </c>
      <c r="AQ185" t="s">
        <v>407</v>
      </c>
      <c r="AR185" t="s">
        <v>408</v>
      </c>
      <c r="AS185" t="s">
        <v>407</v>
      </c>
      <c r="AT185" t="s">
        <v>407</v>
      </c>
      <c r="AU185" t="s">
        <v>409</v>
      </c>
      <c r="AV185" t="s">
        <v>409</v>
      </c>
      <c r="AW185" t="str">
        <f t="shared" si="4"/>
        <v>#if(J64#"JE","JE",if(J64#"Drilled","JC",""))</v>
      </c>
      <c r="BC185" t="s">
        <v>458</v>
      </c>
      <c r="BJ185" t="s">
        <v>521</v>
      </c>
      <c r="BQ185" t="s">
        <v>600</v>
      </c>
      <c r="BR185" t="s">
        <v>346</v>
      </c>
      <c r="BS185" t="s">
        <v>581</v>
      </c>
      <c r="BT185" t="s">
        <v>596</v>
      </c>
      <c r="BU185" t="s">
        <v>407</v>
      </c>
      <c r="BV185" t="s">
        <v>157</v>
      </c>
      <c r="BW185" t="s">
        <v>407</v>
      </c>
      <c r="BX185" t="s">
        <v>408</v>
      </c>
      <c r="BY185" t="s">
        <v>407</v>
      </c>
      <c r="BZ185" t="s">
        <v>80</v>
      </c>
      <c r="CA185" t="s">
        <v>407</v>
      </c>
      <c r="CB185" t="s">
        <v>408</v>
      </c>
      <c r="CC185" t="s">
        <v>597</v>
      </c>
      <c r="CD185" t="s">
        <v>346</v>
      </c>
      <c r="CE185" t="s">
        <v>581</v>
      </c>
      <c r="CF185" t="s">
        <v>596</v>
      </c>
      <c r="CG185" s="32" t="s">
        <v>407</v>
      </c>
      <c r="CH185" t="s">
        <v>411</v>
      </c>
      <c r="CI185" t="s">
        <v>407</v>
      </c>
      <c r="CJ185" t="s">
        <v>408</v>
      </c>
      <c r="CK185" s="32" t="s">
        <v>407</v>
      </c>
      <c r="CL185" t="s">
        <v>29</v>
      </c>
      <c r="CM185" t="s">
        <v>407</v>
      </c>
      <c r="CN185" t="s">
        <v>408</v>
      </c>
      <c r="CO185" t="s">
        <v>597</v>
      </c>
      <c r="CP185" t="s">
        <v>346</v>
      </c>
      <c r="CQ185" t="s">
        <v>581</v>
      </c>
      <c r="CR185" t="s">
        <v>596</v>
      </c>
      <c r="CS185" s="32" t="s">
        <v>407</v>
      </c>
      <c r="CT185" t="s">
        <v>475</v>
      </c>
      <c r="CU185" t="s">
        <v>407</v>
      </c>
      <c r="CV185" t="s">
        <v>408</v>
      </c>
      <c r="CW185" s="32" t="s">
        <v>407</v>
      </c>
      <c r="CX185" t="s">
        <v>83</v>
      </c>
      <c r="CY185" t="s">
        <v>407</v>
      </c>
      <c r="CZ185" t="s">
        <v>408</v>
      </c>
      <c r="DA185" t="s">
        <v>407</v>
      </c>
      <c r="DB185" t="s">
        <v>598</v>
      </c>
      <c r="DC185" t="s">
        <v>407</v>
      </c>
      <c r="DD185" t="s">
        <v>599</v>
      </c>
      <c r="DE185" t="str">
        <f t="shared" si="5"/>
        <v>%IF(K64%"Poplar","PAINT",IF(K64%"Red Oak","SGO",IF(K64%"Maple","SM","SPPN")))</v>
      </c>
      <c r="DO185" t="s">
        <v>517</v>
      </c>
    </row>
    <row r="186" spans="6:119" x14ac:dyDescent="0.25">
      <c r="F186" t="s">
        <v>204</v>
      </c>
      <c r="H186" t="s">
        <v>264</v>
      </c>
      <c r="M186" t="s">
        <v>326</v>
      </c>
      <c r="O186" t="s">
        <v>341</v>
      </c>
      <c r="T186" t="s">
        <v>344</v>
      </c>
      <c r="U186" t="s">
        <v>345</v>
      </c>
      <c r="V186" t="s">
        <v>346</v>
      </c>
      <c r="W186" t="s">
        <v>392</v>
      </c>
      <c r="X186" t="s">
        <v>344</v>
      </c>
      <c r="Y186" t="s">
        <v>407</v>
      </c>
      <c r="Z186" t="s">
        <v>27</v>
      </c>
      <c r="AA186" t="s">
        <v>407</v>
      </c>
      <c r="AB186" t="s">
        <v>408</v>
      </c>
      <c r="AC186" t="s">
        <v>407</v>
      </c>
      <c r="AD186" t="s">
        <v>27</v>
      </c>
      <c r="AE186" t="s">
        <v>407</v>
      </c>
      <c r="AF186" t="s">
        <v>408</v>
      </c>
      <c r="AG186" t="s">
        <v>345</v>
      </c>
      <c r="AH186" t="s">
        <v>346</v>
      </c>
      <c r="AI186" t="s">
        <v>392</v>
      </c>
      <c r="AJ186" t="s">
        <v>344</v>
      </c>
      <c r="AK186" t="s">
        <v>407</v>
      </c>
      <c r="AL186" t="s">
        <v>279</v>
      </c>
      <c r="AM186" t="s">
        <v>407</v>
      </c>
      <c r="AN186" t="s">
        <v>408</v>
      </c>
      <c r="AO186" t="s">
        <v>407</v>
      </c>
      <c r="AP186" t="s">
        <v>53</v>
      </c>
      <c r="AQ186" t="s">
        <v>407</v>
      </c>
      <c r="AR186" t="s">
        <v>408</v>
      </c>
      <c r="AS186" t="s">
        <v>407</v>
      </c>
      <c r="AT186" t="s">
        <v>407</v>
      </c>
      <c r="AU186" t="s">
        <v>409</v>
      </c>
      <c r="AV186" t="s">
        <v>409</v>
      </c>
      <c r="AW186" t="str">
        <f t="shared" si="4"/>
        <v>#if(J64#"JE","JE",if(J64#"Drilled","JC",""))</v>
      </c>
      <c r="BC186" t="s">
        <v>458</v>
      </c>
      <c r="BJ186" t="s">
        <v>521</v>
      </c>
      <c r="BQ186" t="s">
        <v>600</v>
      </c>
      <c r="BR186" t="s">
        <v>346</v>
      </c>
      <c r="BS186" t="s">
        <v>581</v>
      </c>
      <c r="BT186" t="s">
        <v>596</v>
      </c>
      <c r="BU186" t="s">
        <v>407</v>
      </c>
      <c r="BV186" t="s">
        <v>157</v>
      </c>
      <c r="BW186" t="s">
        <v>407</v>
      </c>
      <c r="BX186" t="s">
        <v>408</v>
      </c>
      <c r="BY186" t="s">
        <v>407</v>
      </c>
      <c r="BZ186" t="s">
        <v>80</v>
      </c>
      <c r="CA186" t="s">
        <v>407</v>
      </c>
      <c r="CB186" t="s">
        <v>408</v>
      </c>
      <c r="CC186" t="s">
        <v>597</v>
      </c>
      <c r="CD186" t="s">
        <v>346</v>
      </c>
      <c r="CE186" t="s">
        <v>581</v>
      </c>
      <c r="CF186" t="s">
        <v>596</v>
      </c>
      <c r="CG186" s="32" t="s">
        <v>407</v>
      </c>
      <c r="CH186" t="s">
        <v>411</v>
      </c>
      <c r="CI186" t="s">
        <v>407</v>
      </c>
      <c r="CJ186" t="s">
        <v>408</v>
      </c>
      <c r="CK186" s="32" t="s">
        <v>407</v>
      </c>
      <c r="CL186" t="s">
        <v>29</v>
      </c>
      <c r="CM186" t="s">
        <v>407</v>
      </c>
      <c r="CN186" t="s">
        <v>408</v>
      </c>
      <c r="CO186" t="s">
        <v>597</v>
      </c>
      <c r="CP186" t="s">
        <v>346</v>
      </c>
      <c r="CQ186" t="s">
        <v>581</v>
      </c>
      <c r="CR186" t="s">
        <v>596</v>
      </c>
      <c r="CS186" s="32" t="s">
        <v>407</v>
      </c>
      <c r="CT186" t="s">
        <v>475</v>
      </c>
      <c r="CU186" t="s">
        <v>407</v>
      </c>
      <c r="CV186" t="s">
        <v>408</v>
      </c>
      <c r="CW186" s="32" t="s">
        <v>407</v>
      </c>
      <c r="CX186" t="s">
        <v>83</v>
      </c>
      <c r="CY186" t="s">
        <v>407</v>
      </c>
      <c r="CZ186" t="s">
        <v>408</v>
      </c>
      <c r="DA186" t="s">
        <v>407</v>
      </c>
      <c r="DB186" t="s">
        <v>598</v>
      </c>
      <c r="DC186" t="s">
        <v>407</v>
      </c>
      <c r="DD186" t="s">
        <v>599</v>
      </c>
      <c r="DE186" t="str">
        <f t="shared" si="5"/>
        <v>%IF(K64%"Poplar","PAINT",IF(K64%"Red Oak","SGO",IF(K64%"Maple","SM","SPPN")))</v>
      </c>
      <c r="DO186" t="s">
        <v>517</v>
      </c>
    </row>
    <row r="187" spans="6:119" x14ac:dyDescent="0.25">
      <c r="F187" t="s">
        <v>204</v>
      </c>
      <c r="H187" t="s">
        <v>264</v>
      </c>
      <c r="M187" t="s">
        <v>326</v>
      </c>
      <c r="O187" t="s">
        <v>341</v>
      </c>
      <c r="T187" t="s">
        <v>344</v>
      </c>
      <c r="U187" t="s">
        <v>345</v>
      </c>
      <c r="V187" t="s">
        <v>346</v>
      </c>
      <c r="W187" t="s">
        <v>392</v>
      </c>
      <c r="X187" t="s">
        <v>344</v>
      </c>
      <c r="Y187" t="s">
        <v>407</v>
      </c>
      <c r="Z187" t="s">
        <v>27</v>
      </c>
      <c r="AA187" t="s">
        <v>407</v>
      </c>
      <c r="AB187" t="s">
        <v>408</v>
      </c>
      <c r="AC187" t="s">
        <v>407</v>
      </c>
      <c r="AD187" t="s">
        <v>27</v>
      </c>
      <c r="AE187" t="s">
        <v>407</v>
      </c>
      <c r="AF187" t="s">
        <v>408</v>
      </c>
      <c r="AG187" t="s">
        <v>345</v>
      </c>
      <c r="AH187" t="s">
        <v>346</v>
      </c>
      <c r="AI187" t="s">
        <v>392</v>
      </c>
      <c r="AJ187" t="s">
        <v>344</v>
      </c>
      <c r="AK187" t="s">
        <v>407</v>
      </c>
      <c r="AL187" t="s">
        <v>279</v>
      </c>
      <c r="AM187" t="s">
        <v>407</v>
      </c>
      <c r="AN187" t="s">
        <v>408</v>
      </c>
      <c r="AO187" t="s">
        <v>407</v>
      </c>
      <c r="AP187" t="s">
        <v>53</v>
      </c>
      <c r="AQ187" t="s">
        <v>407</v>
      </c>
      <c r="AR187" t="s">
        <v>408</v>
      </c>
      <c r="AS187" t="s">
        <v>407</v>
      </c>
      <c r="AT187" t="s">
        <v>407</v>
      </c>
      <c r="AU187" t="s">
        <v>409</v>
      </c>
      <c r="AV187" t="s">
        <v>409</v>
      </c>
      <c r="AW187" t="str">
        <f t="shared" si="4"/>
        <v>#if(J64#"JE","JE",if(J64#"Drilled","JC",""))</v>
      </c>
      <c r="BC187" t="s">
        <v>458</v>
      </c>
      <c r="BJ187" t="s">
        <v>521</v>
      </c>
      <c r="BQ187" t="s">
        <v>600</v>
      </c>
      <c r="BR187" t="s">
        <v>346</v>
      </c>
      <c r="BS187" t="s">
        <v>581</v>
      </c>
      <c r="BT187" t="s">
        <v>596</v>
      </c>
      <c r="BU187" t="s">
        <v>407</v>
      </c>
      <c r="BV187" t="s">
        <v>157</v>
      </c>
      <c r="BW187" t="s">
        <v>407</v>
      </c>
      <c r="BX187" t="s">
        <v>408</v>
      </c>
      <c r="BY187" t="s">
        <v>407</v>
      </c>
      <c r="BZ187" t="s">
        <v>80</v>
      </c>
      <c r="CA187" t="s">
        <v>407</v>
      </c>
      <c r="CB187" t="s">
        <v>408</v>
      </c>
      <c r="CC187" t="s">
        <v>597</v>
      </c>
      <c r="CD187" t="s">
        <v>346</v>
      </c>
      <c r="CE187" t="s">
        <v>581</v>
      </c>
      <c r="CF187" t="s">
        <v>596</v>
      </c>
      <c r="CG187" s="32" t="s">
        <v>407</v>
      </c>
      <c r="CH187" t="s">
        <v>411</v>
      </c>
      <c r="CI187" t="s">
        <v>407</v>
      </c>
      <c r="CJ187" t="s">
        <v>408</v>
      </c>
      <c r="CK187" s="32" t="s">
        <v>407</v>
      </c>
      <c r="CL187" t="s">
        <v>29</v>
      </c>
      <c r="CM187" t="s">
        <v>407</v>
      </c>
      <c r="CN187" t="s">
        <v>408</v>
      </c>
      <c r="CO187" t="s">
        <v>597</v>
      </c>
      <c r="CP187" t="s">
        <v>346</v>
      </c>
      <c r="CQ187" t="s">
        <v>581</v>
      </c>
      <c r="CR187" t="s">
        <v>596</v>
      </c>
      <c r="CS187" s="32" t="s">
        <v>407</v>
      </c>
      <c r="CT187" t="s">
        <v>475</v>
      </c>
      <c r="CU187" t="s">
        <v>407</v>
      </c>
      <c r="CV187" t="s">
        <v>408</v>
      </c>
      <c r="CW187" s="32" t="s">
        <v>407</v>
      </c>
      <c r="CX187" t="s">
        <v>83</v>
      </c>
      <c r="CY187" t="s">
        <v>407</v>
      </c>
      <c r="CZ187" t="s">
        <v>408</v>
      </c>
      <c r="DA187" t="s">
        <v>407</v>
      </c>
      <c r="DB187" t="s">
        <v>598</v>
      </c>
      <c r="DC187" t="s">
        <v>407</v>
      </c>
      <c r="DD187" t="s">
        <v>599</v>
      </c>
      <c r="DE187" t="str">
        <f t="shared" si="5"/>
        <v>%IF(K64%"Poplar","PAINT",IF(K64%"Red Oak","SGO",IF(K64%"Maple","SM","SPPN")))</v>
      </c>
      <c r="DO187" t="s">
        <v>518</v>
      </c>
    </row>
    <row r="188" spans="6:119" x14ac:dyDescent="0.25">
      <c r="F188" t="s">
        <v>204</v>
      </c>
      <c r="H188" t="s">
        <v>264</v>
      </c>
      <c r="M188" t="s">
        <v>326</v>
      </c>
      <c r="O188" t="s">
        <v>341</v>
      </c>
      <c r="T188" t="s">
        <v>344</v>
      </c>
      <c r="U188" t="s">
        <v>345</v>
      </c>
      <c r="V188" t="s">
        <v>346</v>
      </c>
      <c r="W188" t="s">
        <v>392</v>
      </c>
      <c r="X188" t="s">
        <v>344</v>
      </c>
      <c r="Y188" t="s">
        <v>407</v>
      </c>
      <c r="Z188" t="s">
        <v>27</v>
      </c>
      <c r="AA188" t="s">
        <v>407</v>
      </c>
      <c r="AB188" t="s">
        <v>408</v>
      </c>
      <c r="AC188" t="s">
        <v>407</v>
      </c>
      <c r="AD188" t="s">
        <v>27</v>
      </c>
      <c r="AE188" t="s">
        <v>407</v>
      </c>
      <c r="AF188" t="s">
        <v>408</v>
      </c>
      <c r="AG188" t="s">
        <v>345</v>
      </c>
      <c r="AH188" t="s">
        <v>346</v>
      </c>
      <c r="AI188" t="s">
        <v>392</v>
      </c>
      <c r="AJ188" t="s">
        <v>344</v>
      </c>
      <c r="AK188" t="s">
        <v>407</v>
      </c>
      <c r="AL188" t="s">
        <v>279</v>
      </c>
      <c r="AM188" t="s">
        <v>407</v>
      </c>
      <c r="AN188" t="s">
        <v>408</v>
      </c>
      <c r="AO188" t="s">
        <v>407</v>
      </c>
      <c r="AP188" t="s">
        <v>53</v>
      </c>
      <c r="AQ188" t="s">
        <v>407</v>
      </c>
      <c r="AR188" t="s">
        <v>408</v>
      </c>
      <c r="AS188" t="s">
        <v>407</v>
      </c>
      <c r="AT188" t="s">
        <v>407</v>
      </c>
      <c r="AU188" t="s">
        <v>409</v>
      </c>
      <c r="AV188" t="s">
        <v>409</v>
      </c>
      <c r="AW188" t="str">
        <f t="shared" si="4"/>
        <v>#if(J64#"JE","JE",if(J64#"Drilled","JC",""))</v>
      </c>
      <c r="BC188" t="s">
        <v>458</v>
      </c>
      <c r="BJ188" t="s">
        <v>521</v>
      </c>
      <c r="BQ188" t="s">
        <v>600</v>
      </c>
      <c r="BR188" t="s">
        <v>346</v>
      </c>
      <c r="BS188" t="s">
        <v>581</v>
      </c>
      <c r="BT188" t="s">
        <v>596</v>
      </c>
      <c r="BU188" t="s">
        <v>407</v>
      </c>
      <c r="BV188" t="s">
        <v>157</v>
      </c>
      <c r="BW188" t="s">
        <v>407</v>
      </c>
      <c r="BX188" t="s">
        <v>408</v>
      </c>
      <c r="BY188" t="s">
        <v>407</v>
      </c>
      <c r="BZ188" t="s">
        <v>80</v>
      </c>
      <c r="CA188" t="s">
        <v>407</v>
      </c>
      <c r="CB188" t="s">
        <v>408</v>
      </c>
      <c r="CC188" t="s">
        <v>597</v>
      </c>
      <c r="CD188" t="s">
        <v>346</v>
      </c>
      <c r="CE188" t="s">
        <v>581</v>
      </c>
      <c r="CF188" t="s">
        <v>596</v>
      </c>
      <c r="CG188" s="32" t="s">
        <v>407</v>
      </c>
      <c r="CH188" t="s">
        <v>411</v>
      </c>
      <c r="CI188" t="s">
        <v>407</v>
      </c>
      <c r="CJ188" t="s">
        <v>408</v>
      </c>
      <c r="CK188" s="32" t="s">
        <v>407</v>
      </c>
      <c r="CL188" t="s">
        <v>29</v>
      </c>
      <c r="CM188" t="s">
        <v>407</v>
      </c>
      <c r="CN188" t="s">
        <v>408</v>
      </c>
      <c r="CO188" t="s">
        <v>597</v>
      </c>
      <c r="CP188" t="s">
        <v>346</v>
      </c>
      <c r="CQ188" t="s">
        <v>581</v>
      </c>
      <c r="CR188" t="s">
        <v>596</v>
      </c>
      <c r="CS188" s="32" t="s">
        <v>407</v>
      </c>
      <c r="CT188" t="s">
        <v>475</v>
      </c>
      <c r="CU188" t="s">
        <v>407</v>
      </c>
      <c r="CV188" t="s">
        <v>408</v>
      </c>
      <c r="CW188" s="32" t="s">
        <v>407</v>
      </c>
      <c r="CX188" t="s">
        <v>83</v>
      </c>
      <c r="CY188" t="s">
        <v>407</v>
      </c>
      <c r="CZ188" t="s">
        <v>408</v>
      </c>
      <c r="DA188" t="s">
        <v>407</v>
      </c>
      <c r="DB188" t="s">
        <v>598</v>
      </c>
      <c r="DC188" t="s">
        <v>407</v>
      </c>
      <c r="DD188" t="s">
        <v>599</v>
      </c>
      <c r="DE188" t="str">
        <f t="shared" si="5"/>
        <v>%IF(K64%"Poplar","PAINT",IF(K64%"Red Oak","SGO",IF(K64%"Maple","SM","SPPN")))</v>
      </c>
      <c r="DO188" t="s">
        <v>518</v>
      </c>
    </row>
    <row r="189" spans="6:119" x14ac:dyDescent="0.25">
      <c r="F189" t="s">
        <v>205</v>
      </c>
      <c r="H189" t="s">
        <v>265</v>
      </c>
      <c r="M189" t="s">
        <v>327</v>
      </c>
      <c r="O189" t="s">
        <v>341</v>
      </c>
      <c r="T189" t="s">
        <v>344</v>
      </c>
      <c r="U189" t="s">
        <v>345</v>
      </c>
      <c r="V189" t="s">
        <v>346</v>
      </c>
      <c r="W189" t="s">
        <v>393</v>
      </c>
      <c r="X189" t="s">
        <v>344</v>
      </c>
      <c r="Y189" t="s">
        <v>407</v>
      </c>
      <c r="Z189" t="s">
        <v>27</v>
      </c>
      <c r="AA189" t="s">
        <v>407</v>
      </c>
      <c r="AB189" t="s">
        <v>408</v>
      </c>
      <c r="AC189" t="s">
        <v>407</v>
      </c>
      <c r="AD189" t="s">
        <v>27</v>
      </c>
      <c r="AE189" t="s">
        <v>407</v>
      </c>
      <c r="AF189" t="s">
        <v>408</v>
      </c>
      <c r="AG189" t="s">
        <v>345</v>
      </c>
      <c r="AH189" t="s">
        <v>346</v>
      </c>
      <c r="AI189" t="s">
        <v>393</v>
      </c>
      <c r="AJ189" t="s">
        <v>344</v>
      </c>
      <c r="AK189" t="s">
        <v>407</v>
      </c>
      <c r="AL189" t="s">
        <v>279</v>
      </c>
      <c r="AM189" t="s">
        <v>407</v>
      </c>
      <c r="AN189" t="s">
        <v>408</v>
      </c>
      <c r="AO189" t="s">
        <v>407</v>
      </c>
      <c r="AP189" t="s">
        <v>53</v>
      </c>
      <c r="AQ189" t="s">
        <v>407</v>
      </c>
      <c r="AR189" t="s">
        <v>408</v>
      </c>
      <c r="AS189" t="s">
        <v>407</v>
      </c>
      <c r="AT189" t="s">
        <v>407</v>
      </c>
      <c r="AU189" t="s">
        <v>409</v>
      </c>
      <c r="AV189" t="s">
        <v>409</v>
      </c>
      <c r="AW189" t="str">
        <f t="shared" si="4"/>
        <v>#if(J65#"JE","JE",if(J65#"Drilled","JC",""))</v>
      </c>
      <c r="BC189" t="s">
        <v>459</v>
      </c>
      <c r="BJ189" t="s">
        <v>522</v>
      </c>
      <c r="BQ189" t="s">
        <v>600</v>
      </c>
      <c r="BR189" t="s">
        <v>346</v>
      </c>
      <c r="BS189" t="s">
        <v>582</v>
      </c>
      <c r="BT189" t="s">
        <v>596</v>
      </c>
      <c r="BU189" t="s">
        <v>407</v>
      </c>
      <c r="BV189" t="s">
        <v>157</v>
      </c>
      <c r="BW189" t="s">
        <v>407</v>
      </c>
      <c r="BX189" t="s">
        <v>408</v>
      </c>
      <c r="BY189" t="s">
        <v>407</v>
      </c>
      <c r="BZ189" t="s">
        <v>80</v>
      </c>
      <c r="CA189" t="s">
        <v>407</v>
      </c>
      <c r="CB189" t="s">
        <v>408</v>
      </c>
      <c r="CC189" t="s">
        <v>597</v>
      </c>
      <c r="CD189" t="s">
        <v>346</v>
      </c>
      <c r="CE189" t="s">
        <v>582</v>
      </c>
      <c r="CF189" t="s">
        <v>596</v>
      </c>
      <c r="CG189" s="32" t="s">
        <v>407</v>
      </c>
      <c r="CH189" t="s">
        <v>411</v>
      </c>
      <c r="CI189" t="s">
        <v>407</v>
      </c>
      <c r="CJ189" t="s">
        <v>408</v>
      </c>
      <c r="CK189" s="32" t="s">
        <v>407</v>
      </c>
      <c r="CL189" t="s">
        <v>29</v>
      </c>
      <c r="CM189" t="s">
        <v>407</v>
      </c>
      <c r="CN189" t="s">
        <v>408</v>
      </c>
      <c r="CO189" t="s">
        <v>597</v>
      </c>
      <c r="CP189" t="s">
        <v>346</v>
      </c>
      <c r="CQ189" t="s">
        <v>582</v>
      </c>
      <c r="CR189" t="s">
        <v>596</v>
      </c>
      <c r="CS189" s="32" t="s">
        <v>407</v>
      </c>
      <c r="CT189" t="s">
        <v>475</v>
      </c>
      <c r="CU189" t="s">
        <v>407</v>
      </c>
      <c r="CV189" t="s">
        <v>408</v>
      </c>
      <c r="CW189" s="32" t="s">
        <v>407</v>
      </c>
      <c r="CX189" t="s">
        <v>83</v>
      </c>
      <c r="CY189" t="s">
        <v>407</v>
      </c>
      <c r="CZ189" t="s">
        <v>408</v>
      </c>
      <c r="DA189" t="s">
        <v>407</v>
      </c>
      <c r="DB189" t="s">
        <v>598</v>
      </c>
      <c r="DC189" t="s">
        <v>407</v>
      </c>
      <c r="DD189" t="s">
        <v>599</v>
      </c>
      <c r="DE189" t="str">
        <f t="shared" si="5"/>
        <v>%IF(K65%"Poplar","PAINT",IF(K65%"Red Oak","SGO",IF(K65%"Maple","SM","SPPN")))</v>
      </c>
      <c r="DO189" t="s">
        <v>518</v>
      </c>
    </row>
    <row r="190" spans="6:119" x14ac:dyDescent="0.25">
      <c r="F190" t="s">
        <v>205</v>
      </c>
      <c r="H190" t="s">
        <v>265</v>
      </c>
      <c r="M190" t="s">
        <v>327</v>
      </c>
      <c r="O190" t="s">
        <v>341</v>
      </c>
      <c r="T190" t="s">
        <v>344</v>
      </c>
      <c r="U190" t="s">
        <v>345</v>
      </c>
      <c r="V190" t="s">
        <v>346</v>
      </c>
      <c r="W190" t="s">
        <v>393</v>
      </c>
      <c r="X190" t="s">
        <v>344</v>
      </c>
      <c r="Y190" t="s">
        <v>407</v>
      </c>
      <c r="Z190" t="s">
        <v>27</v>
      </c>
      <c r="AA190" t="s">
        <v>407</v>
      </c>
      <c r="AB190" t="s">
        <v>408</v>
      </c>
      <c r="AC190" t="s">
        <v>407</v>
      </c>
      <c r="AD190" t="s">
        <v>27</v>
      </c>
      <c r="AE190" t="s">
        <v>407</v>
      </c>
      <c r="AF190" t="s">
        <v>408</v>
      </c>
      <c r="AG190" t="s">
        <v>345</v>
      </c>
      <c r="AH190" t="s">
        <v>346</v>
      </c>
      <c r="AI190" t="s">
        <v>393</v>
      </c>
      <c r="AJ190" t="s">
        <v>344</v>
      </c>
      <c r="AK190" t="s">
        <v>407</v>
      </c>
      <c r="AL190" t="s">
        <v>279</v>
      </c>
      <c r="AM190" t="s">
        <v>407</v>
      </c>
      <c r="AN190" t="s">
        <v>408</v>
      </c>
      <c r="AO190" t="s">
        <v>407</v>
      </c>
      <c r="AP190" t="s">
        <v>53</v>
      </c>
      <c r="AQ190" t="s">
        <v>407</v>
      </c>
      <c r="AR190" t="s">
        <v>408</v>
      </c>
      <c r="AS190" t="s">
        <v>407</v>
      </c>
      <c r="AT190" t="s">
        <v>407</v>
      </c>
      <c r="AU190" t="s">
        <v>409</v>
      </c>
      <c r="AV190" t="s">
        <v>409</v>
      </c>
      <c r="AW190" t="str">
        <f t="shared" si="4"/>
        <v>#if(J65#"JE","JE",if(J65#"Drilled","JC",""))</v>
      </c>
      <c r="BC190" t="s">
        <v>459</v>
      </c>
      <c r="BJ190" t="s">
        <v>522</v>
      </c>
      <c r="BQ190" t="s">
        <v>600</v>
      </c>
      <c r="BR190" t="s">
        <v>346</v>
      </c>
      <c r="BS190" t="s">
        <v>582</v>
      </c>
      <c r="BT190" t="s">
        <v>596</v>
      </c>
      <c r="BU190" t="s">
        <v>407</v>
      </c>
      <c r="BV190" t="s">
        <v>157</v>
      </c>
      <c r="BW190" t="s">
        <v>407</v>
      </c>
      <c r="BX190" t="s">
        <v>408</v>
      </c>
      <c r="BY190" t="s">
        <v>407</v>
      </c>
      <c r="BZ190" t="s">
        <v>80</v>
      </c>
      <c r="CA190" t="s">
        <v>407</v>
      </c>
      <c r="CB190" t="s">
        <v>408</v>
      </c>
      <c r="CC190" t="s">
        <v>597</v>
      </c>
      <c r="CD190" t="s">
        <v>346</v>
      </c>
      <c r="CE190" t="s">
        <v>582</v>
      </c>
      <c r="CF190" t="s">
        <v>596</v>
      </c>
      <c r="CG190" s="32" t="s">
        <v>407</v>
      </c>
      <c r="CH190" t="s">
        <v>411</v>
      </c>
      <c r="CI190" t="s">
        <v>407</v>
      </c>
      <c r="CJ190" t="s">
        <v>408</v>
      </c>
      <c r="CK190" s="32" t="s">
        <v>407</v>
      </c>
      <c r="CL190" t="s">
        <v>29</v>
      </c>
      <c r="CM190" t="s">
        <v>407</v>
      </c>
      <c r="CN190" t="s">
        <v>408</v>
      </c>
      <c r="CO190" t="s">
        <v>597</v>
      </c>
      <c r="CP190" t="s">
        <v>346</v>
      </c>
      <c r="CQ190" t="s">
        <v>582</v>
      </c>
      <c r="CR190" t="s">
        <v>596</v>
      </c>
      <c r="CS190" s="32" t="s">
        <v>407</v>
      </c>
      <c r="CT190" t="s">
        <v>475</v>
      </c>
      <c r="CU190" t="s">
        <v>407</v>
      </c>
      <c r="CV190" t="s">
        <v>408</v>
      </c>
      <c r="CW190" s="32" t="s">
        <v>407</v>
      </c>
      <c r="CX190" t="s">
        <v>83</v>
      </c>
      <c r="CY190" t="s">
        <v>407</v>
      </c>
      <c r="CZ190" t="s">
        <v>408</v>
      </c>
      <c r="DA190" t="s">
        <v>407</v>
      </c>
      <c r="DB190" t="s">
        <v>598</v>
      </c>
      <c r="DC190" t="s">
        <v>407</v>
      </c>
      <c r="DD190" t="s">
        <v>599</v>
      </c>
      <c r="DE190" t="str">
        <f t="shared" si="5"/>
        <v>%IF(K65%"Poplar","PAINT",IF(K65%"Red Oak","SGO",IF(K65%"Maple","SM","SPPN")))</v>
      </c>
      <c r="DO190" t="s">
        <v>518</v>
      </c>
    </row>
    <row r="191" spans="6:119" x14ac:dyDescent="0.25">
      <c r="F191" t="s">
        <v>205</v>
      </c>
      <c r="H191" t="s">
        <v>265</v>
      </c>
      <c r="M191" t="s">
        <v>327</v>
      </c>
      <c r="O191" t="s">
        <v>341</v>
      </c>
      <c r="T191" t="s">
        <v>344</v>
      </c>
      <c r="U191" t="s">
        <v>345</v>
      </c>
      <c r="V191" t="s">
        <v>346</v>
      </c>
      <c r="W191" t="s">
        <v>393</v>
      </c>
      <c r="X191" t="s">
        <v>344</v>
      </c>
      <c r="Y191" t="s">
        <v>407</v>
      </c>
      <c r="Z191" t="s">
        <v>27</v>
      </c>
      <c r="AA191" t="s">
        <v>407</v>
      </c>
      <c r="AB191" t="s">
        <v>408</v>
      </c>
      <c r="AC191" t="s">
        <v>407</v>
      </c>
      <c r="AD191" t="s">
        <v>27</v>
      </c>
      <c r="AE191" t="s">
        <v>407</v>
      </c>
      <c r="AF191" t="s">
        <v>408</v>
      </c>
      <c r="AG191" t="s">
        <v>345</v>
      </c>
      <c r="AH191" t="s">
        <v>346</v>
      </c>
      <c r="AI191" t="s">
        <v>393</v>
      </c>
      <c r="AJ191" t="s">
        <v>344</v>
      </c>
      <c r="AK191" t="s">
        <v>407</v>
      </c>
      <c r="AL191" t="s">
        <v>279</v>
      </c>
      <c r="AM191" t="s">
        <v>407</v>
      </c>
      <c r="AN191" t="s">
        <v>408</v>
      </c>
      <c r="AO191" t="s">
        <v>407</v>
      </c>
      <c r="AP191" t="s">
        <v>53</v>
      </c>
      <c r="AQ191" t="s">
        <v>407</v>
      </c>
      <c r="AR191" t="s">
        <v>408</v>
      </c>
      <c r="AS191" t="s">
        <v>407</v>
      </c>
      <c r="AT191" t="s">
        <v>407</v>
      </c>
      <c r="AU191" t="s">
        <v>409</v>
      </c>
      <c r="AV191" t="s">
        <v>409</v>
      </c>
      <c r="AW191" t="str">
        <f t="shared" si="4"/>
        <v>#if(J65#"JE","JE",if(J65#"Drilled","JC",""))</v>
      </c>
      <c r="BC191" t="s">
        <v>459</v>
      </c>
      <c r="BJ191" t="s">
        <v>522</v>
      </c>
      <c r="BQ191" t="s">
        <v>600</v>
      </c>
      <c r="BR191" t="s">
        <v>346</v>
      </c>
      <c r="BS191" t="s">
        <v>582</v>
      </c>
      <c r="BT191" t="s">
        <v>596</v>
      </c>
      <c r="BU191" t="s">
        <v>407</v>
      </c>
      <c r="BV191" t="s">
        <v>157</v>
      </c>
      <c r="BW191" t="s">
        <v>407</v>
      </c>
      <c r="BX191" t="s">
        <v>408</v>
      </c>
      <c r="BY191" t="s">
        <v>407</v>
      </c>
      <c r="BZ191" t="s">
        <v>80</v>
      </c>
      <c r="CA191" t="s">
        <v>407</v>
      </c>
      <c r="CB191" t="s">
        <v>408</v>
      </c>
      <c r="CC191" t="s">
        <v>597</v>
      </c>
      <c r="CD191" t="s">
        <v>346</v>
      </c>
      <c r="CE191" t="s">
        <v>582</v>
      </c>
      <c r="CF191" t="s">
        <v>596</v>
      </c>
      <c r="CG191" s="32" t="s">
        <v>407</v>
      </c>
      <c r="CH191" t="s">
        <v>411</v>
      </c>
      <c r="CI191" t="s">
        <v>407</v>
      </c>
      <c r="CJ191" t="s">
        <v>408</v>
      </c>
      <c r="CK191" s="32" t="s">
        <v>407</v>
      </c>
      <c r="CL191" t="s">
        <v>29</v>
      </c>
      <c r="CM191" t="s">
        <v>407</v>
      </c>
      <c r="CN191" t="s">
        <v>408</v>
      </c>
      <c r="CO191" t="s">
        <v>597</v>
      </c>
      <c r="CP191" t="s">
        <v>346</v>
      </c>
      <c r="CQ191" t="s">
        <v>582</v>
      </c>
      <c r="CR191" t="s">
        <v>596</v>
      </c>
      <c r="CS191" s="32" t="s">
        <v>407</v>
      </c>
      <c r="CT191" t="s">
        <v>475</v>
      </c>
      <c r="CU191" t="s">
        <v>407</v>
      </c>
      <c r="CV191" t="s">
        <v>408</v>
      </c>
      <c r="CW191" s="32" t="s">
        <v>407</v>
      </c>
      <c r="CX191" t="s">
        <v>83</v>
      </c>
      <c r="CY191" t="s">
        <v>407</v>
      </c>
      <c r="CZ191" t="s">
        <v>408</v>
      </c>
      <c r="DA191" t="s">
        <v>407</v>
      </c>
      <c r="DB191" t="s">
        <v>598</v>
      </c>
      <c r="DC191" t="s">
        <v>407</v>
      </c>
      <c r="DD191" t="s">
        <v>599</v>
      </c>
      <c r="DE191" t="str">
        <f t="shared" si="5"/>
        <v>%IF(K65%"Poplar","PAINT",IF(K65%"Red Oak","SGO",IF(K65%"Maple","SM","SPPN")))</v>
      </c>
      <c r="DO191" t="s">
        <v>519</v>
      </c>
    </row>
    <row r="192" spans="6:119" x14ac:dyDescent="0.25">
      <c r="F192" t="s">
        <v>205</v>
      </c>
      <c r="H192" t="s">
        <v>265</v>
      </c>
      <c r="M192" t="s">
        <v>327</v>
      </c>
      <c r="O192" t="s">
        <v>341</v>
      </c>
      <c r="T192" t="s">
        <v>344</v>
      </c>
      <c r="U192" t="s">
        <v>345</v>
      </c>
      <c r="V192" t="s">
        <v>346</v>
      </c>
      <c r="W192" t="s">
        <v>393</v>
      </c>
      <c r="X192" t="s">
        <v>344</v>
      </c>
      <c r="Y192" t="s">
        <v>407</v>
      </c>
      <c r="Z192" t="s">
        <v>27</v>
      </c>
      <c r="AA192" t="s">
        <v>407</v>
      </c>
      <c r="AB192" t="s">
        <v>408</v>
      </c>
      <c r="AC192" t="s">
        <v>407</v>
      </c>
      <c r="AD192" t="s">
        <v>27</v>
      </c>
      <c r="AE192" t="s">
        <v>407</v>
      </c>
      <c r="AF192" t="s">
        <v>408</v>
      </c>
      <c r="AG192" t="s">
        <v>345</v>
      </c>
      <c r="AH192" t="s">
        <v>346</v>
      </c>
      <c r="AI192" t="s">
        <v>393</v>
      </c>
      <c r="AJ192" t="s">
        <v>344</v>
      </c>
      <c r="AK192" t="s">
        <v>407</v>
      </c>
      <c r="AL192" t="s">
        <v>279</v>
      </c>
      <c r="AM192" t="s">
        <v>407</v>
      </c>
      <c r="AN192" t="s">
        <v>408</v>
      </c>
      <c r="AO192" t="s">
        <v>407</v>
      </c>
      <c r="AP192" t="s">
        <v>53</v>
      </c>
      <c r="AQ192" t="s">
        <v>407</v>
      </c>
      <c r="AR192" t="s">
        <v>408</v>
      </c>
      <c r="AS192" t="s">
        <v>407</v>
      </c>
      <c r="AT192" t="s">
        <v>407</v>
      </c>
      <c r="AU192" t="s">
        <v>409</v>
      </c>
      <c r="AV192" t="s">
        <v>409</v>
      </c>
      <c r="AW192" t="str">
        <f t="shared" si="4"/>
        <v>#if(J65#"JE","JE",if(J65#"Drilled","JC",""))</v>
      </c>
      <c r="BC192" t="s">
        <v>459</v>
      </c>
      <c r="BJ192" t="s">
        <v>522</v>
      </c>
      <c r="BQ192" t="s">
        <v>600</v>
      </c>
      <c r="BR192" t="s">
        <v>346</v>
      </c>
      <c r="BS192" t="s">
        <v>582</v>
      </c>
      <c r="BT192" t="s">
        <v>596</v>
      </c>
      <c r="BU192" t="s">
        <v>407</v>
      </c>
      <c r="BV192" t="s">
        <v>157</v>
      </c>
      <c r="BW192" t="s">
        <v>407</v>
      </c>
      <c r="BX192" t="s">
        <v>408</v>
      </c>
      <c r="BY192" t="s">
        <v>407</v>
      </c>
      <c r="BZ192" t="s">
        <v>80</v>
      </c>
      <c r="CA192" t="s">
        <v>407</v>
      </c>
      <c r="CB192" t="s">
        <v>408</v>
      </c>
      <c r="CC192" t="s">
        <v>597</v>
      </c>
      <c r="CD192" t="s">
        <v>346</v>
      </c>
      <c r="CE192" t="s">
        <v>582</v>
      </c>
      <c r="CF192" t="s">
        <v>596</v>
      </c>
      <c r="CG192" s="32" t="s">
        <v>407</v>
      </c>
      <c r="CH192" t="s">
        <v>411</v>
      </c>
      <c r="CI192" t="s">
        <v>407</v>
      </c>
      <c r="CJ192" t="s">
        <v>408</v>
      </c>
      <c r="CK192" s="32" t="s">
        <v>407</v>
      </c>
      <c r="CL192" t="s">
        <v>29</v>
      </c>
      <c r="CM192" t="s">
        <v>407</v>
      </c>
      <c r="CN192" t="s">
        <v>408</v>
      </c>
      <c r="CO192" t="s">
        <v>597</v>
      </c>
      <c r="CP192" t="s">
        <v>346</v>
      </c>
      <c r="CQ192" t="s">
        <v>582</v>
      </c>
      <c r="CR192" t="s">
        <v>596</v>
      </c>
      <c r="CS192" s="32" t="s">
        <v>407</v>
      </c>
      <c r="CT192" t="s">
        <v>475</v>
      </c>
      <c r="CU192" t="s">
        <v>407</v>
      </c>
      <c r="CV192" t="s">
        <v>408</v>
      </c>
      <c r="CW192" s="32" t="s">
        <v>407</v>
      </c>
      <c r="CX192" t="s">
        <v>83</v>
      </c>
      <c r="CY192" t="s">
        <v>407</v>
      </c>
      <c r="CZ192" t="s">
        <v>408</v>
      </c>
      <c r="DA192" t="s">
        <v>407</v>
      </c>
      <c r="DB192" t="s">
        <v>598</v>
      </c>
      <c r="DC192" t="s">
        <v>407</v>
      </c>
      <c r="DD192" t="s">
        <v>599</v>
      </c>
      <c r="DE192" t="str">
        <f t="shared" si="5"/>
        <v>%IF(K65%"Poplar","PAINT",IF(K65%"Red Oak","SGO",IF(K65%"Maple","SM","SPPN")))</v>
      </c>
      <c r="DO192" t="s">
        <v>519</v>
      </c>
    </row>
    <row r="193" spans="6:119" x14ac:dyDescent="0.25">
      <c r="F193" t="s">
        <v>206</v>
      </c>
      <c r="H193" t="s">
        <v>266</v>
      </c>
      <c r="M193" t="s">
        <v>328</v>
      </c>
      <c r="O193" t="s">
        <v>341</v>
      </c>
      <c r="T193" t="s">
        <v>344</v>
      </c>
      <c r="U193" t="s">
        <v>345</v>
      </c>
      <c r="V193" t="s">
        <v>346</v>
      </c>
      <c r="W193" t="s">
        <v>394</v>
      </c>
      <c r="X193" t="s">
        <v>344</v>
      </c>
      <c r="Y193" t="s">
        <v>407</v>
      </c>
      <c r="Z193" t="s">
        <v>27</v>
      </c>
      <c r="AA193" t="s">
        <v>407</v>
      </c>
      <c r="AB193" t="s">
        <v>408</v>
      </c>
      <c r="AC193" t="s">
        <v>407</v>
      </c>
      <c r="AD193" t="s">
        <v>27</v>
      </c>
      <c r="AE193" t="s">
        <v>407</v>
      </c>
      <c r="AF193" t="s">
        <v>408</v>
      </c>
      <c r="AG193" t="s">
        <v>345</v>
      </c>
      <c r="AH193" t="s">
        <v>346</v>
      </c>
      <c r="AI193" t="s">
        <v>394</v>
      </c>
      <c r="AJ193" t="s">
        <v>344</v>
      </c>
      <c r="AK193" t="s">
        <v>407</v>
      </c>
      <c r="AL193" t="s">
        <v>279</v>
      </c>
      <c r="AM193" t="s">
        <v>407</v>
      </c>
      <c r="AN193" t="s">
        <v>408</v>
      </c>
      <c r="AO193" t="s">
        <v>407</v>
      </c>
      <c r="AP193" t="s">
        <v>53</v>
      </c>
      <c r="AQ193" t="s">
        <v>407</v>
      </c>
      <c r="AR193" t="s">
        <v>408</v>
      </c>
      <c r="AS193" t="s">
        <v>407</v>
      </c>
      <c r="AT193" t="s">
        <v>407</v>
      </c>
      <c r="AU193" t="s">
        <v>409</v>
      </c>
      <c r="AV193" t="s">
        <v>409</v>
      </c>
      <c r="AW193" t="str">
        <f t="shared" si="4"/>
        <v>#if(J66#"JE","JE",if(J66#"Drilled","JC",""))</v>
      </c>
      <c r="BC193" t="s">
        <v>460</v>
      </c>
      <c r="BJ193" t="s">
        <v>523</v>
      </c>
      <c r="BQ193" t="s">
        <v>600</v>
      </c>
      <c r="BR193" t="s">
        <v>346</v>
      </c>
      <c r="BS193" t="s">
        <v>583</v>
      </c>
      <c r="BT193" t="s">
        <v>596</v>
      </c>
      <c r="BU193" t="s">
        <v>407</v>
      </c>
      <c r="BV193" t="s">
        <v>157</v>
      </c>
      <c r="BW193" t="s">
        <v>407</v>
      </c>
      <c r="BX193" t="s">
        <v>408</v>
      </c>
      <c r="BY193" t="s">
        <v>407</v>
      </c>
      <c r="BZ193" t="s">
        <v>80</v>
      </c>
      <c r="CA193" t="s">
        <v>407</v>
      </c>
      <c r="CB193" t="s">
        <v>408</v>
      </c>
      <c r="CC193" t="s">
        <v>597</v>
      </c>
      <c r="CD193" t="s">
        <v>346</v>
      </c>
      <c r="CE193" t="s">
        <v>583</v>
      </c>
      <c r="CF193" t="s">
        <v>596</v>
      </c>
      <c r="CG193" s="32" t="s">
        <v>407</v>
      </c>
      <c r="CH193" t="s">
        <v>411</v>
      </c>
      <c r="CI193" t="s">
        <v>407</v>
      </c>
      <c r="CJ193" t="s">
        <v>408</v>
      </c>
      <c r="CK193" s="32" t="s">
        <v>407</v>
      </c>
      <c r="CL193" t="s">
        <v>29</v>
      </c>
      <c r="CM193" t="s">
        <v>407</v>
      </c>
      <c r="CN193" t="s">
        <v>408</v>
      </c>
      <c r="CO193" t="s">
        <v>597</v>
      </c>
      <c r="CP193" t="s">
        <v>346</v>
      </c>
      <c r="CQ193" t="s">
        <v>583</v>
      </c>
      <c r="CR193" t="s">
        <v>596</v>
      </c>
      <c r="CS193" s="32" t="s">
        <v>407</v>
      </c>
      <c r="CT193" t="s">
        <v>475</v>
      </c>
      <c r="CU193" t="s">
        <v>407</v>
      </c>
      <c r="CV193" t="s">
        <v>408</v>
      </c>
      <c r="CW193" s="32" t="s">
        <v>407</v>
      </c>
      <c r="CX193" t="s">
        <v>83</v>
      </c>
      <c r="CY193" t="s">
        <v>407</v>
      </c>
      <c r="CZ193" t="s">
        <v>408</v>
      </c>
      <c r="DA193" t="s">
        <v>407</v>
      </c>
      <c r="DB193" t="s">
        <v>598</v>
      </c>
      <c r="DC193" t="s">
        <v>407</v>
      </c>
      <c r="DD193" t="s">
        <v>599</v>
      </c>
      <c r="DE193" t="str">
        <f t="shared" si="5"/>
        <v>%IF(K66%"Poplar","PAINT",IF(K66%"Red Oak","SGO",IF(K66%"Maple","SM","SPPN")))</v>
      </c>
      <c r="DO193" t="s">
        <v>519</v>
      </c>
    </row>
    <row r="194" spans="6:119" x14ac:dyDescent="0.25">
      <c r="F194" t="s">
        <v>206</v>
      </c>
      <c r="H194" t="s">
        <v>266</v>
      </c>
      <c r="M194" t="s">
        <v>328</v>
      </c>
      <c r="O194" t="s">
        <v>341</v>
      </c>
      <c r="T194" t="s">
        <v>344</v>
      </c>
      <c r="U194" t="s">
        <v>345</v>
      </c>
      <c r="V194" t="s">
        <v>346</v>
      </c>
      <c r="W194" t="s">
        <v>394</v>
      </c>
      <c r="X194" t="s">
        <v>344</v>
      </c>
      <c r="Y194" t="s">
        <v>407</v>
      </c>
      <c r="Z194" t="s">
        <v>27</v>
      </c>
      <c r="AA194" t="s">
        <v>407</v>
      </c>
      <c r="AB194" t="s">
        <v>408</v>
      </c>
      <c r="AC194" t="s">
        <v>407</v>
      </c>
      <c r="AD194" t="s">
        <v>27</v>
      </c>
      <c r="AE194" t="s">
        <v>407</v>
      </c>
      <c r="AF194" t="s">
        <v>408</v>
      </c>
      <c r="AG194" t="s">
        <v>345</v>
      </c>
      <c r="AH194" t="s">
        <v>346</v>
      </c>
      <c r="AI194" t="s">
        <v>394</v>
      </c>
      <c r="AJ194" t="s">
        <v>344</v>
      </c>
      <c r="AK194" t="s">
        <v>407</v>
      </c>
      <c r="AL194" t="s">
        <v>279</v>
      </c>
      <c r="AM194" t="s">
        <v>407</v>
      </c>
      <c r="AN194" t="s">
        <v>408</v>
      </c>
      <c r="AO194" t="s">
        <v>407</v>
      </c>
      <c r="AP194" t="s">
        <v>53</v>
      </c>
      <c r="AQ194" t="s">
        <v>407</v>
      </c>
      <c r="AR194" t="s">
        <v>408</v>
      </c>
      <c r="AS194" t="s">
        <v>407</v>
      </c>
      <c r="AT194" t="s">
        <v>407</v>
      </c>
      <c r="AU194" t="s">
        <v>409</v>
      </c>
      <c r="AV194" t="s">
        <v>409</v>
      </c>
      <c r="AW194" t="str">
        <f t="shared" si="4"/>
        <v>#if(J66#"JE","JE",if(J66#"Drilled","JC",""))</v>
      </c>
      <c r="BC194" t="s">
        <v>460</v>
      </c>
      <c r="BJ194" t="s">
        <v>523</v>
      </c>
      <c r="BQ194" t="s">
        <v>600</v>
      </c>
      <c r="BR194" t="s">
        <v>346</v>
      </c>
      <c r="BS194" t="s">
        <v>583</v>
      </c>
      <c r="BT194" t="s">
        <v>596</v>
      </c>
      <c r="BU194" t="s">
        <v>407</v>
      </c>
      <c r="BV194" t="s">
        <v>157</v>
      </c>
      <c r="BW194" t="s">
        <v>407</v>
      </c>
      <c r="BX194" t="s">
        <v>408</v>
      </c>
      <c r="BY194" t="s">
        <v>407</v>
      </c>
      <c r="BZ194" t="s">
        <v>80</v>
      </c>
      <c r="CA194" t="s">
        <v>407</v>
      </c>
      <c r="CB194" t="s">
        <v>408</v>
      </c>
      <c r="CC194" t="s">
        <v>597</v>
      </c>
      <c r="CD194" t="s">
        <v>346</v>
      </c>
      <c r="CE194" t="s">
        <v>583</v>
      </c>
      <c r="CF194" t="s">
        <v>596</v>
      </c>
      <c r="CG194" s="32" t="s">
        <v>407</v>
      </c>
      <c r="CH194" t="s">
        <v>411</v>
      </c>
      <c r="CI194" t="s">
        <v>407</v>
      </c>
      <c r="CJ194" t="s">
        <v>408</v>
      </c>
      <c r="CK194" s="32" t="s">
        <v>407</v>
      </c>
      <c r="CL194" t="s">
        <v>29</v>
      </c>
      <c r="CM194" t="s">
        <v>407</v>
      </c>
      <c r="CN194" t="s">
        <v>408</v>
      </c>
      <c r="CO194" t="s">
        <v>597</v>
      </c>
      <c r="CP194" t="s">
        <v>346</v>
      </c>
      <c r="CQ194" t="s">
        <v>583</v>
      </c>
      <c r="CR194" t="s">
        <v>596</v>
      </c>
      <c r="CS194" s="32" t="s">
        <v>407</v>
      </c>
      <c r="CT194" t="s">
        <v>475</v>
      </c>
      <c r="CU194" t="s">
        <v>407</v>
      </c>
      <c r="CV194" t="s">
        <v>408</v>
      </c>
      <c r="CW194" s="32" t="s">
        <v>407</v>
      </c>
      <c r="CX194" t="s">
        <v>83</v>
      </c>
      <c r="CY194" t="s">
        <v>407</v>
      </c>
      <c r="CZ194" t="s">
        <v>408</v>
      </c>
      <c r="DA194" t="s">
        <v>407</v>
      </c>
      <c r="DB194" t="s">
        <v>598</v>
      </c>
      <c r="DC194" t="s">
        <v>407</v>
      </c>
      <c r="DD194" t="s">
        <v>599</v>
      </c>
      <c r="DE194" t="str">
        <f t="shared" si="5"/>
        <v>%IF(K66%"Poplar","PAINT",IF(K66%"Red Oak","SGO",IF(K66%"Maple","SM","SPPN")))</v>
      </c>
      <c r="DO194" t="s">
        <v>519</v>
      </c>
    </row>
    <row r="195" spans="6:119" x14ac:dyDescent="0.25">
      <c r="F195" t="s">
        <v>206</v>
      </c>
      <c r="H195" t="s">
        <v>266</v>
      </c>
      <c r="M195" t="s">
        <v>328</v>
      </c>
      <c r="O195" t="s">
        <v>341</v>
      </c>
      <c r="T195" t="s">
        <v>344</v>
      </c>
      <c r="U195" t="s">
        <v>345</v>
      </c>
      <c r="V195" t="s">
        <v>346</v>
      </c>
      <c r="W195" t="s">
        <v>394</v>
      </c>
      <c r="X195" t="s">
        <v>344</v>
      </c>
      <c r="Y195" t="s">
        <v>407</v>
      </c>
      <c r="Z195" t="s">
        <v>27</v>
      </c>
      <c r="AA195" t="s">
        <v>407</v>
      </c>
      <c r="AB195" t="s">
        <v>408</v>
      </c>
      <c r="AC195" t="s">
        <v>407</v>
      </c>
      <c r="AD195" t="s">
        <v>27</v>
      </c>
      <c r="AE195" t="s">
        <v>407</v>
      </c>
      <c r="AF195" t="s">
        <v>408</v>
      </c>
      <c r="AG195" t="s">
        <v>345</v>
      </c>
      <c r="AH195" t="s">
        <v>346</v>
      </c>
      <c r="AI195" t="s">
        <v>394</v>
      </c>
      <c r="AJ195" t="s">
        <v>344</v>
      </c>
      <c r="AK195" t="s">
        <v>407</v>
      </c>
      <c r="AL195" t="s">
        <v>279</v>
      </c>
      <c r="AM195" t="s">
        <v>407</v>
      </c>
      <c r="AN195" t="s">
        <v>408</v>
      </c>
      <c r="AO195" t="s">
        <v>407</v>
      </c>
      <c r="AP195" t="s">
        <v>53</v>
      </c>
      <c r="AQ195" t="s">
        <v>407</v>
      </c>
      <c r="AR195" t="s">
        <v>408</v>
      </c>
      <c r="AS195" t="s">
        <v>407</v>
      </c>
      <c r="AT195" t="s">
        <v>407</v>
      </c>
      <c r="AU195" t="s">
        <v>409</v>
      </c>
      <c r="AV195" t="s">
        <v>409</v>
      </c>
      <c r="AW195" t="str">
        <f t="shared" si="4"/>
        <v>#if(J66#"JE","JE",if(J66#"Drilled","JC",""))</v>
      </c>
      <c r="BC195" t="s">
        <v>460</v>
      </c>
      <c r="BJ195" t="s">
        <v>523</v>
      </c>
      <c r="BQ195" t="s">
        <v>600</v>
      </c>
      <c r="BR195" t="s">
        <v>346</v>
      </c>
      <c r="BS195" t="s">
        <v>583</v>
      </c>
      <c r="BT195" t="s">
        <v>596</v>
      </c>
      <c r="BU195" t="s">
        <v>407</v>
      </c>
      <c r="BV195" t="s">
        <v>157</v>
      </c>
      <c r="BW195" t="s">
        <v>407</v>
      </c>
      <c r="BX195" t="s">
        <v>408</v>
      </c>
      <c r="BY195" t="s">
        <v>407</v>
      </c>
      <c r="BZ195" t="s">
        <v>80</v>
      </c>
      <c r="CA195" t="s">
        <v>407</v>
      </c>
      <c r="CB195" t="s">
        <v>408</v>
      </c>
      <c r="CC195" t="s">
        <v>597</v>
      </c>
      <c r="CD195" t="s">
        <v>346</v>
      </c>
      <c r="CE195" t="s">
        <v>583</v>
      </c>
      <c r="CF195" t="s">
        <v>596</v>
      </c>
      <c r="CG195" s="32" t="s">
        <v>407</v>
      </c>
      <c r="CH195" t="s">
        <v>411</v>
      </c>
      <c r="CI195" t="s">
        <v>407</v>
      </c>
      <c r="CJ195" t="s">
        <v>408</v>
      </c>
      <c r="CK195" s="32" t="s">
        <v>407</v>
      </c>
      <c r="CL195" t="s">
        <v>29</v>
      </c>
      <c r="CM195" t="s">
        <v>407</v>
      </c>
      <c r="CN195" t="s">
        <v>408</v>
      </c>
      <c r="CO195" t="s">
        <v>597</v>
      </c>
      <c r="CP195" t="s">
        <v>346</v>
      </c>
      <c r="CQ195" t="s">
        <v>583</v>
      </c>
      <c r="CR195" t="s">
        <v>596</v>
      </c>
      <c r="CS195" s="32" t="s">
        <v>407</v>
      </c>
      <c r="CT195" t="s">
        <v>475</v>
      </c>
      <c r="CU195" t="s">
        <v>407</v>
      </c>
      <c r="CV195" t="s">
        <v>408</v>
      </c>
      <c r="CW195" s="32" t="s">
        <v>407</v>
      </c>
      <c r="CX195" t="s">
        <v>83</v>
      </c>
      <c r="CY195" t="s">
        <v>407</v>
      </c>
      <c r="CZ195" t="s">
        <v>408</v>
      </c>
      <c r="DA195" t="s">
        <v>407</v>
      </c>
      <c r="DB195" t="s">
        <v>598</v>
      </c>
      <c r="DC195" t="s">
        <v>407</v>
      </c>
      <c r="DD195" t="s">
        <v>599</v>
      </c>
      <c r="DE195" t="str">
        <f t="shared" si="5"/>
        <v>%IF(K66%"Poplar","PAINT",IF(K66%"Red Oak","SGO",IF(K66%"Maple","SM","SPPN")))</v>
      </c>
      <c r="DO195" t="s">
        <v>520</v>
      </c>
    </row>
    <row r="196" spans="6:119" x14ac:dyDescent="0.25">
      <c r="F196" t="s">
        <v>206</v>
      </c>
      <c r="H196" t="s">
        <v>266</v>
      </c>
      <c r="M196" t="s">
        <v>328</v>
      </c>
      <c r="O196" t="s">
        <v>341</v>
      </c>
      <c r="T196" t="s">
        <v>344</v>
      </c>
      <c r="U196" t="s">
        <v>345</v>
      </c>
      <c r="V196" t="s">
        <v>346</v>
      </c>
      <c r="W196" t="s">
        <v>394</v>
      </c>
      <c r="X196" t="s">
        <v>344</v>
      </c>
      <c r="Y196" t="s">
        <v>407</v>
      </c>
      <c r="Z196" t="s">
        <v>27</v>
      </c>
      <c r="AA196" t="s">
        <v>407</v>
      </c>
      <c r="AB196" t="s">
        <v>408</v>
      </c>
      <c r="AC196" t="s">
        <v>407</v>
      </c>
      <c r="AD196" t="s">
        <v>27</v>
      </c>
      <c r="AE196" t="s">
        <v>407</v>
      </c>
      <c r="AF196" t="s">
        <v>408</v>
      </c>
      <c r="AG196" t="s">
        <v>345</v>
      </c>
      <c r="AH196" t="s">
        <v>346</v>
      </c>
      <c r="AI196" t="s">
        <v>394</v>
      </c>
      <c r="AJ196" t="s">
        <v>344</v>
      </c>
      <c r="AK196" t="s">
        <v>407</v>
      </c>
      <c r="AL196" t="s">
        <v>279</v>
      </c>
      <c r="AM196" t="s">
        <v>407</v>
      </c>
      <c r="AN196" t="s">
        <v>408</v>
      </c>
      <c r="AO196" t="s">
        <v>407</v>
      </c>
      <c r="AP196" t="s">
        <v>53</v>
      </c>
      <c r="AQ196" t="s">
        <v>407</v>
      </c>
      <c r="AR196" t="s">
        <v>408</v>
      </c>
      <c r="AS196" t="s">
        <v>407</v>
      </c>
      <c r="AT196" t="s">
        <v>407</v>
      </c>
      <c r="AU196" t="s">
        <v>409</v>
      </c>
      <c r="AV196" t="s">
        <v>409</v>
      </c>
      <c r="AW196" t="str">
        <f t="shared" si="4"/>
        <v>#if(J66#"JE","JE",if(J66#"Drilled","JC",""))</v>
      </c>
      <c r="BC196" t="s">
        <v>460</v>
      </c>
      <c r="BJ196" t="s">
        <v>523</v>
      </c>
      <c r="BQ196" t="s">
        <v>600</v>
      </c>
      <c r="BR196" t="s">
        <v>346</v>
      </c>
      <c r="BS196" t="s">
        <v>583</v>
      </c>
      <c r="BT196" t="s">
        <v>596</v>
      </c>
      <c r="BU196" t="s">
        <v>407</v>
      </c>
      <c r="BV196" t="s">
        <v>157</v>
      </c>
      <c r="BW196" t="s">
        <v>407</v>
      </c>
      <c r="BX196" t="s">
        <v>408</v>
      </c>
      <c r="BY196" t="s">
        <v>407</v>
      </c>
      <c r="BZ196" t="s">
        <v>80</v>
      </c>
      <c r="CA196" t="s">
        <v>407</v>
      </c>
      <c r="CB196" t="s">
        <v>408</v>
      </c>
      <c r="CC196" t="s">
        <v>597</v>
      </c>
      <c r="CD196" t="s">
        <v>346</v>
      </c>
      <c r="CE196" t="s">
        <v>583</v>
      </c>
      <c r="CF196" t="s">
        <v>596</v>
      </c>
      <c r="CG196" s="32" t="s">
        <v>407</v>
      </c>
      <c r="CH196" t="s">
        <v>411</v>
      </c>
      <c r="CI196" t="s">
        <v>407</v>
      </c>
      <c r="CJ196" t="s">
        <v>408</v>
      </c>
      <c r="CK196" s="32" t="s">
        <v>407</v>
      </c>
      <c r="CL196" t="s">
        <v>29</v>
      </c>
      <c r="CM196" t="s">
        <v>407</v>
      </c>
      <c r="CN196" t="s">
        <v>408</v>
      </c>
      <c r="CO196" t="s">
        <v>597</v>
      </c>
      <c r="CP196" t="s">
        <v>346</v>
      </c>
      <c r="CQ196" t="s">
        <v>583</v>
      </c>
      <c r="CR196" t="s">
        <v>596</v>
      </c>
      <c r="CS196" s="32" t="s">
        <v>407</v>
      </c>
      <c r="CT196" t="s">
        <v>475</v>
      </c>
      <c r="CU196" t="s">
        <v>407</v>
      </c>
      <c r="CV196" t="s">
        <v>408</v>
      </c>
      <c r="CW196" s="32" t="s">
        <v>407</v>
      </c>
      <c r="CX196" t="s">
        <v>83</v>
      </c>
      <c r="CY196" t="s">
        <v>407</v>
      </c>
      <c r="CZ196" t="s">
        <v>408</v>
      </c>
      <c r="DA196" t="s">
        <v>407</v>
      </c>
      <c r="DB196" t="s">
        <v>598</v>
      </c>
      <c r="DC196" t="s">
        <v>407</v>
      </c>
      <c r="DD196" t="s">
        <v>599</v>
      </c>
      <c r="DE196" t="str">
        <f t="shared" si="5"/>
        <v>%IF(K66%"Poplar","PAINT",IF(K66%"Red Oak","SGO",IF(K66%"Maple","SM","SPPN")))</v>
      </c>
      <c r="DO196" t="s">
        <v>520</v>
      </c>
    </row>
    <row r="197" spans="6:119" x14ac:dyDescent="0.25">
      <c r="F197" t="s">
        <v>207</v>
      </c>
      <c r="H197" t="s">
        <v>267</v>
      </c>
      <c r="M197" t="s">
        <v>329</v>
      </c>
      <c r="O197" t="s">
        <v>341</v>
      </c>
      <c r="T197" t="s">
        <v>344</v>
      </c>
      <c r="U197" t="s">
        <v>345</v>
      </c>
      <c r="V197" t="s">
        <v>346</v>
      </c>
      <c r="W197" t="s">
        <v>395</v>
      </c>
      <c r="X197" t="s">
        <v>344</v>
      </c>
      <c r="Y197" t="s">
        <v>407</v>
      </c>
      <c r="Z197" t="s">
        <v>27</v>
      </c>
      <c r="AA197" t="s">
        <v>407</v>
      </c>
      <c r="AB197" t="s">
        <v>408</v>
      </c>
      <c r="AC197" t="s">
        <v>407</v>
      </c>
      <c r="AD197" t="s">
        <v>27</v>
      </c>
      <c r="AE197" t="s">
        <v>407</v>
      </c>
      <c r="AF197" t="s">
        <v>408</v>
      </c>
      <c r="AG197" t="s">
        <v>345</v>
      </c>
      <c r="AH197" t="s">
        <v>346</v>
      </c>
      <c r="AI197" t="s">
        <v>395</v>
      </c>
      <c r="AJ197" t="s">
        <v>344</v>
      </c>
      <c r="AK197" t="s">
        <v>407</v>
      </c>
      <c r="AL197" t="s">
        <v>279</v>
      </c>
      <c r="AM197" t="s">
        <v>407</v>
      </c>
      <c r="AN197" t="s">
        <v>408</v>
      </c>
      <c r="AO197" t="s">
        <v>407</v>
      </c>
      <c r="AP197" t="s">
        <v>53</v>
      </c>
      <c r="AQ197" t="s">
        <v>407</v>
      </c>
      <c r="AR197" t="s">
        <v>408</v>
      </c>
      <c r="AS197" t="s">
        <v>407</v>
      </c>
      <c r="AT197" t="s">
        <v>407</v>
      </c>
      <c r="AU197" t="s">
        <v>409</v>
      </c>
      <c r="AV197" t="s">
        <v>409</v>
      </c>
      <c r="AW197" t="str">
        <f t="shared" si="4"/>
        <v>#if(J67#"JE","JE",if(J67#"Drilled","JC",""))</v>
      </c>
      <c r="BC197" t="s">
        <v>461</v>
      </c>
      <c r="BJ197" t="s">
        <v>524</v>
      </c>
      <c r="BQ197" t="s">
        <v>600</v>
      </c>
      <c r="BR197" t="s">
        <v>346</v>
      </c>
      <c r="BS197" t="s">
        <v>584</v>
      </c>
      <c r="BT197" t="s">
        <v>596</v>
      </c>
      <c r="BU197" t="s">
        <v>407</v>
      </c>
      <c r="BV197" t="s">
        <v>157</v>
      </c>
      <c r="BW197" t="s">
        <v>407</v>
      </c>
      <c r="BX197" t="s">
        <v>408</v>
      </c>
      <c r="BY197" t="s">
        <v>407</v>
      </c>
      <c r="BZ197" t="s">
        <v>80</v>
      </c>
      <c r="CA197" t="s">
        <v>407</v>
      </c>
      <c r="CB197" t="s">
        <v>408</v>
      </c>
      <c r="CC197" t="s">
        <v>597</v>
      </c>
      <c r="CD197" t="s">
        <v>346</v>
      </c>
      <c r="CE197" t="s">
        <v>584</v>
      </c>
      <c r="CF197" t="s">
        <v>596</v>
      </c>
      <c r="CG197" s="32" t="s">
        <v>407</v>
      </c>
      <c r="CH197" t="s">
        <v>411</v>
      </c>
      <c r="CI197" t="s">
        <v>407</v>
      </c>
      <c r="CJ197" t="s">
        <v>408</v>
      </c>
      <c r="CK197" s="32" t="s">
        <v>407</v>
      </c>
      <c r="CL197" t="s">
        <v>29</v>
      </c>
      <c r="CM197" t="s">
        <v>407</v>
      </c>
      <c r="CN197" t="s">
        <v>408</v>
      </c>
      <c r="CO197" t="s">
        <v>597</v>
      </c>
      <c r="CP197" t="s">
        <v>346</v>
      </c>
      <c r="CQ197" t="s">
        <v>584</v>
      </c>
      <c r="CR197" t="s">
        <v>596</v>
      </c>
      <c r="CS197" s="32" t="s">
        <v>407</v>
      </c>
      <c r="CT197" t="s">
        <v>475</v>
      </c>
      <c r="CU197" t="s">
        <v>407</v>
      </c>
      <c r="CV197" t="s">
        <v>408</v>
      </c>
      <c r="CW197" s="32" t="s">
        <v>407</v>
      </c>
      <c r="CX197" t="s">
        <v>83</v>
      </c>
      <c r="CY197" t="s">
        <v>407</v>
      </c>
      <c r="CZ197" t="s">
        <v>408</v>
      </c>
      <c r="DA197" t="s">
        <v>407</v>
      </c>
      <c r="DB197" t="s">
        <v>598</v>
      </c>
      <c r="DC197" t="s">
        <v>407</v>
      </c>
      <c r="DD197" t="s">
        <v>599</v>
      </c>
      <c r="DE197" t="str">
        <f t="shared" si="5"/>
        <v>%IF(K67%"Poplar","PAINT",IF(K67%"Red Oak","SGO",IF(K67%"Maple","SM","SPPN")))</v>
      </c>
      <c r="DO197" t="s">
        <v>520</v>
      </c>
    </row>
    <row r="198" spans="6:119" x14ac:dyDescent="0.25">
      <c r="F198" t="s">
        <v>207</v>
      </c>
      <c r="H198" t="s">
        <v>267</v>
      </c>
      <c r="M198" t="s">
        <v>329</v>
      </c>
      <c r="O198" t="s">
        <v>341</v>
      </c>
      <c r="T198" t="s">
        <v>344</v>
      </c>
      <c r="U198" t="s">
        <v>345</v>
      </c>
      <c r="V198" t="s">
        <v>346</v>
      </c>
      <c r="W198" t="s">
        <v>395</v>
      </c>
      <c r="X198" t="s">
        <v>344</v>
      </c>
      <c r="Y198" t="s">
        <v>407</v>
      </c>
      <c r="Z198" t="s">
        <v>27</v>
      </c>
      <c r="AA198" t="s">
        <v>407</v>
      </c>
      <c r="AB198" t="s">
        <v>408</v>
      </c>
      <c r="AC198" t="s">
        <v>407</v>
      </c>
      <c r="AD198" t="s">
        <v>27</v>
      </c>
      <c r="AE198" t="s">
        <v>407</v>
      </c>
      <c r="AF198" t="s">
        <v>408</v>
      </c>
      <c r="AG198" t="s">
        <v>345</v>
      </c>
      <c r="AH198" t="s">
        <v>346</v>
      </c>
      <c r="AI198" t="s">
        <v>395</v>
      </c>
      <c r="AJ198" t="s">
        <v>344</v>
      </c>
      <c r="AK198" t="s">
        <v>407</v>
      </c>
      <c r="AL198" t="s">
        <v>279</v>
      </c>
      <c r="AM198" t="s">
        <v>407</v>
      </c>
      <c r="AN198" t="s">
        <v>408</v>
      </c>
      <c r="AO198" t="s">
        <v>407</v>
      </c>
      <c r="AP198" t="s">
        <v>53</v>
      </c>
      <c r="AQ198" t="s">
        <v>407</v>
      </c>
      <c r="AR198" t="s">
        <v>408</v>
      </c>
      <c r="AS198" t="s">
        <v>407</v>
      </c>
      <c r="AT198" t="s">
        <v>407</v>
      </c>
      <c r="AU198" t="s">
        <v>409</v>
      </c>
      <c r="AV198" t="s">
        <v>409</v>
      </c>
      <c r="AW198" t="str">
        <f t="shared" ref="AW198:AW244" si="6">T198&amp;U198&amp;V198&amp;W198&amp;X198&amp;Y198&amp;Z198&amp;AA198&amp;AB198&amp;AC198&amp;AD198&amp;AE198&amp;AF198&amp;AG198&amp;AH198&amp;AI198&amp;AJ198&amp;AK198&amp;AL198&amp;AM198&amp;AN198&amp;AO198&amp;AP198&amp;AQ198&amp;AR198&amp;AS198&amp;AT198&amp;AU198&amp;AV198</f>
        <v>#if(J67#"JE","JE",if(J67#"Drilled","JC",""))</v>
      </c>
      <c r="BC198" t="s">
        <v>461</v>
      </c>
      <c r="BJ198" t="s">
        <v>524</v>
      </c>
      <c r="BQ198" t="s">
        <v>600</v>
      </c>
      <c r="BR198" t="s">
        <v>346</v>
      </c>
      <c r="BS198" t="s">
        <v>584</v>
      </c>
      <c r="BT198" t="s">
        <v>596</v>
      </c>
      <c r="BU198" t="s">
        <v>407</v>
      </c>
      <c r="BV198" t="s">
        <v>157</v>
      </c>
      <c r="BW198" t="s">
        <v>407</v>
      </c>
      <c r="BX198" t="s">
        <v>408</v>
      </c>
      <c r="BY198" t="s">
        <v>407</v>
      </c>
      <c r="BZ198" t="s">
        <v>80</v>
      </c>
      <c r="CA198" t="s">
        <v>407</v>
      </c>
      <c r="CB198" t="s">
        <v>408</v>
      </c>
      <c r="CC198" t="s">
        <v>597</v>
      </c>
      <c r="CD198" t="s">
        <v>346</v>
      </c>
      <c r="CE198" t="s">
        <v>584</v>
      </c>
      <c r="CF198" t="s">
        <v>596</v>
      </c>
      <c r="CG198" s="32" t="s">
        <v>407</v>
      </c>
      <c r="CH198" t="s">
        <v>411</v>
      </c>
      <c r="CI198" t="s">
        <v>407</v>
      </c>
      <c r="CJ198" t="s">
        <v>408</v>
      </c>
      <c r="CK198" s="32" t="s">
        <v>407</v>
      </c>
      <c r="CL198" t="s">
        <v>29</v>
      </c>
      <c r="CM198" t="s">
        <v>407</v>
      </c>
      <c r="CN198" t="s">
        <v>408</v>
      </c>
      <c r="CO198" t="s">
        <v>597</v>
      </c>
      <c r="CP198" t="s">
        <v>346</v>
      </c>
      <c r="CQ198" t="s">
        <v>584</v>
      </c>
      <c r="CR198" t="s">
        <v>596</v>
      </c>
      <c r="CS198" s="32" t="s">
        <v>407</v>
      </c>
      <c r="CT198" t="s">
        <v>475</v>
      </c>
      <c r="CU198" t="s">
        <v>407</v>
      </c>
      <c r="CV198" t="s">
        <v>408</v>
      </c>
      <c r="CW198" s="32" t="s">
        <v>407</v>
      </c>
      <c r="CX198" t="s">
        <v>83</v>
      </c>
      <c r="CY198" t="s">
        <v>407</v>
      </c>
      <c r="CZ198" t="s">
        <v>408</v>
      </c>
      <c r="DA198" t="s">
        <v>407</v>
      </c>
      <c r="DB198" t="s">
        <v>598</v>
      </c>
      <c r="DC198" t="s">
        <v>407</v>
      </c>
      <c r="DD198" t="s">
        <v>599</v>
      </c>
      <c r="DE198" t="str">
        <f t="shared" ref="DE198:DE244" si="7">BQ198&amp;BR198&amp;BS198&amp;BT198&amp;BU198&amp;BV198&amp;BW198&amp;BX198&amp;BY198&amp;BZ198&amp;CA198&amp;CB198&amp;CC198&amp;CD198&amp;CE198&amp;CF198&amp;CG198&amp;CH198&amp;CI198&amp;CJ198&amp;CK198&amp;CL198&amp;CM198&amp;CN198&amp;CO198&amp;CP198&amp;CQ198&amp;CR198&amp;CS198&amp;CT198&amp;CU198&amp;CV198&amp;CW198&amp;CX198&amp;CY198&amp;CZ198&amp;DA198&amp;DB198&amp;DC198&amp;DD198</f>
        <v>%IF(K67%"Poplar","PAINT",IF(K67%"Red Oak","SGO",IF(K67%"Maple","SM","SPPN")))</v>
      </c>
      <c r="DO198" t="s">
        <v>520</v>
      </c>
    </row>
    <row r="199" spans="6:119" x14ac:dyDescent="0.25">
      <c r="F199" t="s">
        <v>207</v>
      </c>
      <c r="H199" t="s">
        <v>267</v>
      </c>
      <c r="M199" t="s">
        <v>329</v>
      </c>
      <c r="O199" t="s">
        <v>341</v>
      </c>
      <c r="T199" t="s">
        <v>344</v>
      </c>
      <c r="U199" t="s">
        <v>345</v>
      </c>
      <c r="V199" t="s">
        <v>346</v>
      </c>
      <c r="W199" t="s">
        <v>395</v>
      </c>
      <c r="X199" t="s">
        <v>344</v>
      </c>
      <c r="Y199" t="s">
        <v>407</v>
      </c>
      <c r="Z199" t="s">
        <v>27</v>
      </c>
      <c r="AA199" t="s">
        <v>407</v>
      </c>
      <c r="AB199" t="s">
        <v>408</v>
      </c>
      <c r="AC199" t="s">
        <v>407</v>
      </c>
      <c r="AD199" t="s">
        <v>27</v>
      </c>
      <c r="AE199" t="s">
        <v>407</v>
      </c>
      <c r="AF199" t="s">
        <v>408</v>
      </c>
      <c r="AG199" t="s">
        <v>345</v>
      </c>
      <c r="AH199" t="s">
        <v>346</v>
      </c>
      <c r="AI199" t="s">
        <v>395</v>
      </c>
      <c r="AJ199" t="s">
        <v>344</v>
      </c>
      <c r="AK199" t="s">
        <v>407</v>
      </c>
      <c r="AL199" t="s">
        <v>279</v>
      </c>
      <c r="AM199" t="s">
        <v>407</v>
      </c>
      <c r="AN199" t="s">
        <v>408</v>
      </c>
      <c r="AO199" t="s">
        <v>407</v>
      </c>
      <c r="AP199" t="s">
        <v>53</v>
      </c>
      <c r="AQ199" t="s">
        <v>407</v>
      </c>
      <c r="AR199" t="s">
        <v>408</v>
      </c>
      <c r="AS199" t="s">
        <v>407</v>
      </c>
      <c r="AT199" t="s">
        <v>407</v>
      </c>
      <c r="AU199" t="s">
        <v>409</v>
      </c>
      <c r="AV199" t="s">
        <v>409</v>
      </c>
      <c r="AW199" t="str">
        <f t="shared" si="6"/>
        <v>#if(J67#"JE","JE",if(J67#"Drilled","JC",""))</v>
      </c>
      <c r="BC199" t="s">
        <v>461</v>
      </c>
      <c r="BJ199" t="s">
        <v>524</v>
      </c>
      <c r="BQ199" t="s">
        <v>600</v>
      </c>
      <c r="BR199" t="s">
        <v>346</v>
      </c>
      <c r="BS199" t="s">
        <v>584</v>
      </c>
      <c r="BT199" t="s">
        <v>596</v>
      </c>
      <c r="BU199" t="s">
        <v>407</v>
      </c>
      <c r="BV199" t="s">
        <v>157</v>
      </c>
      <c r="BW199" t="s">
        <v>407</v>
      </c>
      <c r="BX199" t="s">
        <v>408</v>
      </c>
      <c r="BY199" t="s">
        <v>407</v>
      </c>
      <c r="BZ199" t="s">
        <v>80</v>
      </c>
      <c r="CA199" t="s">
        <v>407</v>
      </c>
      <c r="CB199" t="s">
        <v>408</v>
      </c>
      <c r="CC199" t="s">
        <v>597</v>
      </c>
      <c r="CD199" t="s">
        <v>346</v>
      </c>
      <c r="CE199" t="s">
        <v>584</v>
      </c>
      <c r="CF199" t="s">
        <v>596</v>
      </c>
      <c r="CG199" s="32" t="s">
        <v>407</v>
      </c>
      <c r="CH199" t="s">
        <v>411</v>
      </c>
      <c r="CI199" t="s">
        <v>407</v>
      </c>
      <c r="CJ199" t="s">
        <v>408</v>
      </c>
      <c r="CK199" s="32" t="s">
        <v>407</v>
      </c>
      <c r="CL199" t="s">
        <v>29</v>
      </c>
      <c r="CM199" t="s">
        <v>407</v>
      </c>
      <c r="CN199" t="s">
        <v>408</v>
      </c>
      <c r="CO199" t="s">
        <v>597</v>
      </c>
      <c r="CP199" t="s">
        <v>346</v>
      </c>
      <c r="CQ199" t="s">
        <v>584</v>
      </c>
      <c r="CR199" t="s">
        <v>596</v>
      </c>
      <c r="CS199" s="32" t="s">
        <v>407</v>
      </c>
      <c r="CT199" t="s">
        <v>475</v>
      </c>
      <c r="CU199" t="s">
        <v>407</v>
      </c>
      <c r="CV199" t="s">
        <v>408</v>
      </c>
      <c r="CW199" s="32" t="s">
        <v>407</v>
      </c>
      <c r="CX199" t="s">
        <v>83</v>
      </c>
      <c r="CY199" t="s">
        <v>407</v>
      </c>
      <c r="CZ199" t="s">
        <v>408</v>
      </c>
      <c r="DA199" t="s">
        <v>407</v>
      </c>
      <c r="DB199" t="s">
        <v>598</v>
      </c>
      <c r="DC199" t="s">
        <v>407</v>
      </c>
      <c r="DD199" t="s">
        <v>599</v>
      </c>
      <c r="DE199" t="str">
        <f t="shared" si="7"/>
        <v>%IF(K67%"Poplar","PAINT",IF(K67%"Red Oak","SGO",IF(K67%"Maple","SM","SPPN")))</v>
      </c>
      <c r="DO199" t="s">
        <v>521</v>
      </c>
    </row>
    <row r="200" spans="6:119" x14ac:dyDescent="0.25">
      <c r="F200" t="s">
        <v>207</v>
      </c>
      <c r="H200" t="s">
        <v>267</v>
      </c>
      <c r="M200" t="s">
        <v>329</v>
      </c>
      <c r="O200" t="s">
        <v>341</v>
      </c>
      <c r="T200" t="s">
        <v>344</v>
      </c>
      <c r="U200" t="s">
        <v>345</v>
      </c>
      <c r="V200" t="s">
        <v>346</v>
      </c>
      <c r="W200" t="s">
        <v>395</v>
      </c>
      <c r="X200" t="s">
        <v>344</v>
      </c>
      <c r="Y200" t="s">
        <v>407</v>
      </c>
      <c r="Z200" t="s">
        <v>27</v>
      </c>
      <c r="AA200" t="s">
        <v>407</v>
      </c>
      <c r="AB200" t="s">
        <v>408</v>
      </c>
      <c r="AC200" t="s">
        <v>407</v>
      </c>
      <c r="AD200" t="s">
        <v>27</v>
      </c>
      <c r="AE200" t="s">
        <v>407</v>
      </c>
      <c r="AF200" t="s">
        <v>408</v>
      </c>
      <c r="AG200" t="s">
        <v>345</v>
      </c>
      <c r="AH200" t="s">
        <v>346</v>
      </c>
      <c r="AI200" t="s">
        <v>395</v>
      </c>
      <c r="AJ200" t="s">
        <v>344</v>
      </c>
      <c r="AK200" t="s">
        <v>407</v>
      </c>
      <c r="AL200" t="s">
        <v>279</v>
      </c>
      <c r="AM200" t="s">
        <v>407</v>
      </c>
      <c r="AN200" t="s">
        <v>408</v>
      </c>
      <c r="AO200" t="s">
        <v>407</v>
      </c>
      <c r="AP200" t="s">
        <v>53</v>
      </c>
      <c r="AQ200" t="s">
        <v>407</v>
      </c>
      <c r="AR200" t="s">
        <v>408</v>
      </c>
      <c r="AS200" t="s">
        <v>407</v>
      </c>
      <c r="AT200" t="s">
        <v>407</v>
      </c>
      <c r="AU200" t="s">
        <v>409</v>
      </c>
      <c r="AV200" t="s">
        <v>409</v>
      </c>
      <c r="AW200" t="str">
        <f t="shared" si="6"/>
        <v>#if(J67#"JE","JE",if(J67#"Drilled","JC",""))</v>
      </c>
      <c r="BC200" t="s">
        <v>461</v>
      </c>
      <c r="BJ200" t="s">
        <v>524</v>
      </c>
      <c r="BQ200" t="s">
        <v>600</v>
      </c>
      <c r="BR200" t="s">
        <v>346</v>
      </c>
      <c r="BS200" t="s">
        <v>584</v>
      </c>
      <c r="BT200" t="s">
        <v>596</v>
      </c>
      <c r="BU200" t="s">
        <v>407</v>
      </c>
      <c r="BV200" t="s">
        <v>157</v>
      </c>
      <c r="BW200" t="s">
        <v>407</v>
      </c>
      <c r="BX200" t="s">
        <v>408</v>
      </c>
      <c r="BY200" t="s">
        <v>407</v>
      </c>
      <c r="BZ200" t="s">
        <v>80</v>
      </c>
      <c r="CA200" t="s">
        <v>407</v>
      </c>
      <c r="CB200" t="s">
        <v>408</v>
      </c>
      <c r="CC200" t="s">
        <v>597</v>
      </c>
      <c r="CD200" t="s">
        <v>346</v>
      </c>
      <c r="CE200" t="s">
        <v>584</v>
      </c>
      <c r="CF200" t="s">
        <v>596</v>
      </c>
      <c r="CG200" s="32" t="s">
        <v>407</v>
      </c>
      <c r="CH200" t="s">
        <v>411</v>
      </c>
      <c r="CI200" t="s">
        <v>407</v>
      </c>
      <c r="CJ200" t="s">
        <v>408</v>
      </c>
      <c r="CK200" s="32" t="s">
        <v>407</v>
      </c>
      <c r="CL200" t="s">
        <v>29</v>
      </c>
      <c r="CM200" t="s">
        <v>407</v>
      </c>
      <c r="CN200" t="s">
        <v>408</v>
      </c>
      <c r="CO200" t="s">
        <v>597</v>
      </c>
      <c r="CP200" t="s">
        <v>346</v>
      </c>
      <c r="CQ200" t="s">
        <v>584</v>
      </c>
      <c r="CR200" t="s">
        <v>596</v>
      </c>
      <c r="CS200" s="32" t="s">
        <v>407</v>
      </c>
      <c r="CT200" t="s">
        <v>475</v>
      </c>
      <c r="CU200" t="s">
        <v>407</v>
      </c>
      <c r="CV200" t="s">
        <v>408</v>
      </c>
      <c r="CW200" s="32" t="s">
        <v>407</v>
      </c>
      <c r="CX200" t="s">
        <v>83</v>
      </c>
      <c r="CY200" t="s">
        <v>407</v>
      </c>
      <c r="CZ200" t="s">
        <v>408</v>
      </c>
      <c r="DA200" t="s">
        <v>407</v>
      </c>
      <c r="DB200" t="s">
        <v>598</v>
      </c>
      <c r="DC200" t="s">
        <v>407</v>
      </c>
      <c r="DD200" t="s">
        <v>599</v>
      </c>
      <c r="DE200" t="str">
        <f t="shared" si="7"/>
        <v>%IF(K67%"Poplar","PAINT",IF(K67%"Red Oak","SGO",IF(K67%"Maple","SM","SPPN")))</v>
      </c>
      <c r="DO200" t="s">
        <v>521</v>
      </c>
    </row>
    <row r="201" spans="6:119" x14ac:dyDescent="0.25">
      <c r="F201" t="s">
        <v>208</v>
      </c>
      <c r="H201" t="s">
        <v>268</v>
      </c>
      <c r="M201" t="s">
        <v>330</v>
      </c>
      <c r="O201" t="s">
        <v>341</v>
      </c>
      <c r="T201" t="s">
        <v>344</v>
      </c>
      <c r="U201" t="s">
        <v>345</v>
      </c>
      <c r="V201" t="s">
        <v>346</v>
      </c>
      <c r="W201" t="s">
        <v>396</v>
      </c>
      <c r="X201" t="s">
        <v>344</v>
      </c>
      <c r="Y201" t="s">
        <v>407</v>
      </c>
      <c r="Z201" t="s">
        <v>27</v>
      </c>
      <c r="AA201" t="s">
        <v>407</v>
      </c>
      <c r="AB201" t="s">
        <v>408</v>
      </c>
      <c r="AC201" t="s">
        <v>407</v>
      </c>
      <c r="AD201" t="s">
        <v>27</v>
      </c>
      <c r="AE201" t="s">
        <v>407</v>
      </c>
      <c r="AF201" t="s">
        <v>408</v>
      </c>
      <c r="AG201" t="s">
        <v>345</v>
      </c>
      <c r="AH201" t="s">
        <v>346</v>
      </c>
      <c r="AI201" t="s">
        <v>396</v>
      </c>
      <c r="AJ201" t="s">
        <v>344</v>
      </c>
      <c r="AK201" t="s">
        <v>407</v>
      </c>
      <c r="AL201" t="s">
        <v>279</v>
      </c>
      <c r="AM201" t="s">
        <v>407</v>
      </c>
      <c r="AN201" t="s">
        <v>408</v>
      </c>
      <c r="AO201" t="s">
        <v>407</v>
      </c>
      <c r="AP201" t="s">
        <v>53</v>
      </c>
      <c r="AQ201" t="s">
        <v>407</v>
      </c>
      <c r="AR201" t="s">
        <v>408</v>
      </c>
      <c r="AS201" t="s">
        <v>407</v>
      </c>
      <c r="AT201" t="s">
        <v>407</v>
      </c>
      <c r="AU201" t="s">
        <v>409</v>
      </c>
      <c r="AV201" t="s">
        <v>409</v>
      </c>
      <c r="AW201" t="str">
        <f t="shared" si="6"/>
        <v>#if(J68#"JE","JE",if(J68#"Drilled","JC",""))</v>
      </c>
      <c r="BC201" t="s">
        <v>462</v>
      </c>
      <c r="BJ201" t="s">
        <v>525</v>
      </c>
      <c r="BQ201" t="s">
        <v>600</v>
      </c>
      <c r="BR201" t="s">
        <v>346</v>
      </c>
      <c r="BS201" t="s">
        <v>585</v>
      </c>
      <c r="BT201" t="s">
        <v>596</v>
      </c>
      <c r="BU201" t="s">
        <v>407</v>
      </c>
      <c r="BV201" t="s">
        <v>157</v>
      </c>
      <c r="BW201" t="s">
        <v>407</v>
      </c>
      <c r="BX201" t="s">
        <v>408</v>
      </c>
      <c r="BY201" t="s">
        <v>407</v>
      </c>
      <c r="BZ201" t="s">
        <v>80</v>
      </c>
      <c r="CA201" t="s">
        <v>407</v>
      </c>
      <c r="CB201" t="s">
        <v>408</v>
      </c>
      <c r="CC201" t="s">
        <v>597</v>
      </c>
      <c r="CD201" t="s">
        <v>346</v>
      </c>
      <c r="CE201" t="s">
        <v>585</v>
      </c>
      <c r="CF201" t="s">
        <v>596</v>
      </c>
      <c r="CG201" s="32" t="s">
        <v>407</v>
      </c>
      <c r="CH201" t="s">
        <v>411</v>
      </c>
      <c r="CI201" t="s">
        <v>407</v>
      </c>
      <c r="CJ201" t="s">
        <v>408</v>
      </c>
      <c r="CK201" s="32" t="s">
        <v>407</v>
      </c>
      <c r="CL201" t="s">
        <v>29</v>
      </c>
      <c r="CM201" t="s">
        <v>407</v>
      </c>
      <c r="CN201" t="s">
        <v>408</v>
      </c>
      <c r="CO201" t="s">
        <v>597</v>
      </c>
      <c r="CP201" t="s">
        <v>346</v>
      </c>
      <c r="CQ201" t="s">
        <v>585</v>
      </c>
      <c r="CR201" t="s">
        <v>596</v>
      </c>
      <c r="CS201" s="32" t="s">
        <v>407</v>
      </c>
      <c r="CT201" t="s">
        <v>475</v>
      </c>
      <c r="CU201" t="s">
        <v>407</v>
      </c>
      <c r="CV201" t="s">
        <v>408</v>
      </c>
      <c r="CW201" s="32" t="s">
        <v>407</v>
      </c>
      <c r="CX201" t="s">
        <v>83</v>
      </c>
      <c r="CY201" t="s">
        <v>407</v>
      </c>
      <c r="CZ201" t="s">
        <v>408</v>
      </c>
      <c r="DA201" t="s">
        <v>407</v>
      </c>
      <c r="DB201" t="s">
        <v>598</v>
      </c>
      <c r="DC201" t="s">
        <v>407</v>
      </c>
      <c r="DD201" t="s">
        <v>599</v>
      </c>
      <c r="DE201" t="str">
        <f t="shared" si="7"/>
        <v>%IF(K68%"Poplar","PAINT",IF(K68%"Red Oak","SGO",IF(K68%"Maple","SM","SPPN")))</v>
      </c>
      <c r="DO201" t="s">
        <v>521</v>
      </c>
    </row>
    <row r="202" spans="6:119" x14ac:dyDescent="0.25">
      <c r="F202" t="s">
        <v>208</v>
      </c>
      <c r="H202" t="s">
        <v>268</v>
      </c>
      <c r="M202" t="s">
        <v>330</v>
      </c>
      <c r="O202" t="s">
        <v>341</v>
      </c>
      <c r="T202" t="s">
        <v>344</v>
      </c>
      <c r="U202" t="s">
        <v>345</v>
      </c>
      <c r="V202" t="s">
        <v>346</v>
      </c>
      <c r="W202" t="s">
        <v>396</v>
      </c>
      <c r="X202" t="s">
        <v>344</v>
      </c>
      <c r="Y202" t="s">
        <v>407</v>
      </c>
      <c r="Z202" t="s">
        <v>27</v>
      </c>
      <c r="AA202" t="s">
        <v>407</v>
      </c>
      <c r="AB202" t="s">
        <v>408</v>
      </c>
      <c r="AC202" t="s">
        <v>407</v>
      </c>
      <c r="AD202" t="s">
        <v>27</v>
      </c>
      <c r="AE202" t="s">
        <v>407</v>
      </c>
      <c r="AF202" t="s">
        <v>408</v>
      </c>
      <c r="AG202" t="s">
        <v>345</v>
      </c>
      <c r="AH202" t="s">
        <v>346</v>
      </c>
      <c r="AI202" t="s">
        <v>396</v>
      </c>
      <c r="AJ202" t="s">
        <v>344</v>
      </c>
      <c r="AK202" t="s">
        <v>407</v>
      </c>
      <c r="AL202" t="s">
        <v>279</v>
      </c>
      <c r="AM202" t="s">
        <v>407</v>
      </c>
      <c r="AN202" t="s">
        <v>408</v>
      </c>
      <c r="AO202" t="s">
        <v>407</v>
      </c>
      <c r="AP202" t="s">
        <v>53</v>
      </c>
      <c r="AQ202" t="s">
        <v>407</v>
      </c>
      <c r="AR202" t="s">
        <v>408</v>
      </c>
      <c r="AS202" t="s">
        <v>407</v>
      </c>
      <c r="AT202" t="s">
        <v>407</v>
      </c>
      <c r="AU202" t="s">
        <v>409</v>
      </c>
      <c r="AV202" t="s">
        <v>409</v>
      </c>
      <c r="AW202" t="str">
        <f t="shared" si="6"/>
        <v>#if(J68#"JE","JE",if(J68#"Drilled","JC",""))</v>
      </c>
      <c r="BC202" t="s">
        <v>462</v>
      </c>
      <c r="BJ202" t="s">
        <v>525</v>
      </c>
      <c r="BQ202" t="s">
        <v>600</v>
      </c>
      <c r="BR202" t="s">
        <v>346</v>
      </c>
      <c r="BS202" t="s">
        <v>585</v>
      </c>
      <c r="BT202" t="s">
        <v>596</v>
      </c>
      <c r="BU202" t="s">
        <v>407</v>
      </c>
      <c r="BV202" t="s">
        <v>157</v>
      </c>
      <c r="BW202" t="s">
        <v>407</v>
      </c>
      <c r="BX202" t="s">
        <v>408</v>
      </c>
      <c r="BY202" t="s">
        <v>407</v>
      </c>
      <c r="BZ202" t="s">
        <v>80</v>
      </c>
      <c r="CA202" t="s">
        <v>407</v>
      </c>
      <c r="CB202" t="s">
        <v>408</v>
      </c>
      <c r="CC202" t="s">
        <v>597</v>
      </c>
      <c r="CD202" t="s">
        <v>346</v>
      </c>
      <c r="CE202" t="s">
        <v>585</v>
      </c>
      <c r="CF202" t="s">
        <v>596</v>
      </c>
      <c r="CG202" s="32" t="s">
        <v>407</v>
      </c>
      <c r="CH202" t="s">
        <v>411</v>
      </c>
      <c r="CI202" t="s">
        <v>407</v>
      </c>
      <c r="CJ202" t="s">
        <v>408</v>
      </c>
      <c r="CK202" s="32" t="s">
        <v>407</v>
      </c>
      <c r="CL202" t="s">
        <v>29</v>
      </c>
      <c r="CM202" t="s">
        <v>407</v>
      </c>
      <c r="CN202" t="s">
        <v>408</v>
      </c>
      <c r="CO202" t="s">
        <v>597</v>
      </c>
      <c r="CP202" t="s">
        <v>346</v>
      </c>
      <c r="CQ202" t="s">
        <v>585</v>
      </c>
      <c r="CR202" t="s">
        <v>596</v>
      </c>
      <c r="CS202" s="32" t="s">
        <v>407</v>
      </c>
      <c r="CT202" t="s">
        <v>475</v>
      </c>
      <c r="CU202" t="s">
        <v>407</v>
      </c>
      <c r="CV202" t="s">
        <v>408</v>
      </c>
      <c r="CW202" s="32" t="s">
        <v>407</v>
      </c>
      <c r="CX202" t="s">
        <v>83</v>
      </c>
      <c r="CY202" t="s">
        <v>407</v>
      </c>
      <c r="CZ202" t="s">
        <v>408</v>
      </c>
      <c r="DA202" t="s">
        <v>407</v>
      </c>
      <c r="DB202" t="s">
        <v>598</v>
      </c>
      <c r="DC202" t="s">
        <v>407</v>
      </c>
      <c r="DD202" t="s">
        <v>599</v>
      </c>
      <c r="DE202" t="str">
        <f t="shared" si="7"/>
        <v>%IF(K68%"Poplar","PAINT",IF(K68%"Red Oak","SGO",IF(K68%"Maple","SM","SPPN")))</v>
      </c>
      <c r="DO202" t="s">
        <v>521</v>
      </c>
    </row>
    <row r="203" spans="6:119" x14ac:dyDescent="0.25">
      <c r="F203" t="s">
        <v>208</v>
      </c>
      <c r="H203" t="s">
        <v>268</v>
      </c>
      <c r="M203" t="s">
        <v>330</v>
      </c>
      <c r="O203" t="s">
        <v>341</v>
      </c>
      <c r="T203" t="s">
        <v>344</v>
      </c>
      <c r="U203" t="s">
        <v>345</v>
      </c>
      <c r="V203" t="s">
        <v>346</v>
      </c>
      <c r="W203" t="s">
        <v>396</v>
      </c>
      <c r="X203" t="s">
        <v>344</v>
      </c>
      <c r="Y203" t="s">
        <v>407</v>
      </c>
      <c r="Z203" t="s">
        <v>27</v>
      </c>
      <c r="AA203" t="s">
        <v>407</v>
      </c>
      <c r="AB203" t="s">
        <v>408</v>
      </c>
      <c r="AC203" t="s">
        <v>407</v>
      </c>
      <c r="AD203" t="s">
        <v>27</v>
      </c>
      <c r="AE203" t="s">
        <v>407</v>
      </c>
      <c r="AF203" t="s">
        <v>408</v>
      </c>
      <c r="AG203" t="s">
        <v>345</v>
      </c>
      <c r="AH203" t="s">
        <v>346</v>
      </c>
      <c r="AI203" t="s">
        <v>396</v>
      </c>
      <c r="AJ203" t="s">
        <v>344</v>
      </c>
      <c r="AK203" t="s">
        <v>407</v>
      </c>
      <c r="AL203" t="s">
        <v>279</v>
      </c>
      <c r="AM203" t="s">
        <v>407</v>
      </c>
      <c r="AN203" t="s">
        <v>408</v>
      </c>
      <c r="AO203" t="s">
        <v>407</v>
      </c>
      <c r="AP203" t="s">
        <v>53</v>
      </c>
      <c r="AQ203" t="s">
        <v>407</v>
      </c>
      <c r="AR203" t="s">
        <v>408</v>
      </c>
      <c r="AS203" t="s">
        <v>407</v>
      </c>
      <c r="AT203" t="s">
        <v>407</v>
      </c>
      <c r="AU203" t="s">
        <v>409</v>
      </c>
      <c r="AV203" t="s">
        <v>409</v>
      </c>
      <c r="AW203" t="str">
        <f t="shared" si="6"/>
        <v>#if(J68#"JE","JE",if(J68#"Drilled","JC",""))</v>
      </c>
      <c r="BC203" t="s">
        <v>462</v>
      </c>
      <c r="BJ203" t="s">
        <v>525</v>
      </c>
      <c r="BQ203" t="s">
        <v>600</v>
      </c>
      <c r="BR203" t="s">
        <v>346</v>
      </c>
      <c r="BS203" t="s">
        <v>585</v>
      </c>
      <c r="BT203" t="s">
        <v>596</v>
      </c>
      <c r="BU203" t="s">
        <v>407</v>
      </c>
      <c r="BV203" t="s">
        <v>157</v>
      </c>
      <c r="BW203" t="s">
        <v>407</v>
      </c>
      <c r="BX203" t="s">
        <v>408</v>
      </c>
      <c r="BY203" t="s">
        <v>407</v>
      </c>
      <c r="BZ203" t="s">
        <v>80</v>
      </c>
      <c r="CA203" t="s">
        <v>407</v>
      </c>
      <c r="CB203" t="s">
        <v>408</v>
      </c>
      <c r="CC203" t="s">
        <v>597</v>
      </c>
      <c r="CD203" t="s">
        <v>346</v>
      </c>
      <c r="CE203" t="s">
        <v>585</v>
      </c>
      <c r="CF203" t="s">
        <v>596</v>
      </c>
      <c r="CG203" s="32" t="s">
        <v>407</v>
      </c>
      <c r="CH203" t="s">
        <v>411</v>
      </c>
      <c r="CI203" t="s">
        <v>407</v>
      </c>
      <c r="CJ203" t="s">
        <v>408</v>
      </c>
      <c r="CK203" s="32" t="s">
        <v>407</v>
      </c>
      <c r="CL203" t="s">
        <v>29</v>
      </c>
      <c r="CM203" t="s">
        <v>407</v>
      </c>
      <c r="CN203" t="s">
        <v>408</v>
      </c>
      <c r="CO203" t="s">
        <v>597</v>
      </c>
      <c r="CP203" t="s">
        <v>346</v>
      </c>
      <c r="CQ203" t="s">
        <v>585</v>
      </c>
      <c r="CR203" t="s">
        <v>596</v>
      </c>
      <c r="CS203" s="32" t="s">
        <v>407</v>
      </c>
      <c r="CT203" t="s">
        <v>475</v>
      </c>
      <c r="CU203" t="s">
        <v>407</v>
      </c>
      <c r="CV203" t="s">
        <v>408</v>
      </c>
      <c r="CW203" s="32" t="s">
        <v>407</v>
      </c>
      <c r="CX203" t="s">
        <v>83</v>
      </c>
      <c r="CY203" t="s">
        <v>407</v>
      </c>
      <c r="CZ203" t="s">
        <v>408</v>
      </c>
      <c r="DA203" t="s">
        <v>407</v>
      </c>
      <c r="DB203" t="s">
        <v>598</v>
      </c>
      <c r="DC203" t="s">
        <v>407</v>
      </c>
      <c r="DD203" t="s">
        <v>599</v>
      </c>
      <c r="DE203" t="str">
        <f t="shared" si="7"/>
        <v>%IF(K68%"Poplar","PAINT",IF(K68%"Red Oak","SGO",IF(K68%"Maple","SM","SPPN")))</v>
      </c>
      <c r="DO203" t="s">
        <v>522</v>
      </c>
    </row>
    <row r="204" spans="6:119" x14ac:dyDescent="0.25">
      <c r="F204" t="s">
        <v>208</v>
      </c>
      <c r="H204" t="s">
        <v>268</v>
      </c>
      <c r="M204" t="s">
        <v>330</v>
      </c>
      <c r="O204" t="s">
        <v>341</v>
      </c>
      <c r="T204" t="s">
        <v>344</v>
      </c>
      <c r="U204" t="s">
        <v>345</v>
      </c>
      <c r="V204" t="s">
        <v>346</v>
      </c>
      <c r="W204" t="s">
        <v>396</v>
      </c>
      <c r="X204" t="s">
        <v>344</v>
      </c>
      <c r="Y204" t="s">
        <v>407</v>
      </c>
      <c r="Z204" t="s">
        <v>27</v>
      </c>
      <c r="AA204" t="s">
        <v>407</v>
      </c>
      <c r="AB204" t="s">
        <v>408</v>
      </c>
      <c r="AC204" t="s">
        <v>407</v>
      </c>
      <c r="AD204" t="s">
        <v>27</v>
      </c>
      <c r="AE204" t="s">
        <v>407</v>
      </c>
      <c r="AF204" t="s">
        <v>408</v>
      </c>
      <c r="AG204" t="s">
        <v>345</v>
      </c>
      <c r="AH204" t="s">
        <v>346</v>
      </c>
      <c r="AI204" t="s">
        <v>396</v>
      </c>
      <c r="AJ204" t="s">
        <v>344</v>
      </c>
      <c r="AK204" t="s">
        <v>407</v>
      </c>
      <c r="AL204" t="s">
        <v>279</v>
      </c>
      <c r="AM204" t="s">
        <v>407</v>
      </c>
      <c r="AN204" t="s">
        <v>408</v>
      </c>
      <c r="AO204" t="s">
        <v>407</v>
      </c>
      <c r="AP204" t="s">
        <v>53</v>
      </c>
      <c r="AQ204" t="s">
        <v>407</v>
      </c>
      <c r="AR204" t="s">
        <v>408</v>
      </c>
      <c r="AS204" t="s">
        <v>407</v>
      </c>
      <c r="AT204" t="s">
        <v>407</v>
      </c>
      <c r="AU204" t="s">
        <v>409</v>
      </c>
      <c r="AV204" t="s">
        <v>409</v>
      </c>
      <c r="AW204" t="str">
        <f t="shared" si="6"/>
        <v>#if(J68#"JE","JE",if(J68#"Drilled","JC",""))</v>
      </c>
      <c r="BC204" t="s">
        <v>462</v>
      </c>
      <c r="BJ204" t="s">
        <v>525</v>
      </c>
      <c r="BQ204" t="s">
        <v>600</v>
      </c>
      <c r="BR204" t="s">
        <v>346</v>
      </c>
      <c r="BS204" t="s">
        <v>585</v>
      </c>
      <c r="BT204" t="s">
        <v>596</v>
      </c>
      <c r="BU204" t="s">
        <v>407</v>
      </c>
      <c r="BV204" t="s">
        <v>157</v>
      </c>
      <c r="BW204" t="s">
        <v>407</v>
      </c>
      <c r="BX204" t="s">
        <v>408</v>
      </c>
      <c r="BY204" t="s">
        <v>407</v>
      </c>
      <c r="BZ204" t="s">
        <v>80</v>
      </c>
      <c r="CA204" t="s">
        <v>407</v>
      </c>
      <c r="CB204" t="s">
        <v>408</v>
      </c>
      <c r="CC204" t="s">
        <v>597</v>
      </c>
      <c r="CD204" t="s">
        <v>346</v>
      </c>
      <c r="CE204" t="s">
        <v>585</v>
      </c>
      <c r="CF204" t="s">
        <v>596</v>
      </c>
      <c r="CG204" s="32" t="s">
        <v>407</v>
      </c>
      <c r="CH204" t="s">
        <v>411</v>
      </c>
      <c r="CI204" t="s">
        <v>407</v>
      </c>
      <c r="CJ204" t="s">
        <v>408</v>
      </c>
      <c r="CK204" s="32" t="s">
        <v>407</v>
      </c>
      <c r="CL204" t="s">
        <v>29</v>
      </c>
      <c r="CM204" t="s">
        <v>407</v>
      </c>
      <c r="CN204" t="s">
        <v>408</v>
      </c>
      <c r="CO204" t="s">
        <v>597</v>
      </c>
      <c r="CP204" t="s">
        <v>346</v>
      </c>
      <c r="CQ204" t="s">
        <v>585</v>
      </c>
      <c r="CR204" t="s">
        <v>596</v>
      </c>
      <c r="CS204" s="32" t="s">
        <v>407</v>
      </c>
      <c r="CT204" t="s">
        <v>475</v>
      </c>
      <c r="CU204" t="s">
        <v>407</v>
      </c>
      <c r="CV204" t="s">
        <v>408</v>
      </c>
      <c r="CW204" s="32" t="s">
        <v>407</v>
      </c>
      <c r="CX204" t="s">
        <v>83</v>
      </c>
      <c r="CY204" t="s">
        <v>407</v>
      </c>
      <c r="CZ204" t="s">
        <v>408</v>
      </c>
      <c r="DA204" t="s">
        <v>407</v>
      </c>
      <c r="DB204" t="s">
        <v>598</v>
      </c>
      <c r="DC204" t="s">
        <v>407</v>
      </c>
      <c r="DD204" t="s">
        <v>599</v>
      </c>
      <c r="DE204" t="str">
        <f t="shared" si="7"/>
        <v>%IF(K68%"Poplar","PAINT",IF(K68%"Red Oak","SGO",IF(K68%"Maple","SM","SPPN")))</v>
      </c>
      <c r="DO204" t="s">
        <v>522</v>
      </c>
    </row>
    <row r="205" spans="6:119" x14ac:dyDescent="0.25">
      <c r="F205" t="s">
        <v>209</v>
      </c>
      <c r="H205" t="s">
        <v>269</v>
      </c>
      <c r="M205" t="s">
        <v>331</v>
      </c>
      <c r="O205" t="s">
        <v>341</v>
      </c>
      <c r="T205" t="s">
        <v>344</v>
      </c>
      <c r="U205" t="s">
        <v>345</v>
      </c>
      <c r="V205" t="s">
        <v>346</v>
      </c>
      <c r="W205" t="s">
        <v>397</v>
      </c>
      <c r="X205" t="s">
        <v>344</v>
      </c>
      <c r="Y205" t="s">
        <v>407</v>
      </c>
      <c r="Z205" t="s">
        <v>27</v>
      </c>
      <c r="AA205" t="s">
        <v>407</v>
      </c>
      <c r="AB205" t="s">
        <v>408</v>
      </c>
      <c r="AC205" t="s">
        <v>407</v>
      </c>
      <c r="AD205" t="s">
        <v>27</v>
      </c>
      <c r="AE205" t="s">
        <v>407</v>
      </c>
      <c r="AF205" t="s">
        <v>408</v>
      </c>
      <c r="AG205" t="s">
        <v>345</v>
      </c>
      <c r="AH205" t="s">
        <v>346</v>
      </c>
      <c r="AI205" t="s">
        <v>397</v>
      </c>
      <c r="AJ205" t="s">
        <v>344</v>
      </c>
      <c r="AK205" t="s">
        <v>407</v>
      </c>
      <c r="AL205" t="s">
        <v>279</v>
      </c>
      <c r="AM205" t="s">
        <v>407</v>
      </c>
      <c r="AN205" t="s">
        <v>408</v>
      </c>
      <c r="AO205" t="s">
        <v>407</v>
      </c>
      <c r="AP205" t="s">
        <v>53</v>
      </c>
      <c r="AQ205" t="s">
        <v>407</v>
      </c>
      <c r="AR205" t="s">
        <v>408</v>
      </c>
      <c r="AS205" t="s">
        <v>407</v>
      </c>
      <c r="AT205" t="s">
        <v>407</v>
      </c>
      <c r="AU205" t="s">
        <v>409</v>
      </c>
      <c r="AV205" t="s">
        <v>409</v>
      </c>
      <c r="AW205" t="str">
        <f t="shared" si="6"/>
        <v>#if(J69#"JE","JE",if(J69#"Drilled","JC",""))</v>
      </c>
      <c r="BC205" t="s">
        <v>463</v>
      </c>
      <c r="BJ205" t="s">
        <v>526</v>
      </c>
      <c r="BQ205" t="s">
        <v>600</v>
      </c>
      <c r="BR205" t="s">
        <v>346</v>
      </c>
      <c r="BS205" t="s">
        <v>586</v>
      </c>
      <c r="BT205" t="s">
        <v>596</v>
      </c>
      <c r="BU205" t="s">
        <v>407</v>
      </c>
      <c r="BV205" t="s">
        <v>157</v>
      </c>
      <c r="BW205" t="s">
        <v>407</v>
      </c>
      <c r="BX205" t="s">
        <v>408</v>
      </c>
      <c r="BY205" t="s">
        <v>407</v>
      </c>
      <c r="BZ205" t="s">
        <v>80</v>
      </c>
      <c r="CA205" t="s">
        <v>407</v>
      </c>
      <c r="CB205" t="s">
        <v>408</v>
      </c>
      <c r="CC205" t="s">
        <v>597</v>
      </c>
      <c r="CD205" t="s">
        <v>346</v>
      </c>
      <c r="CE205" t="s">
        <v>586</v>
      </c>
      <c r="CF205" t="s">
        <v>596</v>
      </c>
      <c r="CG205" s="32" t="s">
        <v>407</v>
      </c>
      <c r="CH205" t="s">
        <v>411</v>
      </c>
      <c r="CI205" t="s">
        <v>407</v>
      </c>
      <c r="CJ205" t="s">
        <v>408</v>
      </c>
      <c r="CK205" s="32" t="s">
        <v>407</v>
      </c>
      <c r="CL205" t="s">
        <v>29</v>
      </c>
      <c r="CM205" t="s">
        <v>407</v>
      </c>
      <c r="CN205" t="s">
        <v>408</v>
      </c>
      <c r="CO205" t="s">
        <v>597</v>
      </c>
      <c r="CP205" t="s">
        <v>346</v>
      </c>
      <c r="CQ205" t="s">
        <v>586</v>
      </c>
      <c r="CR205" t="s">
        <v>596</v>
      </c>
      <c r="CS205" s="32" t="s">
        <v>407</v>
      </c>
      <c r="CT205" t="s">
        <v>475</v>
      </c>
      <c r="CU205" t="s">
        <v>407</v>
      </c>
      <c r="CV205" t="s">
        <v>408</v>
      </c>
      <c r="CW205" s="32" t="s">
        <v>407</v>
      </c>
      <c r="CX205" t="s">
        <v>83</v>
      </c>
      <c r="CY205" t="s">
        <v>407</v>
      </c>
      <c r="CZ205" t="s">
        <v>408</v>
      </c>
      <c r="DA205" t="s">
        <v>407</v>
      </c>
      <c r="DB205" t="s">
        <v>598</v>
      </c>
      <c r="DC205" t="s">
        <v>407</v>
      </c>
      <c r="DD205" t="s">
        <v>599</v>
      </c>
      <c r="DE205" t="str">
        <f t="shared" si="7"/>
        <v>%IF(K69%"Poplar","PAINT",IF(K69%"Red Oak","SGO",IF(K69%"Maple","SM","SPPN")))</v>
      </c>
      <c r="DO205" t="s">
        <v>522</v>
      </c>
    </row>
    <row r="206" spans="6:119" x14ac:dyDescent="0.25">
      <c r="F206" t="s">
        <v>209</v>
      </c>
      <c r="H206" t="s">
        <v>269</v>
      </c>
      <c r="M206" t="s">
        <v>331</v>
      </c>
      <c r="O206" t="s">
        <v>341</v>
      </c>
      <c r="T206" t="s">
        <v>344</v>
      </c>
      <c r="U206" t="s">
        <v>345</v>
      </c>
      <c r="V206" t="s">
        <v>346</v>
      </c>
      <c r="W206" t="s">
        <v>397</v>
      </c>
      <c r="X206" t="s">
        <v>344</v>
      </c>
      <c r="Y206" t="s">
        <v>407</v>
      </c>
      <c r="Z206" t="s">
        <v>27</v>
      </c>
      <c r="AA206" t="s">
        <v>407</v>
      </c>
      <c r="AB206" t="s">
        <v>408</v>
      </c>
      <c r="AC206" t="s">
        <v>407</v>
      </c>
      <c r="AD206" t="s">
        <v>27</v>
      </c>
      <c r="AE206" t="s">
        <v>407</v>
      </c>
      <c r="AF206" t="s">
        <v>408</v>
      </c>
      <c r="AG206" t="s">
        <v>345</v>
      </c>
      <c r="AH206" t="s">
        <v>346</v>
      </c>
      <c r="AI206" t="s">
        <v>397</v>
      </c>
      <c r="AJ206" t="s">
        <v>344</v>
      </c>
      <c r="AK206" t="s">
        <v>407</v>
      </c>
      <c r="AL206" t="s">
        <v>279</v>
      </c>
      <c r="AM206" t="s">
        <v>407</v>
      </c>
      <c r="AN206" t="s">
        <v>408</v>
      </c>
      <c r="AO206" t="s">
        <v>407</v>
      </c>
      <c r="AP206" t="s">
        <v>53</v>
      </c>
      <c r="AQ206" t="s">
        <v>407</v>
      </c>
      <c r="AR206" t="s">
        <v>408</v>
      </c>
      <c r="AS206" t="s">
        <v>407</v>
      </c>
      <c r="AT206" t="s">
        <v>407</v>
      </c>
      <c r="AU206" t="s">
        <v>409</v>
      </c>
      <c r="AV206" t="s">
        <v>409</v>
      </c>
      <c r="AW206" t="str">
        <f t="shared" si="6"/>
        <v>#if(J69#"JE","JE",if(J69#"Drilled","JC",""))</v>
      </c>
      <c r="BC206" t="s">
        <v>463</v>
      </c>
      <c r="BJ206" t="s">
        <v>526</v>
      </c>
      <c r="BQ206" t="s">
        <v>600</v>
      </c>
      <c r="BR206" t="s">
        <v>346</v>
      </c>
      <c r="BS206" t="s">
        <v>586</v>
      </c>
      <c r="BT206" t="s">
        <v>596</v>
      </c>
      <c r="BU206" t="s">
        <v>407</v>
      </c>
      <c r="BV206" t="s">
        <v>157</v>
      </c>
      <c r="BW206" t="s">
        <v>407</v>
      </c>
      <c r="BX206" t="s">
        <v>408</v>
      </c>
      <c r="BY206" t="s">
        <v>407</v>
      </c>
      <c r="BZ206" t="s">
        <v>80</v>
      </c>
      <c r="CA206" t="s">
        <v>407</v>
      </c>
      <c r="CB206" t="s">
        <v>408</v>
      </c>
      <c r="CC206" t="s">
        <v>597</v>
      </c>
      <c r="CD206" t="s">
        <v>346</v>
      </c>
      <c r="CE206" t="s">
        <v>586</v>
      </c>
      <c r="CF206" t="s">
        <v>596</v>
      </c>
      <c r="CG206" s="32" t="s">
        <v>407</v>
      </c>
      <c r="CH206" t="s">
        <v>411</v>
      </c>
      <c r="CI206" t="s">
        <v>407</v>
      </c>
      <c r="CJ206" t="s">
        <v>408</v>
      </c>
      <c r="CK206" s="32" t="s">
        <v>407</v>
      </c>
      <c r="CL206" t="s">
        <v>29</v>
      </c>
      <c r="CM206" t="s">
        <v>407</v>
      </c>
      <c r="CN206" t="s">
        <v>408</v>
      </c>
      <c r="CO206" t="s">
        <v>597</v>
      </c>
      <c r="CP206" t="s">
        <v>346</v>
      </c>
      <c r="CQ206" t="s">
        <v>586</v>
      </c>
      <c r="CR206" t="s">
        <v>596</v>
      </c>
      <c r="CS206" s="32" t="s">
        <v>407</v>
      </c>
      <c r="CT206" t="s">
        <v>475</v>
      </c>
      <c r="CU206" t="s">
        <v>407</v>
      </c>
      <c r="CV206" t="s">
        <v>408</v>
      </c>
      <c r="CW206" s="32" t="s">
        <v>407</v>
      </c>
      <c r="CX206" t="s">
        <v>83</v>
      </c>
      <c r="CY206" t="s">
        <v>407</v>
      </c>
      <c r="CZ206" t="s">
        <v>408</v>
      </c>
      <c r="DA206" t="s">
        <v>407</v>
      </c>
      <c r="DB206" t="s">
        <v>598</v>
      </c>
      <c r="DC206" t="s">
        <v>407</v>
      </c>
      <c r="DD206" t="s">
        <v>599</v>
      </c>
      <c r="DE206" t="str">
        <f t="shared" si="7"/>
        <v>%IF(K69%"Poplar","PAINT",IF(K69%"Red Oak","SGO",IF(K69%"Maple","SM","SPPN")))</v>
      </c>
      <c r="DO206" t="s">
        <v>522</v>
      </c>
    </row>
    <row r="207" spans="6:119" x14ac:dyDescent="0.25">
      <c r="F207" t="s">
        <v>209</v>
      </c>
      <c r="H207" t="s">
        <v>269</v>
      </c>
      <c r="M207" t="s">
        <v>331</v>
      </c>
      <c r="O207" t="s">
        <v>341</v>
      </c>
      <c r="T207" t="s">
        <v>344</v>
      </c>
      <c r="U207" t="s">
        <v>345</v>
      </c>
      <c r="V207" t="s">
        <v>346</v>
      </c>
      <c r="W207" t="s">
        <v>397</v>
      </c>
      <c r="X207" t="s">
        <v>344</v>
      </c>
      <c r="Y207" t="s">
        <v>407</v>
      </c>
      <c r="Z207" t="s">
        <v>27</v>
      </c>
      <c r="AA207" t="s">
        <v>407</v>
      </c>
      <c r="AB207" t="s">
        <v>408</v>
      </c>
      <c r="AC207" t="s">
        <v>407</v>
      </c>
      <c r="AD207" t="s">
        <v>27</v>
      </c>
      <c r="AE207" t="s">
        <v>407</v>
      </c>
      <c r="AF207" t="s">
        <v>408</v>
      </c>
      <c r="AG207" t="s">
        <v>345</v>
      </c>
      <c r="AH207" t="s">
        <v>346</v>
      </c>
      <c r="AI207" t="s">
        <v>397</v>
      </c>
      <c r="AJ207" t="s">
        <v>344</v>
      </c>
      <c r="AK207" t="s">
        <v>407</v>
      </c>
      <c r="AL207" t="s">
        <v>279</v>
      </c>
      <c r="AM207" t="s">
        <v>407</v>
      </c>
      <c r="AN207" t="s">
        <v>408</v>
      </c>
      <c r="AO207" t="s">
        <v>407</v>
      </c>
      <c r="AP207" t="s">
        <v>53</v>
      </c>
      <c r="AQ207" t="s">
        <v>407</v>
      </c>
      <c r="AR207" t="s">
        <v>408</v>
      </c>
      <c r="AS207" t="s">
        <v>407</v>
      </c>
      <c r="AT207" t="s">
        <v>407</v>
      </c>
      <c r="AU207" t="s">
        <v>409</v>
      </c>
      <c r="AV207" t="s">
        <v>409</v>
      </c>
      <c r="AW207" t="str">
        <f t="shared" si="6"/>
        <v>#if(J69#"JE","JE",if(J69#"Drilled","JC",""))</v>
      </c>
      <c r="BC207" t="s">
        <v>463</v>
      </c>
      <c r="BJ207" t="s">
        <v>526</v>
      </c>
      <c r="BQ207" t="s">
        <v>600</v>
      </c>
      <c r="BR207" t="s">
        <v>346</v>
      </c>
      <c r="BS207" t="s">
        <v>586</v>
      </c>
      <c r="BT207" t="s">
        <v>596</v>
      </c>
      <c r="BU207" t="s">
        <v>407</v>
      </c>
      <c r="BV207" t="s">
        <v>157</v>
      </c>
      <c r="BW207" t="s">
        <v>407</v>
      </c>
      <c r="BX207" t="s">
        <v>408</v>
      </c>
      <c r="BY207" t="s">
        <v>407</v>
      </c>
      <c r="BZ207" t="s">
        <v>80</v>
      </c>
      <c r="CA207" t="s">
        <v>407</v>
      </c>
      <c r="CB207" t="s">
        <v>408</v>
      </c>
      <c r="CC207" t="s">
        <v>597</v>
      </c>
      <c r="CD207" t="s">
        <v>346</v>
      </c>
      <c r="CE207" t="s">
        <v>586</v>
      </c>
      <c r="CF207" t="s">
        <v>596</v>
      </c>
      <c r="CG207" s="32" t="s">
        <v>407</v>
      </c>
      <c r="CH207" t="s">
        <v>411</v>
      </c>
      <c r="CI207" t="s">
        <v>407</v>
      </c>
      <c r="CJ207" t="s">
        <v>408</v>
      </c>
      <c r="CK207" s="32" t="s">
        <v>407</v>
      </c>
      <c r="CL207" t="s">
        <v>29</v>
      </c>
      <c r="CM207" t="s">
        <v>407</v>
      </c>
      <c r="CN207" t="s">
        <v>408</v>
      </c>
      <c r="CO207" t="s">
        <v>597</v>
      </c>
      <c r="CP207" t="s">
        <v>346</v>
      </c>
      <c r="CQ207" t="s">
        <v>586</v>
      </c>
      <c r="CR207" t="s">
        <v>596</v>
      </c>
      <c r="CS207" s="32" t="s">
        <v>407</v>
      </c>
      <c r="CT207" t="s">
        <v>475</v>
      </c>
      <c r="CU207" t="s">
        <v>407</v>
      </c>
      <c r="CV207" t="s">
        <v>408</v>
      </c>
      <c r="CW207" s="32" t="s">
        <v>407</v>
      </c>
      <c r="CX207" t="s">
        <v>83</v>
      </c>
      <c r="CY207" t="s">
        <v>407</v>
      </c>
      <c r="CZ207" t="s">
        <v>408</v>
      </c>
      <c r="DA207" t="s">
        <v>407</v>
      </c>
      <c r="DB207" t="s">
        <v>598</v>
      </c>
      <c r="DC207" t="s">
        <v>407</v>
      </c>
      <c r="DD207" t="s">
        <v>599</v>
      </c>
      <c r="DE207" t="str">
        <f t="shared" si="7"/>
        <v>%IF(K69%"Poplar","PAINT",IF(K69%"Red Oak","SGO",IF(K69%"Maple","SM","SPPN")))</v>
      </c>
      <c r="DO207" t="s">
        <v>523</v>
      </c>
    </row>
    <row r="208" spans="6:119" x14ac:dyDescent="0.25">
      <c r="F208" t="s">
        <v>209</v>
      </c>
      <c r="H208" t="s">
        <v>269</v>
      </c>
      <c r="M208" t="s">
        <v>331</v>
      </c>
      <c r="O208" t="s">
        <v>341</v>
      </c>
      <c r="T208" t="s">
        <v>344</v>
      </c>
      <c r="U208" t="s">
        <v>345</v>
      </c>
      <c r="V208" t="s">
        <v>346</v>
      </c>
      <c r="W208" t="s">
        <v>397</v>
      </c>
      <c r="X208" t="s">
        <v>344</v>
      </c>
      <c r="Y208" t="s">
        <v>407</v>
      </c>
      <c r="Z208" t="s">
        <v>27</v>
      </c>
      <c r="AA208" t="s">
        <v>407</v>
      </c>
      <c r="AB208" t="s">
        <v>408</v>
      </c>
      <c r="AC208" t="s">
        <v>407</v>
      </c>
      <c r="AD208" t="s">
        <v>27</v>
      </c>
      <c r="AE208" t="s">
        <v>407</v>
      </c>
      <c r="AF208" t="s">
        <v>408</v>
      </c>
      <c r="AG208" t="s">
        <v>345</v>
      </c>
      <c r="AH208" t="s">
        <v>346</v>
      </c>
      <c r="AI208" t="s">
        <v>397</v>
      </c>
      <c r="AJ208" t="s">
        <v>344</v>
      </c>
      <c r="AK208" t="s">
        <v>407</v>
      </c>
      <c r="AL208" t="s">
        <v>279</v>
      </c>
      <c r="AM208" t="s">
        <v>407</v>
      </c>
      <c r="AN208" t="s">
        <v>408</v>
      </c>
      <c r="AO208" t="s">
        <v>407</v>
      </c>
      <c r="AP208" t="s">
        <v>53</v>
      </c>
      <c r="AQ208" t="s">
        <v>407</v>
      </c>
      <c r="AR208" t="s">
        <v>408</v>
      </c>
      <c r="AS208" t="s">
        <v>407</v>
      </c>
      <c r="AT208" t="s">
        <v>407</v>
      </c>
      <c r="AU208" t="s">
        <v>409</v>
      </c>
      <c r="AV208" t="s">
        <v>409</v>
      </c>
      <c r="AW208" t="str">
        <f t="shared" si="6"/>
        <v>#if(J69#"JE","JE",if(J69#"Drilled","JC",""))</v>
      </c>
      <c r="BC208" t="s">
        <v>463</v>
      </c>
      <c r="BJ208" t="s">
        <v>526</v>
      </c>
      <c r="BQ208" t="s">
        <v>600</v>
      </c>
      <c r="BR208" t="s">
        <v>346</v>
      </c>
      <c r="BS208" t="s">
        <v>586</v>
      </c>
      <c r="BT208" t="s">
        <v>596</v>
      </c>
      <c r="BU208" t="s">
        <v>407</v>
      </c>
      <c r="BV208" t="s">
        <v>157</v>
      </c>
      <c r="BW208" t="s">
        <v>407</v>
      </c>
      <c r="BX208" t="s">
        <v>408</v>
      </c>
      <c r="BY208" t="s">
        <v>407</v>
      </c>
      <c r="BZ208" t="s">
        <v>80</v>
      </c>
      <c r="CA208" t="s">
        <v>407</v>
      </c>
      <c r="CB208" t="s">
        <v>408</v>
      </c>
      <c r="CC208" t="s">
        <v>597</v>
      </c>
      <c r="CD208" t="s">
        <v>346</v>
      </c>
      <c r="CE208" t="s">
        <v>586</v>
      </c>
      <c r="CF208" t="s">
        <v>596</v>
      </c>
      <c r="CG208" s="32" t="s">
        <v>407</v>
      </c>
      <c r="CH208" t="s">
        <v>411</v>
      </c>
      <c r="CI208" t="s">
        <v>407</v>
      </c>
      <c r="CJ208" t="s">
        <v>408</v>
      </c>
      <c r="CK208" s="32" t="s">
        <v>407</v>
      </c>
      <c r="CL208" t="s">
        <v>29</v>
      </c>
      <c r="CM208" t="s">
        <v>407</v>
      </c>
      <c r="CN208" t="s">
        <v>408</v>
      </c>
      <c r="CO208" t="s">
        <v>597</v>
      </c>
      <c r="CP208" t="s">
        <v>346</v>
      </c>
      <c r="CQ208" t="s">
        <v>586</v>
      </c>
      <c r="CR208" t="s">
        <v>596</v>
      </c>
      <c r="CS208" s="32" t="s">
        <v>407</v>
      </c>
      <c r="CT208" t="s">
        <v>475</v>
      </c>
      <c r="CU208" t="s">
        <v>407</v>
      </c>
      <c r="CV208" t="s">
        <v>408</v>
      </c>
      <c r="CW208" s="32" t="s">
        <v>407</v>
      </c>
      <c r="CX208" t="s">
        <v>83</v>
      </c>
      <c r="CY208" t="s">
        <v>407</v>
      </c>
      <c r="CZ208" t="s">
        <v>408</v>
      </c>
      <c r="DA208" t="s">
        <v>407</v>
      </c>
      <c r="DB208" t="s">
        <v>598</v>
      </c>
      <c r="DC208" t="s">
        <v>407</v>
      </c>
      <c r="DD208" t="s">
        <v>599</v>
      </c>
      <c r="DE208" t="str">
        <f t="shared" si="7"/>
        <v>%IF(K69%"Poplar","PAINT",IF(K69%"Red Oak","SGO",IF(K69%"Maple","SM","SPPN")))</v>
      </c>
      <c r="DO208" t="s">
        <v>523</v>
      </c>
    </row>
    <row r="209" spans="6:119" x14ac:dyDescent="0.25">
      <c r="F209" t="s">
        <v>210</v>
      </c>
      <c r="H209" t="s">
        <v>270</v>
      </c>
      <c r="M209" t="s">
        <v>332</v>
      </c>
      <c r="O209" t="s">
        <v>341</v>
      </c>
      <c r="T209" t="s">
        <v>344</v>
      </c>
      <c r="U209" t="s">
        <v>345</v>
      </c>
      <c r="V209" t="s">
        <v>346</v>
      </c>
      <c r="W209" t="s">
        <v>398</v>
      </c>
      <c r="X209" t="s">
        <v>344</v>
      </c>
      <c r="Y209" t="s">
        <v>407</v>
      </c>
      <c r="Z209" t="s">
        <v>27</v>
      </c>
      <c r="AA209" t="s">
        <v>407</v>
      </c>
      <c r="AB209" t="s">
        <v>408</v>
      </c>
      <c r="AC209" t="s">
        <v>407</v>
      </c>
      <c r="AD209" t="s">
        <v>27</v>
      </c>
      <c r="AE209" t="s">
        <v>407</v>
      </c>
      <c r="AF209" t="s">
        <v>408</v>
      </c>
      <c r="AG209" t="s">
        <v>345</v>
      </c>
      <c r="AH209" t="s">
        <v>346</v>
      </c>
      <c r="AI209" t="s">
        <v>398</v>
      </c>
      <c r="AJ209" t="s">
        <v>344</v>
      </c>
      <c r="AK209" t="s">
        <v>407</v>
      </c>
      <c r="AL209" t="s">
        <v>279</v>
      </c>
      <c r="AM209" t="s">
        <v>407</v>
      </c>
      <c r="AN209" t="s">
        <v>408</v>
      </c>
      <c r="AO209" t="s">
        <v>407</v>
      </c>
      <c r="AP209" t="s">
        <v>53</v>
      </c>
      <c r="AQ209" t="s">
        <v>407</v>
      </c>
      <c r="AR209" t="s">
        <v>408</v>
      </c>
      <c r="AS209" t="s">
        <v>407</v>
      </c>
      <c r="AT209" t="s">
        <v>407</v>
      </c>
      <c r="AU209" t="s">
        <v>409</v>
      </c>
      <c r="AV209" t="s">
        <v>409</v>
      </c>
      <c r="AW209" t="str">
        <f t="shared" si="6"/>
        <v>#if(J70#"JE","JE",if(J70#"Drilled","JC",""))</v>
      </c>
      <c r="BC209" t="s">
        <v>464</v>
      </c>
      <c r="BJ209" t="s">
        <v>527</v>
      </c>
      <c r="BQ209" t="s">
        <v>600</v>
      </c>
      <c r="BR209" t="s">
        <v>346</v>
      </c>
      <c r="BS209" t="s">
        <v>587</v>
      </c>
      <c r="BT209" t="s">
        <v>596</v>
      </c>
      <c r="BU209" t="s">
        <v>407</v>
      </c>
      <c r="BV209" t="s">
        <v>157</v>
      </c>
      <c r="BW209" t="s">
        <v>407</v>
      </c>
      <c r="BX209" t="s">
        <v>408</v>
      </c>
      <c r="BY209" t="s">
        <v>407</v>
      </c>
      <c r="BZ209" t="s">
        <v>80</v>
      </c>
      <c r="CA209" t="s">
        <v>407</v>
      </c>
      <c r="CB209" t="s">
        <v>408</v>
      </c>
      <c r="CC209" t="s">
        <v>597</v>
      </c>
      <c r="CD209" t="s">
        <v>346</v>
      </c>
      <c r="CE209" t="s">
        <v>587</v>
      </c>
      <c r="CF209" t="s">
        <v>596</v>
      </c>
      <c r="CG209" s="32" t="s">
        <v>407</v>
      </c>
      <c r="CH209" t="s">
        <v>411</v>
      </c>
      <c r="CI209" t="s">
        <v>407</v>
      </c>
      <c r="CJ209" t="s">
        <v>408</v>
      </c>
      <c r="CK209" s="32" t="s">
        <v>407</v>
      </c>
      <c r="CL209" t="s">
        <v>29</v>
      </c>
      <c r="CM209" t="s">
        <v>407</v>
      </c>
      <c r="CN209" t="s">
        <v>408</v>
      </c>
      <c r="CO209" t="s">
        <v>597</v>
      </c>
      <c r="CP209" t="s">
        <v>346</v>
      </c>
      <c r="CQ209" t="s">
        <v>587</v>
      </c>
      <c r="CR209" t="s">
        <v>596</v>
      </c>
      <c r="CS209" s="32" t="s">
        <v>407</v>
      </c>
      <c r="CT209" t="s">
        <v>475</v>
      </c>
      <c r="CU209" t="s">
        <v>407</v>
      </c>
      <c r="CV209" t="s">
        <v>408</v>
      </c>
      <c r="CW209" s="32" t="s">
        <v>407</v>
      </c>
      <c r="CX209" t="s">
        <v>83</v>
      </c>
      <c r="CY209" t="s">
        <v>407</v>
      </c>
      <c r="CZ209" t="s">
        <v>408</v>
      </c>
      <c r="DA209" t="s">
        <v>407</v>
      </c>
      <c r="DB209" t="s">
        <v>598</v>
      </c>
      <c r="DC209" t="s">
        <v>407</v>
      </c>
      <c r="DD209" t="s">
        <v>599</v>
      </c>
      <c r="DE209" t="str">
        <f t="shared" si="7"/>
        <v>%IF(K70%"Poplar","PAINT",IF(K70%"Red Oak","SGO",IF(K70%"Maple","SM","SPPN")))</v>
      </c>
      <c r="DO209" t="s">
        <v>523</v>
      </c>
    </row>
    <row r="210" spans="6:119" x14ac:dyDescent="0.25">
      <c r="F210" t="s">
        <v>210</v>
      </c>
      <c r="H210" t="s">
        <v>270</v>
      </c>
      <c r="M210" t="s">
        <v>332</v>
      </c>
      <c r="O210" t="s">
        <v>341</v>
      </c>
      <c r="T210" t="s">
        <v>344</v>
      </c>
      <c r="U210" t="s">
        <v>345</v>
      </c>
      <c r="V210" t="s">
        <v>346</v>
      </c>
      <c r="W210" t="s">
        <v>398</v>
      </c>
      <c r="X210" t="s">
        <v>344</v>
      </c>
      <c r="Y210" t="s">
        <v>407</v>
      </c>
      <c r="Z210" t="s">
        <v>27</v>
      </c>
      <c r="AA210" t="s">
        <v>407</v>
      </c>
      <c r="AB210" t="s">
        <v>408</v>
      </c>
      <c r="AC210" t="s">
        <v>407</v>
      </c>
      <c r="AD210" t="s">
        <v>27</v>
      </c>
      <c r="AE210" t="s">
        <v>407</v>
      </c>
      <c r="AF210" t="s">
        <v>408</v>
      </c>
      <c r="AG210" t="s">
        <v>345</v>
      </c>
      <c r="AH210" t="s">
        <v>346</v>
      </c>
      <c r="AI210" t="s">
        <v>398</v>
      </c>
      <c r="AJ210" t="s">
        <v>344</v>
      </c>
      <c r="AK210" t="s">
        <v>407</v>
      </c>
      <c r="AL210" t="s">
        <v>279</v>
      </c>
      <c r="AM210" t="s">
        <v>407</v>
      </c>
      <c r="AN210" t="s">
        <v>408</v>
      </c>
      <c r="AO210" t="s">
        <v>407</v>
      </c>
      <c r="AP210" t="s">
        <v>53</v>
      </c>
      <c r="AQ210" t="s">
        <v>407</v>
      </c>
      <c r="AR210" t="s">
        <v>408</v>
      </c>
      <c r="AS210" t="s">
        <v>407</v>
      </c>
      <c r="AT210" t="s">
        <v>407</v>
      </c>
      <c r="AU210" t="s">
        <v>409</v>
      </c>
      <c r="AV210" t="s">
        <v>409</v>
      </c>
      <c r="AW210" t="str">
        <f t="shared" si="6"/>
        <v>#if(J70#"JE","JE",if(J70#"Drilled","JC",""))</v>
      </c>
      <c r="BC210" t="s">
        <v>464</v>
      </c>
      <c r="BJ210" t="s">
        <v>527</v>
      </c>
      <c r="BQ210" t="s">
        <v>600</v>
      </c>
      <c r="BR210" t="s">
        <v>346</v>
      </c>
      <c r="BS210" t="s">
        <v>587</v>
      </c>
      <c r="BT210" t="s">
        <v>596</v>
      </c>
      <c r="BU210" t="s">
        <v>407</v>
      </c>
      <c r="BV210" t="s">
        <v>157</v>
      </c>
      <c r="BW210" t="s">
        <v>407</v>
      </c>
      <c r="BX210" t="s">
        <v>408</v>
      </c>
      <c r="BY210" t="s">
        <v>407</v>
      </c>
      <c r="BZ210" t="s">
        <v>80</v>
      </c>
      <c r="CA210" t="s">
        <v>407</v>
      </c>
      <c r="CB210" t="s">
        <v>408</v>
      </c>
      <c r="CC210" t="s">
        <v>597</v>
      </c>
      <c r="CD210" t="s">
        <v>346</v>
      </c>
      <c r="CE210" t="s">
        <v>587</v>
      </c>
      <c r="CF210" t="s">
        <v>596</v>
      </c>
      <c r="CG210" s="32" t="s">
        <v>407</v>
      </c>
      <c r="CH210" t="s">
        <v>411</v>
      </c>
      <c r="CI210" t="s">
        <v>407</v>
      </c>
      <c r="CJ210" t="s">
        <v>408</v>
      </c>
      <c r="CK210" s="32" t="s">
        <v>407</v>
      </c>
      <c r="CL210" t="s">
        <v>29</v>
      </c>
      <c r="CM210" t="s">
        <v>407</v>
      </c>
      <c r="CN210" t="s">
        <v>408</v>
      </c>
      <c r="CO210" t="s">
        <v>597</v>
      </c>
      <c r="CP210" t="s">
        <v>346</v>
      </c>
      <c r="CQ210" t="s">
        <v>587</v>
      </c>
      <c r="CR210" t="s">
        <v>596</v>
      </c>
      <c r="CS210" s="32" t="s">
        <v>407</v>
      </c>
      <c r="CT210" t="s">
        <v>475</v>
      </c>
      <c r="CU210" t="s">
        <v>407</v>
      </c>
      <c r="CV210" t="s">
        <v>408</v>
      </c>
      <c r="CW210" s="32" t="s">
        <v>407</v>
      </c>
      <c r="CX210" t="s">
        <v>83</v>
      </c>
      <c r="CY210" t="s">
        <v>407</v>
      </c>
      <c r="CZ210" t="s">
        <v>408</v>
      </c>
      <c r="DA210" t="s">
        <v>407</v>
      </c>
      <c r="DB210" t="s">
        <v>598</v>
      </c>
      <c r="DC210" t="s">
        <v>407</v>
      </c>
      <c r="DD210" t="s">
        <v>599</v>
      </c>
      <c r="DE210" t="str">
        <f t="shared" si="7"/>
        <v>%IF(K70%"Poplar","PAINT",IF(K70%"Red Oak","SGO",IF(K70%"Maple","SM","SPPN")))</v>
      </c>
      <c r="DO210" t="s">
        <v>523</v>
      </c>
    </row>
    <row r="211" spans="6:119" x14ac:dyDescent="0.25">
      <c r="F211" t="s">
        <v>210</v>
      </c>
      <c r="H211" t="s">
        <v>270</v>
      </c>
      <c r="M211" t="s">
        <v>332</v>
      </c>
      <c r="O211" t="s">
        <v>341</v>
      </c>
      <c r="T211" t="s">
        <v>344</v>
      </c>
      <c r="U211" t="s">
        <v>345</v>
      </c>
      <c r="V211" t="s">
        <v>346</v>
      </c>
      <c r="W211" t="s">
        <v>398</v>
      </c>
      <c r="X211" t="s">
        <v>344</v>
      </c>
      <c r="Y211" t="s">
        <v>407</v>
      </c>
      <c r="Z211" t="s">
        <v>27</v>
      </c>
      <c r="AA211" t="s">
        <v>407</v>
      </c>
      <c r="AB211" t="s">
        <v>408</v>
      </c>
      <c r="AC211" t="s">
        <v>407</v>
      </c>
      <c r="AD211" t="s">
        <v>27</v>
      </c>
      <c r="AE211" t="s">
        <v>407</v>
      </c>
      <c r="AF211" t="s">
        <v>408</v>
      </c>
      <c r="AG211" t="s">
        <v>345</v>
      </c>
      <c r="AH211" t="s">
        <v>346</v>
      </c>
      <c r="AI211" t="s">
        <v>398</v>
      </c>
      <c r="AJ211" t="s">
        <v>344</v>
      </c>
      <c r="AK211" t="s">
        <v>407</v>
      </c>
      <c r="AL211" t="s">
        <v>279</v>
      </c>
      <c r="AM211" t="s">
        <v>407</v>
      </c>
      <c r="AN211" t="s">
        <v>408</v>
      </c>
      <c r="AO211" t="s">
        <v>407</v>
      </c>
      <c r="AP211" t="s">
        <v>53</v>
      </c>
      <c r="AQ211" t="s">
        <v>407</v>
      </c>
      <c r="AR211" t="s">
        <v>408</v>
      </c>
      <c r="AS211" t="s">
        <v>407</v>
      </c>
      <c r="AT211" t="s">
        <v>407</v>
      </c>
      <c r="AU211" t="s">
        <v>409</v>
      </c>
      <c r="AV211" t="s">
        <v>409</v>
      </c>
      <c r="AW211" t="str">
        <f t="shared" si="6"/>
        <v>#if(J70#"JE","JE",if(J70#"Drilled","JC",""))</v>
      </c>
      <c r="BC211" t="s">
        <v>464</v>
      </c>
      <c r="BJ211" t="s">
        <v>527</v>
      </c>
      <c r="BQ211" t="s">
        <v>600</v>
      </c>
      <c r="BR211" t="s">
        <v>346</v>
      </c>
      <c r="BS211" t="s">
        <v>587</v>
      </c>
      <c r="BT211" t="s">
        <v>596</v>
      </c>
      <c r="BU211" t="s">
        <v>407</v>
      </c>
      <c r="BV211" t="s">
        <v>157</v>
      </c>
      <c r="BW211" t="s">
        <v>407</v>
      </c>
      <c r="BX211" t="s">
        <v>408</v>
      </c>
      <c r="BY211" t="s">
        <v>407</v>
      </c>
      <c r="BZ211" t="s">
        <v>80</v>
      </c>
      <c r="CA211" t="s">
        <v>407</v>
      </c>
      <c r="CB211" t="s">
        <v>408</v>
      </c>
      <c r="CC211" t="s">
        <v>597</v>
      </c>
      <c r="CD211" t="s">
        <v>346</v>
      </c>
      <c r="CE211" t="s">
        <v>587</v>
      </c>
      <c r="CF211" t="s">
        <v>596</v>
      </c>
      <c r="CG211" s="32" t="s">
        <v>407</v>
      </c>
      <c r="CH211" t="s">
        <v>411</v>
      </c>
      <c r="CI211" t="s">
        <v>407</v>
      </c>
      <c r="CJ211" t="s">
        <v>408</v>
      </c>
      <c r="CK211" s="32" t="s">
        <v>407</v>
      </c>
      <c r="CL211" t="s">
        <v>29</v>
      </c>
      <c r="CM211" t="s">
        <v>407</v>
      </c>
      <c r="CN211" t="s">
        <v>408</v>
      </c>
      <c r="CO211" t="s">
        <v>597</v>
      </c>
      <c r="CP211" t="s">
        <v>346</v>
      </c>
      <c r="CQ211" t="s">
        <v>587</v>
      </c>
      <c r="CR211" t="s">
        <v>596</v>
      </c>
      <c r="CS211" s="32" t="s">
        <v>407</v>
      </c>
      <c r="CT211" t="s">
        <v>475</v>
      </c>
      <c r="CU211" t="s">
        <v>407</v>
      </c>
      <c r="CV211" t="s">
        <v>408</v>
      </c>
      <c r="CW211" s="32" t="s">
        <v>407</v>
      </c>
      <c r="CX211" t="s">
        <v>83</v>
      </c>
      <c r="CY211" t="s">
        <v>407</v>
      </c>
      <c r="CZ211" t="s">
        <v>408</v>
      </c>
      <c r="DA211" t="s">
        <v>407</v>
      </c>
      <c r="DB211" t="s">
        <v>598</v>
      </c>
      <c r="DC211" t="s">
        <v>407</v>
      </c>
      <c r="DD211" t="s">
        <v>599</v>
      </c>
      <c r="DE211" t="str">
        <f t="shared" si="7"/>
        <v>%IF(K70%"Poplar","PAINT",IF(K70%"Red Oak","SGO",IF(K70%"Maple","SM","SPPN")))</v>
      </c>
      <c r="DO211" t="s">
        <v>524</v>
      </c>
    </row>
    <row r="212" spans="6:119" x14ac:dyDescent="0.25">
      <c r="F212" t="s">
        <v>210</v>
      </c>
      <c r="H212" t="s">
        <v>270</v>
      </c>
      <c r="M212" t="s">
        <v>332</v>
      </c>
      <c r="O212" t="s">
        <v>341</v>
      </c>
      <c r="T212" t="s">
        <v>344</v>
      </c>
      <c r="U212" t="s">
        <v>345</v>
      </c>
      <c r="V212" t="s">
        <v>346</v>
      </c>
      <c r="W212" t="s">
        <v>398</v>
      </c>
      <c r="X212" t="s">
        <v>344</v>
      </c>
      <c r="Y212" t="s">
        <v>407</v>
      </c>
      <c r="Z212" t="s">
        <v>27</v>
      </c>
      <c r="AA212" t="s">
        <v>407</v>
      </c>
      <c r="AB212" t="s">
        <v>408</v>
      </c>
      <c r="AC212" t="s">
        <v>407</v>
      </c>
      <c r="AD212" t="s">
        <v>27</v>
      </c>
      <c r="AE212" t="s">
        <v>407</v>
      </c>
      <c r="AF212" t="s">
        <v>408</v>
      </c>
      <c r="AG212" t="s">
        <v>345</v>
      </c>
      <c r="AH212" t="s">
        <v>346</v>
      </c>
      <c r="AI212" t="s">
        <v>398</v>
      </c>
      <c r="AJ212" t="s">
        <v>344</v>
      </c>
      <c r="AK212" t="s">
        <v>407</v>
      </c>
      <c r="AL212" t="s">
        <v>279</v>
      </c>
      <c r="AM212" t="s">
        <v>407</v>
      </c>
      <c r="AN212" t="s">
        <v>408</v>
      </c>
      <c r="AO212" t="s">
        <v>407</v>
      </c>
      <c r="AP212" t="s">
        <v>53</v>
      </c>
      <c r="AQ212" t="s">
        <v>407</v>
      </c>
      <c r="AR212" t="s">
        <v>408</v>
      </c>
      <c r="AS212" t="s">
        <v>407</v>
      </c>
      <c r="AT212" t="s">
        <v>407</v>
      </c>
      <c r="AU212" t="s">
        <v>409</v>
      </c>
      <c r="AV212" t="s">
        <v>409</v>
      </c>
      <c r="AW212" t="str">
        <f t="shared" si="6"/>
        <v>#if(J70#"JE","JE",if(J70#"Drilled","JC",""))</v>
      </c>
      <c r="BC212" t="s">
        <v>464</v>
      </c>
      <c r="BJ212" t="s">
        <v>527</v>
      </c>
      <c r="BQ212" t="s">
        <v>600</v>
      </c>
      <c r="BR212" t="s">
        <v>346</v>
      </c>
      <c r="BS212" t="s">
        <v>587</v>
      </c>
      <c r="BT212" t="s">
        <v>596</v>
      </c>
      <c r="BU212" t="s">
        <v>407</v>
      </c>
      <c r="BV212" t="s">
        <v>157</v>
      </c>
      <c r="BW212" t="s">
        <v>407</v>
      </c>
      <c r="BX212" t="s">
        <v>408</v>
      </c>
      <c r="BY212" t="s">
        <v>407</v>
      </c>
      <c r="BZ212" t="s">
        <v>80</v>
      </c>
      <c r="CA212" t="s">
        <v>407</v>
      </c>
      <c r="CB212" t="s">
        <v>408</v>
      </c>
      <c r="CC212" t="s">
        <v>597</v>
      </c>
      <c r="CD212" t="s">
        <v>346</v>
      </c>
      <c r="CE212" t="s">
        <v>587</v>
      </c>
      <c r="CF212" t="s">
        <v>596</v>
      </c>
      <c r="CG212" s="32" t="s">
        <v>407</v>
      </c>
      <c r="CH212" t="s">
        <v>411</v>
      </c>
      <c r="CI212" t="s">
        <v>407</v>
      </c>
      <c r="CJ212" t="s">
        <v>408</v>
      </c>
      <c r="CK212" s="32" t="s">
        <v>407</v>
      </c>
      <c r="CL212" t="s">
        <v>29</v>
      </c>
      <c r="CM212" t="s">
        <v>407</v>
      </c>
      <c r="CN212" t="s">
        <v>408</v>
      </c>
      <c r="CO212" t="s">
        <v>597</v>
      </c>
      <c r="CP212" t="s">
        <v>346</v>
      </c>
      <c r="CQ212" t="s">
        <v>587</v>
      </c>
      <c r="CR212" t="s">
        <v>596</v>
      </c>
      <c r="CS212" s="32" t="s">
        <v>407</v>
      </c>
      <c r="CT212" t="s">
        <v>475</v>
      </c>
      <c r="CU212" t="s">
        <v>407</v>
      </c>
      <c r="CV212" t="s">
        <v>408</v>
      </c>
      <c r="CW212" s="32" t="s">
        <v>407</v>
      </c>
      <c r="CX212" t="s">
        <v>83</v>
      </c>
      <c r="CY212" t="s">
        <v>407</v>
      </c>
      <c r="CZ212" t="s">
        <v>408</v>
      </c>
      <c r="DA212" t="s">
        <v>407</v>
      </c>
      <c r="DB212" t="s">
        <v>598</v>
      </c>
      <c r="DC212" t="s">
        <v>407</v>
      </c>
      <c r="DD212" t="s">
        <v>599</v>
      </c>
      <c r="DE212" t="str">
        <f t="shared" si="7"/>
        <v>%IF(K70%"Poplar","PAINT",IF(K70%"Red Oak","SGO",IF(K70%"Maple","SM","SPPN")))</v>
      </c>
      <c r="DO212" t="s">
        <v>524</v>
      </c>
    </row>
    <row r="213" spans="6:119" x14ac:dyDescent="0.25">
      <c r="F213" t="s">
        <v>211</v>
      </c>
      <c r="H213" t="s">
        <v>271</v>
      </c>
      <c r="M213" t="s">
        <v>333</v>
      </c>
      <c r="O213" t="s">
        <v>341</v>
      </c>
      <c r="T213" t="s">
        <v>344</v>
      </c>
      <c r="U213" t="s">
        <v>345</v>
      </c>
      <c r="V213" t="s">
        <v>346</v>
      </c>
      <c r="W213" t="s">
        <v>399</v>
      </c>
      <c r="X213" t="s">
        <v>344</v>
      </c>
      <c r="Y213" t="s">
        <v>407</v>
      </c>
      <c r="Z213" t="s">
        <v>27</v>
      </c>
      <c r="AA213" t="s">
        <v>407</v>
      </c>
      <c r="AB213" t="s">
        <v>408</v>
      </c>
      <c r="AC213" t="s">
        <v>407</v>
      </c>
      <c r="AD213" t="s">
        <v>27</v>
      </c>
      <c r="AE213" t="s">
        <v>407</v>
      </c>
      <c r="AF213" t="s">
        <v>408</v>
      </c>
      <c r="AG213" t="s">
        <v>345</v>
      </c>
      <c r="AH213" t="s">
        <v>346</v>
      </c>
      <c r="AI213" t="s">
        <v>399</v>
      </c>
      <c r="AJ213" t="s">
        <v>344</v>
      </c>
      <c r="AK213" t="s">
        <v>407</v>
      </c>
      <c r="AL213" t="s">
        <v>279</v>
      </c>
      <c r="AM213" t="s">
        <v>407</v>
      </c>
      <c r="AN213" t="s">
        <v>408</v>
      </c>
      <c r="AO213" t="s">
        <v>407</v>
      </c>
      <c r="AP213" t="s">
        <v>53</v>
      </c>
      <c r="AQ213" t="s">
        <v>407</v>
      </c>
      <c r="AR213" t="s">
        <v>408</v>
      </c>
      <c r="AS213" t="s">
        <v>407</v>
      </c>
      <c r="AT213" t="s">
        <v>407</v>
      </c>
      <c r="AU213" t="s">
        <v>409</v>
      </c>
      <c r="AV213" t="s">
        <v>409</v>
      </c>
      <c r="AW213" t="str">
        <f t="shared" si="6"/>
        <v>#if(J71#"JE","JE",if(J71#"Drilled","JC",""))</v>
      </c>
      <c r="BC213" t="s">
        <v>465</v>
      </c>
      <c r="BJ213" t="s">
        <v>528</v>
      </c>
      <c r="BQ213" t="s">
        <v>600</v>
      </c>
      <c r="BR213" t="s">
        <v>346</v>
      </c>
      <c r="BS213" t="s">
        <v>588</v>
      </c>
      <c r="BT213" t="s">
        <v>596</v>
      </c>
      <c r="BU213" t="s">
        <v>407</v>
      </c>
      <c r="BV213" t="s">
        <v>157</v>
      </c>
      <c r="BW213" t="s">
        <v>407</v>
      </c>
      <c r="BX213" t="s">
        <v>408</v>
      </c>
      <c r="BY213" t="s">
        <v>407</v>
      </c>
      <c r="BZ213" t="s">
        <v>80</v>
      </c>
      <c r="CA213" t="s">
        <v>407</v>
      </c>
      <c r="CB213" t="s">
        <v>408</v>
      </c>
      <c r="CC213" t="s">
        <v>597</v>
      </c>
      <c r="CD213" t="s">
        <v>346</v>
      </c>
      <c r="CE213" t="s">
        <v>588</v>
      </c>
      <c r="CF213" t="s">
        <v>596</v>
      </c>
      <c r="CG213" s="32" t="s">
        <v>407</v>
      </c>
      <c r="CH213" t="s">
        <v>411</v>
      </c>
      <c r="CI213" t="s">
        <v>407</v>
      </c>
      <c r="CJ213" t="s">
        <v>408</v>
      </c>
      <c r="CK213" s="32" t="s">
        <v>407</v>
      </c>
      <c r="CL213" t="s">
        <v>29</v>
      </c>
      <c r="CM213" t="s">
        <v>407</v>
      </c>
      <c r="CN213" t="s">
        <v>408</v>
      </c>
      <c r="CO213" t="s">
        <v>597</v>
      </c>
      <c r="CP213" t="s">
        <v>346</v>
      </c>
      <c r="CQ213" t="s">
        <v>588</v>
      </c>
      <c r="CR213" t="s">
        <v>596</v>
      </c>
      <c r="CS213" s="32" t="s">
        <v>407</v>
      </c>
      <c r="CT213" t="s">
        <v>475</v>
      </c>
      <c r="CU213" t="s">
        <v>407</v>
      </c>
      <c r="CV213" t="s">
        <v>408</v>
      </c>
      <c r="CW213" s="32" t="s">
        <v>407</v>
      </c>
      <c r="CX213" t="s">
        <v>83</v>
      </c>
      <c r="CY213" t="s">
        <v>407</v>
      </c>
      <c r="CZ213" t="s">
        <v>408</v>
      </c>
      <c r="DA213" t="s">
        <v>407</v>
      </c>
      <c r="DB213" t="s">
        <v>598</v>
      </c>
      <c r="DC213" t="s">
        <v>407</v>
      </c>
      <c r="DD213" t="s">
        <v>599</v>
      </c>
      <c r="DE213" t="str">
        <f t="shared" si="7"/>
        <v>%IF(K71%"Poplar","PAINT",IF(K71%"Red Oak","SGO",IF(K71%"Maple","SM","SPPN")))</v>
      </c>
      <c r="DO213" t="s">
        <v>524</v>
      </c>
    </row>
    <row r="214" spans="6:119" x14ac:dyDescent="0.25">
      <c r="F214" t="s">
        <v>211</v>
      </c>
      <c r="H214" t="s">
        <v>271</v>
      </c>
      <c r="M214" t="s">
        <v>333</v>
      </c>
      <c r="O214" t="s">
        <v>341</v>
      </c>
      <c r="T214" t="s">
        <v>344</v>
      </c>
      <c r="U214" t="s">
        <v>345</v>
      </c>
      <c r="V214" t="s">
        <v>346</v>
      </c>
      <c r="W214" t="s">
        <v>399</v>
      </c>
      <c r="X214" t="s">
        <v>344</v>
      </c>
      <c r="Y214" t="s">
        <v>407</v>
      </c>
      <c r="Z214" t="s">
        <v>27</v>
      </c>
      <c r="AA214" t="s">
        <v>407</v>
      </c>
      <c r="AB214" t="s">
        <v>408</v>
      </c>
      <c r="AC214" t="s">
        <v>407</v>
      </c>
      <c r="AD214" t="s">
        <v>27</v>
      </c>
      <c r="AE214" t="s">
        <v>407</v>
      </c>
      <c r="AF214" t="s">
        <v>408</v>
      </c>
      <c r="AG214" t="s">
        <v>345</v>
      </c>
      <c r="AH214" t="s">
        <v>346</v>
      </c>
      <c r="AI214" t="s">
        <v>399</v>
      </c>
      <c r="AJ214" t="s">
        <v>344</v>
      </c>
      <c r="AK214" t="s">
        <v>407</v>
      </c>
      <c r="AL214" t="s">
        <v>279</v>
      </c>
      <c r="AM214" t="s">
        <v>407</v>
      </c>
      <c r="AN214" t="s">
        <v>408</v>
      </c>
      <c r="AO214" t="s">
        <v>407</v>
      </c>
      <c r="AP214" t="s">
        <v>53</v>
      </c>
      <c r="AQ214" t="s">
        <v>407</v>
      </c>
      <c r="AR214" t="s">
        <v>408</v>
      </c>
      <c r="AS214" t="s">
        <v>407</v>
      </c>
      <c r="AT214" t="s">
        <v>407</v>
      </c>
      <c r="AU214" t="s">
        <v>409</v>
      </c>
      <c r="AV214" t="s">
        <v>409</v>
      </c>
      <c r="AW214" t="str">
        <f t="shared" si="6"/>
        <v>#if(J71#"JE","JE",if(J71#"Drilled","JC",""))</v>
      </c>
      <c r="BC214" t="s">
        <v>465</v>
      </c>
      <c r="BJ214" t="s">
        <v>528</v>
      </c>
      <c r="BQ214" t="s">
        <v>600</v>
      </c>
      <c r="BR214" t="s">
        <v>346</v>
      </c>
      <c r="BS214" t="s">
        <v>588</v>
      </c>
      <c r="BT214" t="s">
        <v>596</v>
      </c>
      <c r="BU214" t="s">
        <v>407</v>
      </c>
      <c r="BV214" t="s">
        <v>157</v>
      </c>
      <c r="BW214" t="s">
        <v>407</v>
      </c>
      <c r="BX214" t="s">
        <v>408</v>
      </c>
      <c r="BY214" t="s">
        <v>407</v>
      </c>
      <c r="BZ214" t="s">
        <v>80</v>
      </c>
      <c r="CA214" t="s">
        <v>407</v>
      </c>
      <c r="CB214" t="s">
        <v>408</v>
      </c>
      <c r="CC214" t="s">
        <v>597</v>
      </c>
      <c r="CD214" t="s">
        <v>346</v>
      </c>
      <c r="CE214" t="s">
        <v>588</v>
      </c>
      <c r="CF214" t="s">
        <v>596</v>
      </c>
      <c r="CG214" s="32" t="s">
        <v>407</v>
      </c>
      <c r="CH214" t="s">
        <v>411</v>
      </c>
      <c r="CI214" t="s">
        <v>407</v>
      </c>
      <c r="CJ214" t="s">
        <v>408</v>
      </c>
      <c r="CK214" s="32" t="s">
        <v>407</v>
      </c>
      <c r="CL214" t="s">
        <v>29</v>
      </c>
      <c r="CM214" t="s">
        <v>407</v>
      </c>
      <c r="CN214" t="s">
        <v>408</v>
      </c>
      <c r="CO214" t="s">
        <v>597</v>
      </c>
      <c r="CP214" t="s">
        <v>346</v>
      </c>
      <c r="CQ214" t="s">
        <v>588</v>
      </c>
      <c r="CR214" t="s">
        <v>596</v>
      </c>
      <c r="CS214" s="32" t="s">
        <v>407</v>
      </c>
      <c r="CT214" t="s">
        <v>475</v>
      </c>
      <c r="CU214" t="s">
        <v>407</v>
      </c>
      <c r="CV214" t="s">
        <v>408</v>
      </c>
      <c r="CW214" s="32" t="s">
        <v>407</v>
      </c>
      <c r="CX214" t="s">
        <v>83</v>
      </c>
      <c r="CY214" t="s">
        <v>407</v>
      </c>
      <c r="CZ214" t="s">
        <v>408</v>
      </c>
      <c r="DA214" t="s">
        <v>407</v>
      </c>
      <c r="DB214" t="s">
        <v>598</v>
      </c>
      <c r="DC214" t="s">
        <v>407</v>
      </c>
      <c r="DD214" t="s">
        <v>599</v>
      </c>
      <c r="DE214" t="str">
        <f t="shared" si="7"/>
        <v>%IF(K71%"Poplar","PAINT",IF(K71%"Red Oak","SGO",IF(K71%"Maple","SM","SPPN")))</v>
      </c>
      <c r="DO214" t="s">
        <v>524</v>
      </c>
    </row>
    <row r="215" spans="6:119" x14ac:dyDescent="0.25">
      <c r="F215" t="s">
        <v>211</v>
      </c>
      <c r="H215" t="s">
        <v>271</v>
      </c>
      <c r="M215" t="s">
        <v>333</v>
      </c>
      <c r="O215" t="s">
        <v>341</v>
      </c>
      <c r="T215" t="s">
        <v>344</v>
      </c>
      <c r="U215" t="s">
        <v>345</v>
      </c>
      <c r="V215" t="s">
        <v>346</v>
      </c>
      <c r="W215" t="s">
        <v>399</v>
      </c>
      <c r="X215" t="s">
        <v>344</v>
      </c>
      <c r="Y215" t="s">
        <v>407</v>
      </c>
      <c r="Z215" t="s">
        <v>27</v>
      </c>
      <c r="AA215" t="s">
        <v>407</v>
      </c>
      <c r="AB215" t="s">
        <v>408</v>
      </c>
      <c r="AC215" t="s">
        <v>407</v>
      </c>
      <c r="AD215" t="s">
        <v>27</v>
      </c>
      <c r="AE215" t="s">
        <v>407</v>
      </c>
      <c r="AF215" t="s">
        <v>408</v>
      </c>
      <c r="AG215" t="s">
        <v>345</v>
      </c>
      <c r="AH215" t="s">
        <v>346</v>
      </c>
      <c r="AI215" t="s">
        <v>399</v>
      </c>
      <c r="AJ215" t="s">
        <v>344</v>
      </c>
      <c r="AK215" t="s">
        <v>407</v>
      </c>
      <c r="AL215" t="s">
        <v>279</v>
      </c>
      <c r="AM215" t="s">
        <v>407</v>
      </c>
      <c r="AN215" t="s">
        <v>408</v>
      </c>
      <c r="AO215" t="s">
        <v>407</v>
      </c>
      <c r="AP215" t="s">
        <v>53</v>
      </c>
      <c r="AQ215" t="s">
        <v>407</v>
      </c>
      <c r="AR215" t="s">
        <v>408</v>
      </c>
      <c r="AS215" t="s">
        <v>407</v>
      </c>
      <c r="AT215" t="s">
        <v>407</v>
      </c>
      <c r="AU215" t="s">
        <v>409</v>
      </c>
      <c r="AV215" t="s">
        <v>409</v>
      </c>
      <c r="AW215" t="str">
        <f t="shared" si="6"/>
        <v>#if(J71#"JE","JE",if(J71#"Drilled","JC",""))</v>
      </c>
      <c r="BC215" t="s">
        <v>465</v>
      </c>
      <c r="BJ215" t="s">
        <v>528</v>
      </c>
      <c r="BQ215" t="s">
        <v>600</v>
      </c>
      <c r="BR215" t="s">
        <v>346</v>
      </c>
      <c r="BS215" t="s">
        <v>588</v>
      </c>
      <c r="BT215" t="s">
        <v>596</v>
      </c>
      <c r="BU215" t="s">
        <v>407</v>
      </c>
      <c r="BV215" t="s">
        <v>157</v>
      </c>
      <c r="BW215" t="s">
        <v>407</v>
      </c>
      <c r="BX215" t="s">
        <v>408</v>
      </c>
      <c r="BY215" t="s">
        <v>407</v>
      </c>
      <c r="BZ215" t="s">
        <v>80</v>
      </c>
      <c r="CA215" t="s">
        <v>407</v>
      </c>
      <c r="CB215" t="s">
        <v>408</v>
      </c>
      <c r="CC215" t="s">
        <v>597</v>
      </c>
      <c r="CD215" t="s">
        <v>346</v>
      </c>
      <c r="CE215" t="s">
        <v>588</v>
      </c>
      <c r="CF215" t="s">
        <v>596</v>
      </c>
      <c r="CG215" s="32" t="s">
        <v>407</v>
      </c>
      <c r="CH215" t="s">
        <v>411</v>
      </c>
      <c r="CI215" t="s">
        <v>407</v>
      </c>
      <c r="CJ215" t="s">
        <v>408</v>
      </c>
      <c r="CK215" s="32" t="s">
        <v>407</v>
      </c>
      <c r="CL215" t="s">
        <v>29</v>
      </c>
      <c r="CM215" t="s">
        <v>407</v>
      </c>
      <c r="CN215" t="s">
        <v>408</v>
      </c>
      <c r="CO215" t="s">
        <v>597</v>
      </c>
      <c r="CP215" t="s">
        <v>346</v>
      </c>
      <c r="CQ215" t="s">
        <v>588</v>
      </c>
      <c r="CR215" t="s">
        <v>596</v>
      </c>
      <c r="CS215" s="32" t="s">
        <v>407</v>
      </c>
      <c r="CT215" t="s">
        <v>475</v>
      </c>
      <c r="CU215" t="s">
        <v>407</v>
      </c>
      <c r="CV215" t="s">
        <v>408</v>
      </c>
      <c r="CW215" s="32" t="s">
        <v>407</v>
      </c>
      <c r="CX215" t="s">
        <v>83</v>
      </c>
      <c r="CY215" t="s">
        <v>407</v>
      </c>
      <c r="CZ215" t="s">
        <v>408</v>
      </c>
      <c r="DA215" t="s">
        <v>407</v>
      </c>
      <c r="DB215" t="s">
        <v>598</v>
      </c>
      <c r="DC215" t="s">
        <v>407</v>
      </c>
      <c r="DD215" t="s">
        <v>599</v>
      </c>
      <c r="DE215" t="str">
        <f t="shared" si="7"/>
        <v>%IF(K71%"Poplar","PAINT",IF(K71%"Red Oak","SGO",IF(K71%"Maple","SM","SPPN")))</v>
      </c>
      <c r="DO215" t="s">
        <v>525</v>
      </c>
    </row>
    <row r="216" spans="6:119" x14ac:dyDescent="0.25">
      <c r="F216" t="s">
        <v>211</v>
      </c>
      <c r="H216" t="s">
        <v>271</v>
      </c>
      <c r="M216" t="s">
        <v>333</v>
      </c>
      <c r="O216" t="s">
        <v>341</v>
      </c>
      <c r="T216" t="s">
        <v>344</v>
      </c>
      <c r="U216" t="s">
        <v>345</v>
      </c>
      <c r="V216" t="s">
        <v>346</v>
      </c>
      <c r="W216" t="s">
        <v>399</v>
      </c>
      <c r="X216" t="s">
        <v>344</v>
      </c>
      <c r="Y216" t="s">
        <v>407</v>
      </c>
      <c r="Z216" t="s">
        <v>27</v>
      </c>
      <c r="AA216" t="s">
        <v>407</v>
      </c>
      <c r="AB216" t="s">
        <v>408</v>
      </c>
      <c r="AC216" t="s">
        <v>407</v>
      </c>
      <c r="AD216" t="s">
        <v>27</v>
      </c>
      <c r="AE216" t="s">
        <v>407</v>
      </c>
      <c r="AF216" t="s">
        <v>408</v>
      </c>
      <c r="AG216" t="s">
        <v>345</v>
      </c>
      <c r="AH216" t="s">
        <v>346</v>
      </c>
      <c r="AI216" t="s">
        <v>399</v>
      </c>
      <c r="AJ216" t="s">
        <v>344</v>
      </c>
      <c r="AK216" t="s">
        <v>407</v>
      </c>
      <c r="AL216" t="s">
        <v>279</v>
      </c>
      <c r="AM216" t="s">
        <v>407</v>
      </c>
      <c r="AN216" t="s">
        <v>408</v>
      </c>
      <c r="AO216" t="s">
        <v>407</v>
      </c>
      <c r="AP216" t="s">
        <v>53</v>
      </c>
      <c r="AQ216" t="s">
        <v>407</v>
      </c>
      <c r="AR216" t="s">
        <v>408</v>
      </c>
      <c r="AS216" t="s">
        <v>407</v>
      </c>
      <c r="AT216" t="s">
        <v>407</v>
      </c>
      <c r="AU216" t="s">
        <v>409</v>
      </c>
      <c r="AV216" t="s">
        <v>409</v>
      </c>
      <c r="AW216" t="str">
        <f t="shared" si="6"/>
        <v>#if(J71#"JE","JE",if(J71#"Drilled","JC",""))</v>
      </c>
      <c r="BC216" t="s">
        <v>465</v>
      </c>
      <c r="BJ216" t="s">
        <v>528</v>
      </c>
      <c r="BQ216" t="s">
        <v>600</v>
      </c>
      <c r="BR216" t="s">
        <v>346</v>
      </c>
      <c r="BS216" t="s">
        <v>588</v>
      </c>
      <c r="BT216" t="s">
        <v>596</v>
      </c>
      <c r="BU216" t="s">
        <v>407</v>
      </c>
      <c r="BV216" t="s">
        <v>157</v>
      </c>
      <c r="BW216" t="s">
        <v>407</v>
      </c>
      <c r="BX216" t="s">
        <v>408</v>
      </c>
      <c r="BY216" t="s">
        <v>407</v>
      </c>
      <c r="BZ216" t="s">
        <v>80</v>
      </c>
      <c r="CA216" t="s">
        <v>407</v>
      </c>
      <c r="CB216" t="s">
        <v>408</v>
      </c>
      <c r="CC216" t="s">
        <v>597</v>
      </c>
      <c r="CD216" t="s">
        <v>346</v>
      </c>
      <c r="CE216" t="s">
        <v>588</v>
      </c>
      <c r="CF216" t="s">
        <v>596</v>
      </c>
      <c r="CG216" s="32" t="s">
        <v>407</v>
      </c>
      <c r="CH216" t="s">
        <v>411</v>
      </c>
      <c r="CI216" t="s">
        <v>407</v>
      </c>
      <c r="CJ216" t="s">
        <v>408</v>
      </c>
      <c r="CK216" s="32" t="s">
        <v>407</v>
      </c>
      <c r="CL216" t="s">
        <v>29</v>
      </c>
      <c r="CM216" t="s">
        <v>407</v>
      </c>
      <c r="CN216" t="s">
        <v>408</v>
      </c>
      <c r="CO216" t="s">
        <v>597</v>
      </c>
      <c r="CP216" t="s">
        <v>346</v>
      </c>
      <c r="CQ216" t="s">
        <v>588</v>
      </c>
      <c r="CR216" t="s">
        <v>596</v>
      </c>
      <c r="CS216" s="32" t="s">
        <v>407</v>
      </c>
      <c r="CT216" t="s">
        <v>475</v>
      </c>
      <c r="CU216" t="s">
        <v>407</v>
      </c>
      <c r="CV216" t="s">
        <v>408</v>
      </c>
      <c r="CW216" s="32" t="s">
        <v>407</v>
      </c>
      <c r="CX216" t="s">
        <v>83</v>
      </c>
      <c r="CY216" t="s">
        <v>407</v>
      </c>
      <c r="CZ216" t="s">
        <v>408</v>
      </c>
      <c r="DA216" t="s">
        <v>407</v>
      </c>
      <c r="DB216" t="s">
        <v>598</v>
      </c>
      <c r="DC216" t="s">
        <v>407</v>
      </c>
      <c r="DD216" t="s">
        <v>599</v>
      </c>
      <c r="DE216" t="str">
        <f t="shared" si="7"/>
        <v>%IF(K71%"Poplar","PAINT",IF(K71%"Red Oak","SGO",IF(K71%"Maple","SM","SPPN")))</v>
      </c>
      <c r="DO216" t="s">
        <v>525</v>
      </c>
    </row>
    <row r="217" spans="6:119" x14ac:dyDescent="0.25">
      <c r="F217" t="s">
        <v>212</v>
      </c>
      <c r="H217" t="s">
        <v>272</v>
      </c>
      <c r="M217" t="s">
        <v>334</v>
      </c>
      <c r="O217" t="s">
        <v>341</v>
      </c>
      <c r="T217" t="s">
        <v>344</v>
      </c>
      <c r="U217" t="s">
        <v>345</v>
      </c>
      <c r="V217" t="s">
        <v>346</v>
      </c>
      <c r="W217" t="s">
        <v>400</v>
      </c>
      <c r="X217" t="s">
        <v>344</v>
      </c>
      <c r="Y217" t="s">
        <v>407</v>
      </c>
      <c r="Z217" t="s">
        <v>27</v>
      </c>
      <c r="AA217" t="s">
        <v>407</v>
      </c>
      <c r="AB217" t="s">
        <v>408</v>
      </c>
      <c r="AC217" t="s">
        <v>407</v>
      </c>
      <c r="AD217" t="s">
        <v>27</v>
      </c>
      <c r="AE217" t="s">
        <v>407</v>
      </c>
      <c r="AF217" t="s">
        <v>408</v>
      </c>
      <c r="AG217" t="s">
        <v>345</v>
      </c>
      <c r="AH217" t="s">
        <v>346</v>
      </c>
      <c r="AI217" t="s">
        <v>400</v>
      </c>
      <c r="AJ217" t="s">
        <v>344</v>
      </c>
      <c r="AK217" t="s">
        <v>407</v>
      </c>
      <c r="AL217" t="s">
        <v>279</v>
      </c>
      <c r="AM217" t="s">
        <v>407</v>
      </c>
      <c r="AN217" t="s">
        <v>408</v>
      </c>
      <c r="AO217" t="s">
        <v>407</v>
      </c>
      <c r="AP217" t="s">
        <v>53</v>
      </c>
      <c r="AQ217" t="s">
        <v>407</v>
      </c>
      <c r="AR217" t="s">
        <v>408</v>
      </c>
      <c r="AS217" t="s">
        <v>407</v>
      </c>
      <c r="AT217" t="s">
        <v>407</v>
      </c>
      <c r="AU217" t="s">
        <v>409</v>
      </c>
      <c r="AV217" t="s">
        <v>409</v>
      </c>
      <c r="AW217" t="str">
        <f t="shared" si="6"/>
        <v>#if(J72#"JE","JE",if(J72#"Drilled","JC",""))</v>
      </c>
      <c r="BC217" t="s">
        <v>466</v>
      </c>
      <c r="BJ217" t="s">
        <v>529</v>
      </c>
      <c r="BQ217" t="s">
        <v>600</v>
      </c>
      <c r="BR217" t="s">
        <v>346</v>
      </c>
      <c r="BS217" t="s">
        <v>589</v>
      </c>
      <c r="BT217" t="s">
        <v>596</v>
      </c>
      <c r="BU217" t="s">
        <v>407</v>
      </c>
      <c r="BV217" t="s">
        <v>157</v>
      </c>
      <c r="BW217" t="s">
        <v>407</v>
      </c>
      <c r="BX217" t="s">
        <v>408</v>
      </c>
      <c r="BY217" t="s">
        <v>407</v>
      </c>
      <c r="BZ217" t="s">
        <v>80</v>
      </c>
      <c r="CA217" t="s">
        <v>407</v>
      </c>
      <c r="CB217" t="s">
        <v>408</v>
      </c>
      <c r="CC217" t="s">
        <v>597</v>
      </c>
      <c r="CD217" t="s">
        <v>346</v>
      </c>
      <c r="CE217" t="s">
        <v>589</v>
      </c>
      <c r="CF217" t="s">
        <v>596</v>
      </c>
      <c r="CG217" s="32" t="s">
        <v>407</v>
      </c>
      <c r="CH217" t="s">
        <v>411</v>
      </c>
      <c r="CI217" t="s">
        <v>407</v>
      </c>
      <c r="CJ217" t="s">
        <v>408</v>
      </c>
      <c r="CK217" s="32" t="s">
        <v>407</v>
      </c>
      <c r="CL217" t="s">
        <v>29</v>
      </c>
      <c r="CM217" t="s">
        <v>407</v>
      </c>
      <c r="CN217" t="s">
        <v>408</v>
      </c>
      <c r="CO217" t="s">
        <v>597</v>
      </c>
      <c r="CP217" t="s">
        <v>346</v>
      </c>
      <c r="CQ217" t="s">
        <v>589</v>
      </c>
      <c r="CR217" t="s">
        <v>596</v>
      </c>
      <c r="CS217" s="32" t="s">
        <v>407</v>
      </c>
      <c r="CT217" t="s">
        <v>475</v>
      </c>
      <c r="CU217" t="s">
        <v>407</v>
      </c>
      <c r="CV217" t="s">
        <v>408</v>
      </c>
      <c r="CW217" s="32" t="s">
        <v>407</v>
      </c>
      <c r="CX217" t="s">
        <v>83</v>
      </c>
      <c r="CY217" t="s">
        <v>407</v>
      </c>
      <c r="CZ217" t="s">
        <v>408</v>
      </c>
      <c r="DA217" t="s">
        <v>407</v>
      </c>
      <c r="DB217" t="s">
        <v>598</v>
      </c>
      <c r="DC217" t="s">
        <v>407</v>
      </c>
      <c r="DD217" t="s">
        <v>599</v>
      </c>
      <c r="DE217" t="str">
        <f t="shared" si="7"/>
        <v>%IF(K72%"Poplar","PAINT",IF(K72%"Red Oak","SGO",IF(K72%"Maple","SM","SPPN")))</v>
      </c>
      <c r="DO217" t="s">
        <v>525</v>
      </c>
    </row>
    <row r="218" spans="6:119" x14ac:dyDescent="0.25">
      <c r="F218" t="s">
        <v>212</v>
      </c>
      <c r="H218" t="s">
        <v>272</v>
      </c>
      <c r="M218" t="s">
        <v>334</v>
      </c>
      <c r="O218" t="s">
        <v>341</v>
      </c>
      <c r="T218" t="s">
        <v>344</v>
      </c>
      <c r="U218" t="s">
        <v>345</v>
      </c>
      <c r="V218" t="s">
        <v>346</v>
      </c>
      <c r="W218" t="s">
        <v>400</v>
      </c>
      <c r="X218" t="s">
        <v>344</v>
      </c>
      <c r="Y218" t="s">
        <v>407</v>
      </c>
      <c r="Z218" t="s">
        <v>27</v>
      </c>
      <c r="AA218" t="s">
        <v>407</v>
      </c>
      <c r="AB218" t="s">
        <v>408</v>
      </c>
      <c r="AC218" t="s">
        <v>407</v>
      </c>
      <c r="AD218" t="s">
        <v>27</v>
      </c>
      <c r="AE218" t="s">
        <v>407</v>
      </c>
      <c r="AF218" t="s">
        <v>408</v>
      </c>
      <c r="AG218" t="s">
        <v>345</v>
      </c>
      <c r="AH218" t="s">
        <v>346</v>
      </c>
      <c r="AI218" t="s">
        <v>400</v>
      </c>
      <c r="AJ218" t="s">
        <v>344</v>
      </c>
      <c r="AK218" t="s">
        <v>407</v>
      </c>
      <c r="AL218" t="s">
        <v>279</v>
      </c>
      <c r="AM218" t="s">
        <v>407</v>
      </c>
      <c r="AN218" t="s">
        <v>408</v>
      </c>
      <c r="AO218" t="s">
        <v>407</v>
      </c>
      <c r="AP218" t="s">
        <v>53</v>
      </c>
      <c r="AQ218" t="s">
        <v>407</v>
      </c>
      <c r="AR218" t="s">
        <v>408</v>
      </c>
      <c r="AS218" t="s">
        <v>407</v>
      </c>
      <c r="AT218" t="s">
        <v>407</v>
      </c>
      <c r="AU218" t="s">
        <v>409</v>
      </c>
      <c r="AV218" t="s">
        <v>409</v>
      </c>
      <c r="AW218" t="str">
        <f t="shared" si="6"/>
        <v>#if(J72#"JE","JE",if(J72#"Drilled","JC",""))</v>
      </c>
      <c r="BC218" t="s">
        <v>466</v>
      </c>
      <c r="BJ218" t="s">
        <v>529</v>
      </c>
      <c r="BQ218" t="s">
        <v>600</v>
      </c>
      <c r="BR218" t="s">
        <v>346</v>
      </c>
      <c r="BS218" t="s">
        <v>589</v>
      </c>
      <c r="BT218" t="s">
        <v>596</v>
      </c>
      <c r="BU218" t="s">
        <v>407</v>
      </c>
      <c r="BV218" t="s">
        <v>157</v>
      </c>
      <c r="BW218" t="s">
        <v>407</v>
      </c>
      <c r="BX218" t="s">
        <v>408</v>
      </c>
      <c r="BY218" t="s">
        <v>407</v>
      </c>
      <c r="BZ218" t="s">
        <v>80</v>
      </c>
      <c r="CA218" t="s">
        <v>407</v>
      </c>
      <c r="CB218" t="s">
        <v>408</v>
      </c>
      <c r="CC218" t="s">
        <v>597</v>
      </c>
      <c r="CD218" t="s">
        <v>346</v>
      </c>
      <c r="CE218" t="s">
        <v>589</v>
      </c>
      <c r="CF218" t="s">
        <v>596</v>
      </c>
      <c r="CG218" s="32" t="s">
        <v>407</v>
      </c>
      <c r="CH218" t="s">
        <v>411</v>
      </c>
      <c r="CI218" t="s">
        <v>407</v>
      </c>
      <c r="CJ218" t="s">
        <v>408</v>
      </c>
      <c r="CK218" s="32" t="s">
        <v>407</v>
      </c>
      <c r="CL218" t="s">
        <v>29</v>
      </c>
      <c r="CM218" t="s">
        <v>407</v>
      </c>
      <c r="CN218" t="s">
        <v>408</v>
      </c>
      <c r="CO218" t="s">
        <v>597</v>
      </c>
      <c r="CP218" t="s">
        <v>346</v>
      </c>
      <c r="CQ218" t="s">
        <v>589</v>
      </c>
      <c r="CR218" t="s">
        <v>596</v>
      </c>
      <c r="CS218" s="32" t="s">
        <v>407</v>
      </c>
      <c r="CT218" t="s">
        <v>475</v>
      </c>
      <c r="CU218" t="s">
        <v>407</v>
      </c>
      <c r="CV218" t="s">
        <v>408</v>
      </c>
      <c r="CW218" s="32" t="s">
        <v>407</v>
      </c>
      <c r="CX218" t="s">
        <v>83</v>
      </c>
      <c r="CY218" t="s">
        <v>407</v>
      </c>
      <c r="CZ218" t="s">
        <v>408</v>
      </c>
      <c r="DA218" t="s">
        <v>407</v>
      </c>
      <c r="DB218" t="s">
        <v>598</v>
      </c>
      <c r="DC218" t="s">
        <v>407</v>
      </c>
      <c r="DD218" t="s">
        <v>599</v>
      </c>
      <c r="DE218" t="str">
        <f t="shared" si="7"/>
        <v>%IF(K72%"Poplar","PAINT",IF(K72%"Red Oak","SGO",IF(K72%"Maple","SM","SPPN")))</v>
      </c>
      <c r="DO218" t="s">
        <v>525</v>
      </c>
    </row>
    <row r="219" spans="6:119" x14ac:dyDescent="0.25">
      <c r="F219" t="s">
        <v>212</v>
      </c>
      <c r="H219" t="s">
        <v>272</v>
      </c>
      <c r="M219" t="s">
        <v>334</v>
      </c>
      <c r="O219" t="s">
        <v>341</v>
      </c>
      <c r="T219" t="s">
        <v>344</v>
      </c>
      <c r="U219" t="s">
        <v>345</v>
      </c>
      <c r="V219" t="s">
        <v>346</v>
      </c>
      <c r="W219" t="s">
        <v>400</v>
      </c>
      <c r="X219" t="s">
        <v>344</v>
      </c>
      <c r="Y219" t="s">
        <v>407</v>
      </c>
      <c r="Z219" t="s">
        <v>27</v>
      </c>
      <c r="AA219" t="s">
        <v>407</v>
      </c>
      <c r="AB219" t="s">
        <v>408</v>
      </c>
      <c r="AC219" t="s">
        <v>407</v>
      </c>
      <c r="AD219" t="s">
        <v>27</v>
      </c>
      <c r="AE219" t="s">
        <v>407</v>
      </c>
      <c r="AF219" t="s">
        <v>408</v>
      </c>
      <c r="AG219" t="s">
        <v>345</v>
      </c>
      <c r="AH219" t="s">
        <v>346</v>
      </c>
      <c r="AI219" t="s">
        <v>400</v>
      </c>
      <c r="AJ219" t="s">
        <v>344</v>
      </c>
      <c r="AK219" t="s">
        <v>407</v>
      </c>
      <c r="AL219" t="s">
        <v>279</v>
      </c>
      <c r="AM219" t="s">
        <v>407</v>
      </c>
      <c r="AN219" t="s">
        <v>408</v>
      </c>
      <c r="AO219" t="s">
        <v>407</v>
      </c>
      <c r="AP219" t="s">
        <v>53</v>
      </c>
      <c r="AQ219" t="s">
        <v>407</v>
      </c>
      <c r="AR219" t="s">
        <v>408</v>
      </c>
      <c r="AS219" t="s">
        <v>407</v>
      </c>
      <c r="AT219" t="s">
        <v>407</v>
      </c>
      <c r="AU219" t="s">
        <v>409</v>
      </c>
      <c r="AV219" t="s">
        <v>409</v>
      </c>
      <c r="AW219" t="str">
        <f t="shared" si="6"/>
        <v>#if(J72#"JE","JE",if(J72#"Drilled","JC",""))</v>
      </c>
      <c r="BC219" t="s">
        <v>466</v>
      </c>
      <c r="BJ219" t="s">
        <v>529</v>
      </c>
      <c r="BQ219" t="s">
        <v>600</v>
      </c>
      <c r="BR219" t="s">
        <v>346</v>
      </c>
      <c r="BS219" t="s">
        <v>589</v>
      </c>
      <c r="BT219" t="s">
        <v>596</v>
      </c>
      <c r="BU219" t="s">
        <v>407</v>
      </c>
      <c r="BV219" t="s">
        <v>157</v>
      </c>
      <c r="BW219" t="s">
        <v>407</v>
      </c>
      <c r="BX219" t="s">
        <v>408</v>
      </c>
      <c r="BY219" t="s">
        <v>407</v>
      </c>
      <c r="BZ219" t="s">
        <v>80</v>
      </c>
      <c r="CA219" t="s">
        <v>407</v>
      </c>
      <c r="CB219" t="s">
        <v>408</v>
      </c>
      <c r="CC219" t="s">
        <v>597</v>
      </c>
      <c r="CD219" t="s">
        <v>346</v>
      </c>
      <c r="CE219" t="s">
        <v>589</v>
      </c>
      <c r="CF219" t="s">
        <v>596</v>
      </c>
      <c r="CG219" s="32" t="s">
        <v>407</v>
      </c>
      <c r="CH219" t="s">
        <v>411</v>
      </c>
      <c r="CI219" t="s">
        <v>407</v>
      </c>
      <c r="CJ219" t="s">
        <v>408</v>
      </c>
      <c r="CK219" s="32" t="s">
        <v>407</v>
      </c>
      <c r="CL219" t="s">
        <v>29</v>
      </c>
      <c r="CM219" t="s">
        <v>407</v>
      </c>
      <c r="CN219" t="s">
        <v>408</v>
      </c>
      <c r="CO219" t="s">
        <v>597</v>
      </c>
      <c r="CP219" t="s">
        <v>346</v>
      </c>
      <c r="CQ219" t="s">
        <v>589</v>
      </c>
      <c r="CR219" t="s">
        <v>596</v>
      </c>
      <c r="CS219" s="32" t="s">
        <v>407</v>
      </c>
      <c r="CT219" t="s">
        <v>475</v>
      </c>
      <c r="CU219" t="s">
        <v>407</v>
      </c>
      <c r="CV219" t="s">
        <v>408</v>
      </c>
      <c r="CW219" s="32" t="s">
        <v>407</v>
      </c>
      <c r="CX219" t="s">
        <v>83</v>
      </c>
      <c r="CY219" t="s">
        <v>407</v>
      </c>
      <c r="CZ219" t="s">
        <v>408</v>
      </c>
      <c r="DA219" t="s">
        <v>407</v>
      </c>
      <c r="DB219" t="s">
        <v>598</v>
      </c>
      <c r="DC219" t="s">
        <v>407</v>
      </c>
      <c r="DD219" t="s">
        <v>599</v>
      </c>
      <c r="DE219" t="str">
        <f t="shared" si="7"/>
        <v>%IF(K72%"Poplar","PAINT",IF(K72%"Red Oak","SGO",IF(K72%"Maple","SM","SPPN")))</v>
      </c>
      <c r="DO219" t="s">
        <v>526</v>
      </c>
    </row>
    <row r="220" spans="6:119" x14ac:dyDescent="0.25">
      <c r="F220" t="s">
        <v>212</v>
      </c>
      <c r="H220" t="s">
        <v>272</v>
      </c>
      <c r="M220" t="s">
        <v>334</v>
      </c>
      <c r="O220" t="s">
        <v>341</v>
      </c>
      <c r="T220" t="s">
        <v>344</v>
      </c>
      <c r="U220" t="s">
        <v>345</v>
      </c>
      <c r="V220" t="s">
        <v>346</v>
      </c>
      <c r="W220" t="s">
        <v>400</v>
      </c>
      <c r="X220" t="s">
        <v>344</v>
      </c>
      <c r="Y220" t="s">
        <v>407</v>
      </c>
      <c r="Z220" t="s">
        <v>27</v>
      </c>
      <c r="AA220" t="s">
        <v>407</v>
      </c>
      <c r="AB220" t="s">
        <v>408</v>
      </c>
      <c r="AC220" t="s">
        <v>407</v>
      </c>
      <c r="AD220" t="s">
        <v>27</v>
      </c>
      <c r="AE220" t="s">
        <v>407</v>
      </c>
      <c r="AF220" t="s">
        <v>408</v>
      </c>
      <c r="AG220" t="s">
        <v>345</v>
      </c>
      <c r="AH220" t="s">
        <v>346</v>
      </c>
      <c r="AI220" t="s">
        <v>400</v>
      </c>
      <c r="AJ220" t="s">
        <v>344</v>
      </c>
      <c r="AK220" t="s">
        <v>407</v>
      </c>
      <c r="AL220" t="s">
        <v>279</v>
      </c>
      <c r="AM220" t="s">
        <v>407</v>
      </c>
      <c r="AN220" t="s">
        <v>408</v>
      </c>
      <c r="AO220" t="s">
        <v>407</v>
      </c>
      <c r="AP220" t="s">
        <v>53</v>
      </c>
      <c r="AQ220" t="s">
        <v>407</v>
      </c>
      <c r="AR220" t="s">
        <v>408</v>
      </c>
      <c r="AS220" t="s">
        <v>407</v>
      </c>
      <c r="AT220" t="s">
        <v>407</v>
      </c>
      <c r="AU220" t="s">
        <v>409</v>
      </c>
      <c r="AV220" t="s">
        <v>409</v>
      </c>
      <c r="AW220" t="str">
        <f t="shared" si="6"/>
        <v>#if(J72#"JE","JE",if(J72#"Drilled","JC",""))</v>
      </c>
      <c r="BC220" t="s">
        <v>466</v>
      </c>
      <c r="BJ220" t="s">
        <v>529</v>
      </c>
      <c r="BQ220" t="s">
        <v>600</v>
      </c>
      <c r="BR220" t="s">
        <v>346</v>
      </c>
      <c r="BS220" t="s">
        <v>589</v>
      </c>
      <c r="BT220" t="s">
        <v>596</v>
      </c>
      <c r="BU220" t="s">
        <v>407</v>
      </c>
      <c r="BV220" t="s">
        <v>157</v>
      </c>
      <c r="BW220" t="s">
        <v>407</v>
      </c>
      <c r="BX220" t="s">
        <v>408</v>
      </c>
      <c r="BY220" t="s">
        <v>407</v>
      </c>
      <c r="BZ220" t="s">
        <v>80</v>
      </c>
      <c r="CA220" t="s">
        <v>407</v>
      </c>
      <c r="CB220" t="s">
        <v>408</v>
      </c>
      <c r="CC220" t="s">
        <v>597</v>
      </c>
      <c r="CD220" t="s">
        <v>346</v>
      </c>
      <c r="CE220" t="s">
        <v>589</v>
      </c>
      <c r="CF220" t="s">
        <v>596</v>
      </c>
      <c r="CG220" s="32" t="s">
        <v>407</v>
      </c>
      <c r="CH220" t="s">
        <v>411</v>
      </c>
      <c r="CI220" t="s">
        <v>407</v>
      </c>
      <c r="CJ220" t="s">
        <v>408</v>
      </c>
      <c r="CK220" s="32" t="s">
        <v>407</v>
      </c>
      <c r="CL220" t="s">
        <v>29</v>
      </c>
      <c r="CM220" t="s">
        <v>407</v>
      </c>
      <c r="CN220" t="s">
        <v>408</v>
      </c>
      <c r="CO220" t="s">
        <v>597</v>
      </c>
      <c r="CP220" t="s">
        <v>346</v>
      </c>
      <c r="CQ220" t="s">
        <v>589</v>
      </c>
      <c r="CR220" t="s">
        <v>596</v>
      </c>
      <c r="CS220" s="32" t="s">
        <v>407</v>
      </c>
      <c r="CT220" t="s">
        <v>475</v>
      </c>
      <c r="CU220" t="s">
        <v>407</v>
      </c>
      <c r="CV220" t="s">
        <v>408</v>
      </c>
      <c r="CW220" s="32" t="s">
        <v>407</v>
      </c>
      <c r="CX220" t="s">
        <v>83</v>
      </c>
      <c r="CY220" t="s">
        <v>407</v>
      </c>
      <c r="CZ220" t="s">
        <v>408</v>
      </c>
      <c r="DA220" t="s">
        <v>407</v>
      </c>
      <c r="DB220" t="s">
        <v>598</v>
      </c>
      <c r="DC220" t="s">
        <v>407</v>
      </c>
      <c r="DD220" t="s">
        <v>599</v>
      </c>
      <c r="DE220" t="str">
        <f t="shared" si="7"/>
        <v>%IF(K72%"Poplar","PAINT",IF(K72%"Red Oak","SGO",IF(K72%"Maple","SM","SPPN")))</v>
      </c>
      <c r="DO220" t="s">
        <v>526</v>
      </c>
    </row>
    <row r="221" spans="6:119" x14ac:dyDescent="0.25">
      <c r="F221" t="s">
        <v>213</v>
      </c>
      <c r="H221" t="s">
        <v>273</v>
      </c>
      <c r="M221" t="s">
        <v>335</v>
      </c>
      <c r="O221" t="s">
        <v>341</v>
      </c>
      <c r="T221" t="s">
        <v>344</v>
      </c>
      <c r="U221" t="s">
        <v>345</v>
      </c>
      <c r="V221" t="s">
        <v>346</v>
      </c>
      <c r="W221" t="s">
        <v>401</v>
      </c>
      <c r="X221" t="s">
        <v>344</v>
      </c>
      <c r="Y221" t="s">
        <v>407</v>
      </c>
      <c r="Z221" t="s">
        <v>27</v>
      </c>
      <c r="AA221" t="s">
        <v>407</v>
      </c>
      <c r="AB221" t="s">
        <v>408</v>
      </c>
      <c r="AC221" t="s">
        <v>407</v>
      </c>
      <c r="AD221" t="s">
        <v>27</v>
      </c>
      <c r="AE221" t="s">
        <v>407</v>
      </c>
      <c r="AF221" t="s">
        <v>408</v>
      </c>
      <c r="AG221" t="s">
        <v>345</v>
      </c>
      <c r="AH221" t="s">
        <v>346</v>
      </c>
      <c r="AI221" t="s">
        <v>401</v>
      </c>
      <c r="AJ221" t="s">
        <v>344</v>
      </c>
      <c r="AK221" t="s">
        <v>407</v>
      </c>
      <c r="AL221" t="s">
        <v>279</v>
      </c>
      <c r="AM221" t="s">
        <v>407</v>
      </c>
      <c r="AN221" t="s">
        <v>408</v>
      </c>
      <c r="AO221" t="s">
        <v>407</v>
      </c>
      <c r="AP221" t="s">
        <v>53</v>
      </c>
      <c r="AQ221" t="s">
        <v>407</v>
      </c>
      <c r="AR221" t="s">
        <v>408</v>
      </c>
      <c r="AS221" t="s">
        <v>407</v>
      </c>
      <c r="AT221" t="s">
        <v>407</v>
      </c>
      <c r="AU221" t="s">
        <v>409</v>
      </c>
      <c r="AV221" t="s">
        <v>409</v>
      </c>
      <c r="AW221" t="str">
        <f t="shared" si="6"/>
        <v>#if(J73#"JE","JE",if(J73#"Drilled","JC",""))</v>
      </c>
      <c r="BC221" t="s">
        <v>467</v>
      </c>
      <c r="BJ221" t="s">
        <v>530</v>
      </c>
      <c r="BQ221" t="s">
        <v>600</v>
      </c>
      <c r="BR221" t="s">
        <v>346</v>
      </c>
      <c r="BS221" t="s">
        <v>590</v>
      </c>
      <c r="BT221" t="s">
        <v>596</v>
      </c>
      <c r="BU221" t="s">
        <v>407</v>
      </c>
      <c r="BV221" t="s">
        <v>157</v>
      </c>
      <c r="BW221" t="s">
        <v>407</v>
      </c>
      <c r="BX221" t="s">
        <v>408</v>
      </c>
      <c r="BY221" t="s">
        <v>407</v>
      </c>
      <c r="BZ221" t="s">
        <v>80</v>
      </c>
      <c r="CA221" t="s">
        <v>407</v>
      </c>
      <c r="CB221" t="s">
        <v>408</v>
      </c>
      <c r="CC221" t="s">
        <v>597</v>
      </c>
      <c r="CD221" t="s">
        <v>346</v>
      </c>
      <c r="CE221" t="s">
        <v>590</v>
      </c>
      <c r="CF221" t="s">
        <v>596</v>
      </c>
      <c r="CG221" s="32" t="s">
        <v>407</v>
      </c>
      <c r="CH221" t="s">
        <v>411</v>
      </c>
      <c r="CI221" t="s">
        <v>407</v>
      </c>
      <c r="CJ221" t="s">
        <v>408</v>
      </c>
      <c r="CK221" s="32" t="s">
        <v>407</v>
      </c>
      <c r="CL221" t="s">
        <v>29</v>
      </c>
      <c r="CM221" t="s">
        <v>407</v>
      </c>
      <c r="CN221" t="s">
        <v>408</v>
      </c>
      <c r="CO221" t="s">
        <v>597</v>
      </c>
      <c r="CP221" t="s">
        <v>346</v>
      </c>
      <c r="CQ221" t="s">
        <v>590</v>
      </c>
      <c r="CR221" t="s">
        <v>596</v>
      </c>
      <c r="CS221" s="32" t="s">
        <v>407</v>
      </c>
      <c r="CT221" t="s">
        <v>475</v>
      </c>
      <c r="CU221" t="s">
        <v>407</v>
      </c>
      <c r="CV221" t="s">
        <v>408</v>
      </c>
      <c r="CW221" s="32" t="s">
        <v>407</v>
      </c>
      <c r="CX221" t="s">
        <v>83</v>
      </c>
      <c r="CY221" t="s">
        <v>407</v>
      </c>
      <c r="CZ221" t="s">
        <v>408</v>
      </c>
      <c r="DA221" t="s">
        <v>407</v>
      </c>
      <c r="DB221" t="s">
        <v>598</v>
      </c>
      <c r="DC221" t="s">
        <v>407</v>
      </c>
      <c r="DD221" t="s">
        <v>599</v>
      </c>
      <c r="DE221" t="str">
        <f t="shared" si="7"/>
        <v>%IF(K73%"Poplar","PAINT",IF(K73%"Red Oak","SGO",IF(K73%"Maple","SM","SPPN")))</v>
      </c>
      <c r="DO221" t="s">
        <v>526</v>
      </c>
    </row>
    <row r="222" spans="6:119" x14ac:dyDescent="0.25">
      <c r="F222" t="s">
        <v>213</v>
      </c>
      <c r="H222" t="s">
        <v>273</v>
      </c>
      <c r="M222" t="s">
        <v>335</v>
      </c>
      <c r="O222" t="s">
        <v>341</v>
      </c>
      <c r="T222" t="s">
        <v>344</v>
      </c>
      <c r="U222" t="s">
        <v>345</v>
      </c>
      <c r="V222" t="s">
        <v>346</v>
      </c>
      <c r="W222" t="s">
        <v>401</v>
      </c>
      <c r="X222" t="s">
        <v>344</v>
      </c>
      <c r="Y222" t="s">
        <v>407</v>
      </c>
      <c r="Z222" t="s">
        <v>27</v>
      </c>
      <c r="AA222" t="s">
        <v>407</v>
      </c>
      <c r="AB222" t="s">
        <v>408</v>
      </c>
      <c r="AC222" t="s">
        <v>407</v>
      </c>
      <c r="AD222" t="s">
        <v>27</v>
      </c>
      <c r="AE222" t="s">
        <v>407</v>
      </c>
      <c r="AF222" t="s">
        <v>408</v>
      </c>
      <c r="AG222" t="s">
        <v>345</v>
      </c>
      <c r="AH222" t="s">
        <v>346</v>
      </c>
      <c r="AI222" t="s">
        <v>401</v>
      </c>
      <c r="AJ222" t="s">
        <v>344</v>
      </c>
      <c r="AK222" t="s">
        <v>407</v>
      </c>
      <c r="AL222" t="s">
        <v>279</v>
      </c>
      <c r="AM222" t="s">
        <v>407</v>
      </c>
      <c r="AN222" t="s">
        <v>408</v>
      </c>
      <c r="AO222" t="s">
        <v>407</v>
      </c>
      <c r="AP222" t="s">
        <v>53</v>
      </c>
      <c r="AQ222" t="s">
        <v>407</v>
      </c>
      <c r="AR222" t="s">
        <v>408</v>
      </c>
      <c r="AS222" t="s">
        <v>407</v>
      </c>
      <c r="AT222" t="s">
        <v>407</v>
      </c>
      <c r="AU222" t="s">
        <v>409</v>
      </c>
      <c r="AV222" t="s">
        <v>409</v>
      </c>
      <c r="AW222" t="str">
        <f t="shared" si="6"/>
        <v>#if(J73#"JE","JE",if(J73#"Drilled","JC",""))</v>
      </c>
      <c r="BC222" t="s">
        <v>467</v>
      </c>
      <c r="BJ222" t="s">
        <v>530</v>
      </c>
      <c r="BQ222" t="s">
        <v>600</v>
      </c>
      <c r="BR222" t="s">
        <v>346</v>
      </c>
      <c r="BS222" t="s">
        <v>590</v>
      </c>
      <c r="BT222" t="s">
        <v>596</v>
      </c>
      <c r="BU222" t="s">
        <v>407</v>
      </c>
      <c r="BV222" t="s">
        <v>157</v>
      </c>
      <c r="BW222" t="s">
        <v>407</v>
      </c>
      <c r="BX222" t="s">
        <v>408</v>
      </c>
      <c r="BY222" t="s">
        <v>407</v>
      </c>
      <c r="BZ222" t="s">
        <v>80</v>
      </c>
      <c r="CA222" t="s">
        <v>407</v>
      </c>
      <c r="CB222" t="s">
        <v>408</v>
      </c>
      <c r="CC222" t="s">
        <v>597</v>
      </c>
      <c r="CD222" t="s">
        <v>346</v>
      </c>
      <c r="CE222" t="s">
        <v>590</v>
      </c>
      <c r="CF222" t="s">
        <v>596</v>
      </c>
      <c r="CG222" s="32" t="s">
        <v>407</v>
      </c>
      <c r="CH222" t="s">
        <v>411</v>
      </c>
      <c r="CI222" t="s">
        <v>407</v>
      </c>
      <c r="CJ222" t="s">
        <v>408</v>
      </c>
      <c r="CK222" s="32" t="s">
        <v>407</v>
      </c>
      <c r="CL222" t="s">
        <v>29</v>
      </c>
      <c r="CM222" t="s">
        <v>407</v>
      </c>
      <c r="CN222" t="s">
        <v>408</v>
      </c>
      <c r="CO222" t="s">
        <v>597</v>
      </c>
      <c r="CP222" t="s">
        <v>346</v>
      </c>
      <c r="CQ222" t="s">
        <v>590</v>
      </c>
      <c r="CR222" t="s">
        <v>596</v>
      </c>
      <c r="CS222" s="32" t="s">
        <v>407</v>
      </c>
      <c r="CT222" t="s">
        <v>475</v>
      </c>
      <c r="CU222" t="s">
        <v>407</v>
      </c>
      <c r="CV222" t="s">
        <v>408</v>
      </c>
      <c r="CW222" s="32" t="s">
        <v>407</v>
      </c>
      <c r="CX222" t="s">
        <v>83</v>
      </c>
      <c r="CY222" t="s">
        <v>407</v>
      </c>
      <c r="CZ222" t="s">
        <v>408</v>
      </c>
      <c r="DA222" t="s">
        <v>407</v>
      </c>
      <c r="DB222" t="s">
        <v>598</v>
      </c>
      <c r="DC222" t="s">
        <v>407</v>
      </c>
      <c r="DD222" t="s">
        <v>599</v>
      </c>
      <c r="DE222" t="str">
        <f t="shared" si="7"/>
        <v>%IF(K73%"Poplar","PAINT",IF(K73%"Red Oak","SGO",IF(K73%"Maple","SM","SPPN")))</v>
      </c>
      <c r="DO222" t="s">
        <v>526</v>
      </c>
    </row>
    <row r="223" spans="6:119" x14ac:dyDescent="0.25">
      <c r="F223" t="s">
        <v>213</v>
      </c>
      <c r="H223" t="s">
        <v>273</v>
      </c>
      <c r="M223" t="s">
        <v>335</v>
      </c>
      <c r="O223" t="s">
        <v>341</v>
      </c>
      <c r="T223" t="s">
        <v>344</v>
      </c>
      <c r="U223" t="s">
        <v>345</v>
      </c>
      <c r="V223" t="s">
        <v>346</v>
      </c>
      <c r="W223" t="s">
        <v>401</v>
      </c>
      <c r="X223" t="s">
        <v>344</v>
      </c>
      <c r="Y223" t="s">
        <v>407</v>
      </c>
      <c r="Z223" t="s">
        <v>27</v>
      </c>
      <c r="AA223" t="s">
        <v>407</v>
      </c>
      <c r="AB223" t="s">
        <v>408</v>
      </c>
      <c r="AC223" t="s">
        <v>407</v>
      </c>
      <c r="AD223" t="s">
        <v>27</v>
      </c>
      <c r="AE223" t="s">
        <v>407</v>
      </c>
      <c r="AF223" t="s">
        <v>408</v>
      </c>
      <c r="AG223" t="s">
        <v>345</v>
      </c>
      <c r="AH223" t="s">
        <v>346</v>
      </c>
      <c r="AI223" t="s">
        <v>401</v>
      </c>
      <c r="AJ223" t="s">
        <v>344</v>
      </c>
      <c r="AK223" t="s">
        <v>407</v>
      </c>
      <c r="AL223" t="s">
        <v>279</v>
      </c>
      <c r="AM223" t="s">
        <v>407</v>
      </c>
      <c r="AN223" t="s">
        <v>408</v>
      </c>
      <c r="AO223" t="s">
        <v>407</v>
      </c>
      <c r="AP223" t="s">
        <v>53</v>
      </c>
      <c r="AQ223" t="s">
        <v>407</v>
      </c>
      <c r="AR223" t="s">
        <v>408</v>
      </c>
      <c r="AS223" t="s">
        <v>407</v>
      </c>
      <c r="AT223" t="s">
        <v>407</v>
      </c>
      <c r="AU223" t="s">
        <v>409</v>
      </c>
      <c r="AV223" t="s">
        <v>409</v>
      </c>
      <c r="AW223" t="str">
        <f t="shared" si="6"/>
        <v>#if(J73#"JE","JE",if(J73#"Drilled","JC",""))</v>
      </c>
      <c r="BC223" t="s">
        <v>467</v>
      </c>
      <c r="BJ223" t="s">
        <v>530</v>
      </c>
      <c r="BQ223" t="s">
        <v>600</v>
      </c>
      <c r="BR223" t="s">
        <v>346</v>
      </c>
      <c r="BS223" t="s">
        <v>590</v>
      </c>
      <c r="BT223" t="s">
        <v>596</v>
      </c>
      <c r="BU223" t="s">
        <v>407</v>
      </c>
      <c r="BV223" t="s">
        <v>157</v>
      </c>
      <c r="BW223" t="s">
        <v>407</v>
      </c>
      <c r="BX223" t="s">
        <v>408</v>
      </c>
      <c r="BY223" t="s">
        <v>407</v>
      </c>
      <c r="BZ223" t="s">
        <v>80</v>
      </c>
      <c r="CA223" t="s">
        <v>407</v>
      </c>
      <c r="CB223" t="s">
        <v>408</v>
      </c>
      <c r="CC223" t="s">
        <v>597</v>
      </c>
      <c r="CD223" t="s">
        <v>346</v>
      </c>
      <c r="CE223" t="s">
        <v>590</v>
      </c>
      <c r="CF223" t="s">
        <v>596</v>
      </c>
      <c r="CG223" s="32" t="s">
        <v>407</v>
      </c>
      <c r="CH223" t="s">
        <v>411</v>
      </c>
      <c r="CI223" t="s">
        <v>407</v>
      </c>
      <c r="CJ223" t="s">
        <v>408</v>
      </c>
      <c r="CK223" s="32" t="s">
        <v>407</v>
      </c>
      <c r="CL223" t="s">
        <v>29</v>
      </c>
      <c r="CM223" t="s">
        <v>407</v>
      </c>
      <c r="CN223" t="s">
        <v>408</v>
      </c>
      <c r="CO223" t="s">
        <v>597</v>
      </c>
      <c r="CP223" t="s">
        <v>346</v>
      </c>
      <c r="CQ223" t="s">
        <v>590</v>
      </c>
      <c r="CR223" t="s">
        <v>596</v>
      </c>
      <c r="CS223" s="32" t="s">
        <v>407</v>
      </c>
      <c r="CT223" t="s">
        <v>475</v>
      </c>
      <c r="CU223" t="s">
        <v>407</v>
      </c>
      <c r="CV223" t="s">
        <v>408</v>
      </c>
      <c r="CW223" s="32" t="s">
        <v>407</v>
      </c>
      <c r="CX223" t="s">
        <v>83</v>
      </c>
      <c r="CY223" t="s">
        <v>407</v>
      </c>
      <c r="CZ223" t="s">
        <v>408</v>
      </c>
      <c r="DA223" t="s">
        <v>407</v>
      </c>
      <c r="DB223" t="s">
        <v>598</v>
      </c>
      <c r="DC223" t="s">
        <v>407</v>
      </c>
      <c r="DD223" t="s">
        <v>599</v>
      </c>
      <c r="DE223" t="str">
        <f t="shared" si="7"/>
        <v>%IF(K73%"Poplar","PAINT",IF(K73%"Red Oak","SGO",IF(K73%"Maple","SM","SPPN")))</v>
      </c>
      <c r="DO223" t="s">
        <v>527</v>
      </c>
    </row>
    <row r="224" spans="6:119" x14ac:dyDescent="0.25">
      <c r="F224" t="s">
        <v>213</v>
      </c>
      <c r="H224" t="s">
        <v>273</v>
      </c>
      <c r="M224" t="s">
        <v>335</v>
      </c>
      <c r="O224" t="s">
        <v>341</v>
      </c>
      <c r="T224" t="s">
        <v>344</v>
      </c>
      <c r="U224" t="s">
        <v>345</v>
      </c>
      <c r="V224" t="s">
        <v>346</v>
      </c>
      <c r="W224" t="s">
        <v>401</v>
      </c>
      <c r="X224" t="s">
        <v>344</v>
      </c>
      <c r="Y224" t="s">
        <v>407</v>
      </c>
      <c r="Z224" t="s">
        <v>27</v>
      </c>
      <c r="AA224" t="s">
        <v>407</v>
      </c>
      <c r="AB224" t="s">
        <v>408</v>
      </c>
      <c r="AC224" t="s">
        <v>407</v>
      </c>
      <c r="AD224" t="s">
        <v>27</v>
      </c>
      <c r="AE224" t="s">
        <v>407</v>
      </c>
      <c r="AF224" t="s">
        <v>408</v>
      </c>
      <c r="AG224" t="s">
        <v>345</v>
      </c>
      <c r="AH224" t="s">
        <v>346</v>
      </c>
      <c r="AI224" t="s">
        <v>401</v>
      </c>
      <c r="AJ224" t="s">
        <v>344</v>
      </c>
      <c r="AK224" t="s">
        <v>407</v>
      </c>
      <c r="AL224" t="s">
        <v>279</v>
      </c>
      <c r="AM224" t="s">
        <v>407</v>
      </c>
      <c r="AN224" t="s">
        <v>408</v>
      </c>
      <c r="AO224" t="s">
        <v>407</v>
      </c>
      <c r="AP224" t="s">
        <v>53</v>
      </c>
      <c r="AQ224" t="s">
        <v>407</v>
      </c>
      <c r="AR224" t="s">
        <v>408</v>
      </c>
      <c r="AS224" t="s">
        <v>407</v>
      </c>
      <c r="AT224" t="s">
        <v>407</v>
      </c>
      <c r="AU224" t="s">
        <v>409</v>
      </c>
      <c r="AV224" t="s">
        <v>409</v>
      </c>
      <c r="AW224" t="str">
        <f t="shared" si="6"/>
        <v>#if(J73#"JE","JE",if(J73#"Drilled","JC",""))</v>
      </c>
      <c r="BC224" t="s">
        <v>467</v>
      </c>
      <c r="BJ224" t="s">
        <v>530</v>
      </c>
      <c r="BQ224" t="s">
        <v>600</v>
      </c>
      <c r="BR224" t="s">
        <v>346</v>
      </c>
      <c r="BS224" t="s">
        <v>590</v>
      </c>
      <c r="BT224" t="s">
        <v>596</v>
      </c>
      <c r="BU224" t="s">
        <v>407</v>
      </c>
      <c r="BV224" t="s">
        <v>157</v>
      </c>
      <c r="BW224" t="s">
        <v>407</v>
      </c>
      <c r="BX224" t="s">
        <v>408</v>
      </c>
      <c r="BY224" t="s">
        <v>407</v>
      </c>
      <c r="BZ224" t="s">
        <v>80</v>
      </c>
      <c r="CA224" t="s">
        <v>407</v>
      </c>
      <c r="CB224" t="s">
        <v>408</v>
      </c>
      <c r="CC224" t="s">
        <v>597</v>
      </c>
      <c r="CD224" t="s">
        <v>346</v>
      </c>
      <c r="CE224" t="s">
        <v>590</v>
      </c>
      <c r="CF224" t="s">
        <v>596</v>
      </c>
      <c r="CG224" s="32" t="s">
        <v>407</v>
      </c>
      <c r="CH224" t="s">
        <v>411</v>
      </c>
      <c r="CI224" t="s">
        <v>407</v>
      </c>
      <c r="CJ224" t="s">
        <v>408</v>
      </c>
      <c r="CK224" s="32" t="s">
        <v>407</v>
      </c>
      <c r="CL224" t="s">
        <v>29</v>
      </c>
      <c r="CM224" t="s">
        <v>407</v>
      </c>
      <c r="CN224" t="s">
        <v>408</v>
      </c>
      <c r="CO224" t="s">
        <v>597</v>
      </c>
      <c r="CP224" t="s">
        <v>346</v>
      </c>
      <c r="CQ224" t="s">
        <v>590</v>
      </c>
      <c r="CR224" t="s">
        <v>596</v>
      </c>
      <c r="CS224" s="32" t="s">
        <v>407</v>
      </c>
      <c r="CT224" t="s">
        <v>475</v>
      </c>
      <c r="CU224" t="s">
        <v>407</v>
      </c>
      <c r="CV224" t="s">
        <v>408</v>
      </c>
      <c r="CW224" s="32" t="s">
        <v>407</v>
      </c>
      <c r="CX224" t="s">
        <v>83</v>
      </c>
      <c r="CY224" t="s">
        <v>407</v>
      </c>
      <c r="CZ224" t="s">
        <v>408</v>
      </c>
      <c r="DA224" t="s">
        <v>407</v>
      </c>
      <c r="DB224" t="s">
        <v>598</v>
      </c>
      <c r="DC224" t="s">
        <v>407</v>
      </c>
      <c r="DD224" t="s">
        <v>599</v>
      </c>
      <c r="DE224" t="str">
        <f t="shared" si="7"/>
        <v>%IF(K73%"Poplar","PAINT",IF(K73%"Red Oak","SGO",IF(K73%"Maple","SM","SPPN")))</v>
      </c>
      <c r="DO224" t="s">
        <v>527</v>
      </c>
    </row>
    <row r="225" spans="6:119" x14ac:dyDescent="0.25">
      <c r="F225" t="s">
        <v>214</v>
      </c>
      <c r="H225" t="s">
        <v>274</v>
      </c>
      <c r="M225" t="s">
        <v>336</v>
      </c>
      <c r="O225" t="s">
        <v>341</v>
      </c>
      <c r="T225" t="s">
        <v>344</v>
      </c>
      <c r="U225" t="s">
        <v>345</v>
      </c>
      <c r="V225" t="s">
        <v>346</v>
      </c>
      <c r="W225" t="s">
        <v>402</v>
      </c>
      <c r="X225" t="s">
        <v>344</v>
      </c>
      <c r="Y225" t="s">
        <v>407</v>
      </c>
      <c r="Z225" t="s">
        <v>27</v>
      </c>
      <c r="AA225" t="s">
        <v>407</v>
      </c>
      <c r="AB225" t="s">
        <v>408</v>
      </c>
      <c r="AC225" t="s">
        <v>407</v>
      </c>
      <c r="AD225" t="s">
        <v>27</v>
      </c>
      <c r="AE225" t="s">
        <v>407</v>
      </c>
      <c r="AF225" t="s">
        <v>408</v>
      </c>
      <c r="AG225" t="s">
        <v>345</v>
      </c>
      <c r="AH225" t="s">
        <v>346</v>
      </c>
      <c r="AI225" t="s">
        <v>402</v>
      </c>
      <c r="AJ225" t="s">
        <v>344</v>
      </c>
      <c r="AK225" t="s">
        <v>407</v>
      </c>
      <c r="AL225" t="s">
        <v>279</v>
      </c>
      <c r="AM225" t="s">
        <v>407</v>
      </c>
      <c r="AN225" t="s">
        <v>408</v>
      </c>
      <c r="AO225" t="s">
        <v>407</v>
      </c>
      <c r="AP225" t="s">
        <v>53</v>
      </c>
      <c r="AQ225" t="s">
        <v>407</v>
      </c>
      <c r="AR225" t="s">
        <v>408</v>
      </c>
      <c r="AS225" t="s">
        <v>407</v>
      </c>
      <c r="AT225" t="s">
        <v>407</v>
      </c>
      <c r="AU225" t="s">
        <v>409</v>
      </c>
      <c r="AV225" t="s">
        <v>409</v>
      </c>
      <c r="AW225" t="str">
        <f t="shared" si="6"/>
        <v>#if(J74#"JE","JE",if(J74#"Drilled","JC",""))</v>
      </c>
      <c r="BC225" t="s">
        <v>468</v>
      </c>
      <c r="BJ225" t="s">
        <v>531</v>
      </c>
      <c r="BQ225" t="s">
        <v>600</v>
      </c>
      <c r="BR225" t="s">
        <v>346</v>
      </c>
      <c r="BS225" t="s">
        <v>591</v>
      </c>
      <c r="BT225" t="s">
        <v>596</v>
      </c>
      <c r="BU225" t="s">
        <v>407</v>
      </c>
      <c r="BV225" t="s">
        <v>157</v>
      </c>
      <c r="BW225" t="s">
        <v>407</v>
      </c>
      <c r="BX225" t="s">
        <v>408</v>
      </c>
      <c r="BY225" t="s">
        <v>407</v>
      </c>
      <c r="BZ225" t="s">
        <v>80</v>
      </c>
      <c r="CA225" t="s">
        <v>407</v>
      </c>
      <c r="CB225" t="s">
        <v>408</v>
      </c>
      <c r="CC225" t="s">
        <v>597</v>
      </c>
      <c r="CD225" t="s">
        <v>346</v>
      </c>
      <c r="CE225" t="s">
        <v>591</v>
      </c>
      <c r="CF225" t="s">
        <v>596</v>
      </c>
      <c r="CG225" s="32" t="s">
        <v>407</v>
      </c>
      <c r="CH225" t="s">
        <v>411</v>
      </c>
      <c r="CI225" t="s">
        <v>407</v>
      </c>
      <c r="CJ225" t="s">
        <v>408</v>
      </c>
      <c r="CK225" s="32" t="s">
        <v>407</v>
      </c>
      <c r="CL225" t="s">
        <v>29</v>
      </c>
      <c r="CM225" t="s">
        <v>407</v>
      </c>
      <c r="CN225" t="s">
        <v>408</v>
      </c>
      <c r="CO225" t="s">
        <v>597</v>
      </c>
      <c r="CP225" t="s">
        <v>346</v>
      </c>
      <c r="CQ225" t="s">
        <v>591</v>
      </c>
      <c r="CR225" t="s">
        <v>596</v>
      </c>
      <c r="CS225" s="32" t="s">
        <v>407</v>
      </c>
      <c r="CT225" t="s">
        <v>475</v>
      </c>
      <c r="CU225" t="s">
        <v>407</v>
      </c>
      <c r="CV225" t="s">
        <v>408</v>
      </c>
      <c r="CW225" s="32" t="s">
        <v>407</v>
      </c>
      <c r="CX225" t="s">
        <v>83</v>
      </c>
      <c r="CY225" t="s">
        <v>407</v>
      </c>
      <c r="CZ225" t="s">
        <v>408</v>
      </c>
      <c r="DA225" t="s">
        <v>407</v>
      </c>
      <c r="DB225" t="s">
        <v>598</v>
      </c>
      <c r="DC225" t="s">
        <v>407</v>
      </c>
      <c r="DD225" t="s">
        <v>599</v>
      </c>
      <c r="DE225" t="str">
        <f t="shared" si="7"/>
        <v>%IF(K74%"Poplar","PAINT",IF(K74%"Red Oak","SGO",IF(K74%"Maple","SM","SPPN")))</v>
      </c>
      <c r="DO225" t="s">
        <v>527</v>
      </c>
    </row>
    <row r="226" spans="6:119" x14ac:dyDescent="0.25">
      <c r="F226" t="s">
        <v>214</v>
      </c>
      <c r="H226" t="s">
        <v>274</v>
      </c>
      <c r="M226" t="s">
        <v>336</v>
      </c>
      <c r="O226" t="s">
        <v>341</v>
      </c>
      <c r="T226" t="s">
        <v>344</v>
      </c>
      <c r="U226" t="s">
        <v>345</v>
      </c>
      <c r="V226" t="s">
        <v>346</v>
      </c>
      <c r="W226" t="s">
        <v>402</v>
      </c>
      <c r="X226" t="s">
        <v>344</v>
      </c>
      <c r="Y226" t="s">
        <v>407</v>
      </c>
      <c r="Z226" t="s">
        <v>27</v>
      </c>
      <c r="AA226" t="s">
        <v>407</v>
      </c>
      <c r="AB226" t="s">
        <v>408</v>
      </c>
      <c r="AC226" t="s">
        <v>407</v>
      </c>
      <c r="AD226" t="s">
        <v>27</v>
      </c>
      <c r="AE226" t="s">
        <v>407</v>
      </c>
      <c r="AF226" t="s">
        <v>408</v>
      </c>
      <c r="AG226" t="s">
        <v>345</v>
      </c>
      <c r="AH226" t="s">
        <v>346</v>
      </c>
      <c r="AI226" t="s">
        <v>402</v>
      </c>
      <c r="AJ226" t="s">
        <v>344</v>
      </c>
      <c r="AK226" t="s">
        <v>407</v>
      </c>
      <c r="AL226" t="s">
        <v>279</v>
      </c>
      <c r="AM226" t="s">
        <v>407</v>
      </c>
      <c r="AN226" t="s">
        <v>408</v>
      </c>
      <c r="AO226" t="s">
        <v>407</v>
      </c>
      <c r="AP226" t="s">
        <v>53</v>
      </c>
      <c r="AQ226" t="s">
        <v>407</v>
      </c>
      <c r="AR226" t="s">
        <v>408</v>
      </c>
      <c r="AS226" t="s">
        <v>407</v>
      </c>
      <c r="AT226" t="s">
        <v>407</v>
      </c>
      <c r="AU226" t="s">
        <v>409</v>
      </c>
      <c r="AV226" t="s">
        <v>409</v>
      </c>
      <c r="AW226" t="str">
        <f t="shared" si="6"/>
        <v>#if(J74#"JE","JE",if(J74#"Drilled","JC",""))</v>
      </c>
      <c r="BC226" t="s">
        <v>468</v>
      </c>
      <c r="BJ226" t="s">
        <v>531</v>
      </c>
      <c r="BQ226" t="s">
        <v>600</v>
      </c>
      <c r="BR226" t="s">
        <v>346</v>
      </c>
      <c r="BS226" t="s">
        <v>591</v>
      </c>
      <c r="BT226" t="s">
        <v>596</v>
      </c>
      <c r="BU226" t="s">
        <v>407</v>
      </c>
      <c r="BV226" t="s">
        <v>157</v>
      </c>
      <c r="BW226" t="s">
        <v>407</v>
      </c>
      <c r="BX226" t="s">
        <v>408</v>
      </c>
      <c r="BY226" t="s">
        <v>407</v>
      </c>
      <c r="BZ226" t="s">
        <v>80</v>
      </c>
      <c r="CA226" t="s">
        <v>407</v>
      </c>
      <c r="CB226" t="s">
        <v>408</v>
      </c>
      <c r="CC226" t="s">
        <v>597</v>
      </c>
      <c r="CD226" t="s">
        <v>346</v>
      </c>
      <c r="CE226" t="s">
        <v>591</v>
      </c>
      <c r="CF226" t="s">
        <v>596</v>
      </c>
      <c r="CG226" s="32" t="s">
        <v>407</v>
      </c>
      <c r="CH226" t="s">
        <v>411</v>
      </c>
      <c r="CI226" t="s">
        <v>407</v>
      </c>
      <c r="CJ226" t="s">
        <v>408</v>
      </c>
      <c r="CK226" s="32" t="s">
        <v>407</v>
      </c>
      <c r="CL226" t="s">
        <v>29</v>
      </c>
      <c r="CM226" t="s">
        <v>407</v>
      </c>
      <c r="CN226" t="s">
        <v>408</v>
      </c>
      <c r="CO226" t="s">
        <v>597</v>
      </c>
      <c r="CP226" t="s">
        <v>346</v>
      </c>
      <c r="CQ226" t="s">
        <v>591</v>
      </c>
      <c r="CR226" t="s">
        <v>596</v>
      </c>
      <c r="CS226" s="32" t="s">
        <v>407</v>
      </c>
      <c r="CT226" t="s">
        <v>475</v>
      </c>
      <c r="CU226" t="s">
        <v>407</v>
      </c>
      <c r="CV226" t="s">
        <v>408</v>
      </c>
      <c r="CW226" s="32" t="s">
        <v>407</v>
      </c>
      <c r="CX226" t="s">
        <v>83</v>
      </c>
      <c r="CY226" t="s">
        <v>407</v>
      </c>
      <c r="CZ226" t="s">
        <v>408</v>
      </c>
      <c r="DA226" t="s">
        <v>407</v>
      </c>
      <c r="DB226" t="s">
        <v>598</v>
      </c>
      <c r="DC226" t="s">
        <v>407</v>
      </c>
      <c r="DD226" t="s">
        <v>599</v>
      </c>
      <c r="DE226" t="str">
        <f t="shared" si="7"/>
        <v>%IF(K74%"Poplar","PAINT",IF(K74%"Red Oak","SGO",IF(K74%"Maple","SM","SPPN")))</v>
      </c>
      <c r="DO226" t="s">
        <v>527</v>
      </c>
    </row>
    <row r="227" spans="6:119" x14ac:dyDescent="0.25">
      <c r="F227" t="s">
        <v>214</v>
      </c>
      <c r="H227" t="s">
        <v>274</v>
      </c>
      <c r="M227" t="s">
        <v>336</v>
      </c>
      <c r="O227" t="s">
        <v>341</v>
      </c>
      <c r="T227" t="s">
        <v>344</v>
      </c>
      <c r="U227" t="s">
        <v>345</v>
      </c>
      <c r="V227" t="s">
        <v>346</v>
      </c>
      <c r="W227" t="s">
        <v>402</v>
      </c>
      <c r="X227" t="s">
        <v>344</v>
      </c>
      <c r="Y227" t="s">
        <v>407</v>
      </c>
      <c r="Z227" t="s">
        <v>27</v>
      </c>
      <c r="AA227" t="s">
        <v>407</v>
      </c>
      <c r="AB227" t="s">
        <v>408</v>
      </c>
      <c r="AC227" t="s">
        <v>407</v>
      </c>
      <c r="AD227" t="s">
        <v>27</v>
      </c>
      <c r="AE227" t="s">
        <v>407</v>
      </c>
      <c r="AF227" t="s">
        <v>408</v>
      </c>
      <c r="AG227" t="s">
        <v>345</v>
      </c>
      <c r="AH227" t="s">
        <v>346</v>
      </c>
      <c r="AI227" t="s">
        <v>402</v>
      </c>
      <c r="AJ227" t="s">
        <v>344</v>
      </c>
      <c r="AK227" t="s">
        <v>407</v>
      </c>
      <c r="AL227" t="s">
        <v>279</v>
      </c>
      <c r="AM227" t="s">
        <v>407</v>
      </c>
      <c r="AN227" t="s">
        <v>408</v>
      </c>
      <c r="AO227" t="s">
        <v>407</v>
      </c>
      <c r="AP227" t="s">
        <v>53</v>
      </c>
      <c r="AQ227" t="s">
        <v>407</v>
      </c>
      <c r="AR227" t="s">
        <v>408</v>
      </c>
      <c r="AS227" t="s">
        <v>407</v>
      </c>
      <c r="AT227" t="s">
        <v>407</v>
      </c>
      <c r="AU227" t="s">
        <v>409</v>
      </c>
      <c r="AV227" t="s">
        <v>409</v>
      </c>
      <c r="AW227" t="str">
        <f t="shared" si="6"/>
        <v>#if(J74#"JE","JE",if(J74#"Drilled","JC",""))</v>
      </c>
      <c r="BC227" t="s">
        <v>468</v>
      </c>
      <c r="BJ227" t="s">
        <v>531</v>
      </c>
      <c r="BQ227" t="s">
        <v>600</v>
      </c>
      <c r="BR227" t="s">
        <v>346</v>
      </c>
      <c r="BS227" t="s">
        <v>591</v>
      </c>
      <c r="BT227" t="s">
        <v>596</v>
      </c>
      <c r="BU227" t="s">
        <v>407</v>
      </c>
      <c r="BV227" t="s">
        <v>157</v>
      </c>
      <c r="BW227" t="s">
        <v>407</v>
      </c>
      <c r="BX227" t="s">
        <v>408</v>
      </c>
      <c r="BY227" t="s">
        <v>407</v>
      </c>
      <c r="BZ227" t="s">
        <v>80</v>
      </c>
      <c r="CA227" t="s">
        <v>407</v>
      </c>
      <c r="CB227" t="s">
        <v>408</v>
      </c>
      <c r="CC227" t="s">
        <v>597</v>
      </c>
      <c r="CD227" t="s">
        <v>346</v>
      </c>
      <c r="CE227" t="s">
        <v>591</v>
      </c>
      <c r="CF227" t="s">
        <v>596</v>
      </c>
      <c r="CG227" s="32" t="s">
        <v>407</v>
      </c>
      <c r="CH227" t="s">
        <v>411</v>
      </c>
      <c r="CI227" t="s">
        <v>407</v>
      </c>
      <c r="CJ227" t="s">
        <v>408</v>
      </c>
      <c r="CK227" s="32" t="s">
        <v>407</v>
      </c>
      <c r="CL227" t="s">
        <v>29</v>
      </c>
      <c r="CM227" t="s">
        <v>407</v>
      </c>
      <c r="CN227" t="s">
        <v>408</v>
      </c>
      <c r="CO227" t="s">
        <v>597</v>
      </c>
      <c r="CP227" t="s">
        <v>346</v>
      </c>
      <c r="CQ227" t="s">
        <v>591</v>
      </c>
      <c r="CR227" t="s">
        <v>596</v>
      </c>
      <c r="CS227" s="32" t="s">
        <v>407</v>
      </c>
      <c r="CT227" t="s">
        <v>475</v>
      </c>
      <c r="CU227" t="s">
        <v>407</v>
      </c>
      <c r="CV227" t="s">
        <v>408</v>
      </c>
      <c r="CW227" s="32" t="s">
        <v>407</v>
      </c>
      <c r="CX227" t="s">
        <v>83</v>
      </c>
      <c r="CY227" t="s">
        <v>407</v>
      </c>
      <c r="CZ227" t="s">
        <v>408</v>
      </c>
      <c r="DA227" t="s">
        <v>407</v>
      </c>
      <c r="DB227" t="s">
        <v>598</v>
      </c>
      <c r="DC227" t="s">
        <v>407</v>
      </c>
      <c r="DD227" t="s">
        <v>599</v>
      </c>
      <c r="DE227" t="str">
        <f t="shared" si="7"/>
        <v>%IF(K74%"Poplar","PAINT",IF(K74%"Red Oak","SGO",IF(K74%"Maple","SM","SPPN")))</v>
      </c>
      <c r="DO227" t="s">
        <v>528</v>
      </c>
    </row>
    <row r="228" spans="6:119" x14ac:dyDescent="0.25">
      <c r="F228" t="s">
        <v>214</v>
      </c>
      <c r="H228" t="s">
        <v>274</v>
      </c>
      <c r="M228" t="s">
        <v>336</v>
      </c>
      <c r="O228" t="s">
        <v>341</v>
      </c>
      <c r="T228" t="s">
        <v>344</v>
      </c>
      <c r="U228" t="s">
        <v>345</v>
      </c>
      <c r="V228" t="s">
        <v>346</v>
      </c>
      <c r="W228" t="s">
        <v>402</v>
      </c>
      <c r="X228" t="s">
        <v>344</v>
      </c>
      <c r="Y228" t="s">
        <v>407</v>
      </c>
      <c r="Z228" t="s">
        <v>27</v>
      </c>
      <c r="AA228" t="s">
        <v>407</v>
      </c>
      <c r="AB228" t="s">
        <v>408</v>
      </c>
      <c r="AC228" t="s">
        <v>407</v>
      </c>
      <c r="AD228" t="s">
        <v>27</v>
      </c>
      <c r="AE228" t="s">
        <v>407</v>
      </c>
      <c r="AF228" t="s">
        <v>408</v>
      </c>
      <c r="AG228" t="s">
        <v>345</v>
      </c>
      <c r="AH228" t="s">
        <v>346</v>
      </c>
      <c r="AI228" t="s">
        <v>402</v>
      </c>
      <c r="AJ228" t="s">
        <v>344</v>
      </c>
      <c r="AK228" t="s">
        <v>407</v>
      </c>
      <c r="AL228" t="s">
        <v>279</v>
      </c>
      <c r="AM228" t="s">
        <v>407</v>
      </c>
      <c r="AN228" t="s">
        <v>408</v>
      </c>
      <c r="AO228" t="s">
        <v>407</v>
      </c>
      <c r="AP228" t="s">
        <v>53</v>
      </c>
      <c r="AQ228" t="s">
        <v>407</v>
      </c>
      <c r="AR228" t="s">
        <v>408</v>
      </c>
      <c r="AS228" t="s">
        <v>407</v>
      </c>
      <c r="AT228" t="s">
        <v>407</v>
      </c>
      <c r="AU228" t="s">
        <v>409</v>
      </c>
      <c r="AV228" t="s">
        <v>409</v>
      </c>
      <c r="AW228" t="str">
        <f t="shared" si="6"/>
        <v>#if(J74#"JE","JE",if(J74#"Drilled","JC",""))</v>
      </c>
      <c r="BC228" t="s">
        <v>468</v>
      </c>
      <c r="BJ228" t="s">
        <v>531</v>
      </c>
      <c r="BQ228" t="s">
        <v>600</v>
      </c>
      <c r="BR228" t="s">
        <v>346</v>
      </c>
      <c r="BS228" t="s">
        <v>591</v>
      </c>
      <c r="BT228" t="s">
        <v>596</v>
      </c>
      <c r="BU228" t="s">
        <v>407</v>
      </c>
      <c r="BV228" t="s">
        <v>157</v>
      </c>
      <c r="BW228" t="s">
        <v>407</v>
      </c>
      <c r="BX228" t="s">
        <v>408</v>
      </c>
      <c r="BY228" t="s">
        <v>407</v>
      </c>
      <c r="BZ228" t="s">
        <v>80</v>
      </c>
      <c r="CA228" t="s">
        <v>407</v>
      </c>
      <c r="CB228" t="s">
        <v>408</v>
      </c>
      <c r="CC228" t="s">
        <v>597</v>
      </c>
      <c r="CD228" t="s">
        <v>346</v>
      </c>
      <c r="CE228" t="s">
        <v>591</v>
      </c>
      <c r="CF228" t="s">
        <v>596</v>
      </c>
      <c r="CG228" s="32" t="s">
        <v>407</v>
      </c>
      <c r="CH228" t="s">
        <v>411</v>
      </c>
      <c r="CI228" t="s">
        <v>407</v>
      </c>
      <c r="CJ228" t="s">
        <v>408</v>
      </c>
      <c r="CK228" s="32" t="s">
        <v>407</v>
      </c>
      <c r="CL228" t="s">
        <v>29</v>
      </c>
      <c r="CM228" t="s">
        <v>407</v>
      </c>
      <c r="CN228" t="s">
        <v>408</v>
      </c>
      <c r="CO228" t="s">
        <v>597</v>
      </c>
      <c r="CP228" t="s">
        <v>346</v>
      </c>
      <c r="CQ228" t="s">
        <v>591</v>
      </c>
      <c r="CR228" t="s">
        <v>596</v>
      </c>
      <c r="CS228" s="32" t="s">
        <v>407</v>
      </c>
      <c r="CT228" t="s">
        <v>475</v>
      </c>
      <c r="CU228" t="s">
        <v>407</v>
      </c>
      <c r="CV228" t="s">
        <v>408</v>
      </c>
      <c r="CW228" s="32" t="s">
        <v>407</v>
      </c>
      <c r="CX228" t="s">
        <v>83</v>
      </c>
      <c r="CY228" t="s">
        <v>407</v>
      </c>
      <c r="CZ228" t="s">
        <v>408</v>
      </c>
      <c r="DA228" t="s">
        <v>407</v>
      </c>
      <c r="DB228" t="s">
        <v>598</v>
      </c>
      <c r="DC228" t="s">
        <v>407</v>
      </c>
      <c r="DD228" t="s">
        <v>599</v>
      </c>
      <c r="DE228" t="str">
        <f t="shared" si="7"/>
        <v>%IF(K74%"Poplar","PAINT",IF(K74%"Red Oak","SGO",IF(K74%"Maple","SM","SPPN")))</v>
      </c>
      <c r="DO228" t="s">
        <v>528</v>
      </c>
    </row>
    <row r="229" spans="6:119" x14ac:dyDescent="0.25">
      <c r="F229" t="s">
        <v>215</v>
      </c>
      <c r="H229" t="s">
        <v>275</v>
      </c>
      <c r="M229" t="s">
        <v>337</v>
      </c>
      <c r="O229" t="s">
        <v>341</v>
      </c>
      <c r="T229" t="s">
        <v>344</v>
      </c>
      <c r="U229" t="s">
        <v>345</v>
      </c>
      <c r="V229" t="s">
        <v>346</v>
      </c>
      <c r="W229" t="s">
        <v>403</v>
      </c>
      <c r="X229" t="s">
        <v>344</v>
      </c>
      <c r="Y229" t="s">
        <v>407</v>
      </c>
      <c r="Z229" t="s">
        <v>27</v>
      </c>
      <c r="AA229" t="s">
        <v>407</v>
      </c>
      <c r="AB229" t="s">
        <v>408</v>
      </c>
      <c r="AC229" t="s">
        <v>407</v>
      </c>
      <c r="AD229" t="s">
        <v>27</v>
      </c>
      <c r="AE229" t="s">
        <v>407</v>
      </c>
      <c r="AF229" t="s">
        <v>408</v>
      </c>
      <c r="AG229" t="s">
        <v>345</v>
      </c>
      <c r="AH229" t="s">
        <v>346</v>
      </c>
      <c r="AI229" t="s">
        <v>403</v>
      </c>
      <c r="AJ229" t="s">
        <v>344</v>
      </c>
      <c r="AK229" t="s">
        <v>407</v>
      </c>
      <c r="AL229" t="s">
        <v>279</v>
      </c>
      <c r="AM229" t="s">
        <v>407</v>
      </c>
      <c r="AN229" t="s">
        <v>408</v>
      </c>
      <c r="AO229" t="s">
        <v>407</v>
      </c>
      <c r="AP229" t="s">
        <v>53</v>
      </c>
      <c r="AQ229" t="s">
        <v>407</v>
      </c>
      <c r="AR229" t="s">
        <v>408</v>
      </c>
      <c r="AS229" t="s">
        <v>407</v>
      </c>
      <c r="AT229" t="s">
        <v>407</v>
      </c>
      <c r="AU229" t="s">
        <v>409</v>
      </c>
      <c r="AV229" t="s">
        <v>409</v>
      </c>
      <c r="AW229" t="str">
        <f t="shared" si="6"/>
        <v>#if(J75#"JE","JE",if(J75#"Drilled","JC",""))</v>
      </c>
      <c r="BC229" t="s">
        <v>469</v>
      </c>
      <c r="BJ229" t="s">
        <v>532</v>
      </c>
      <c r="BQ229" t="s">
        <v>600</v>
      </c>
      <c r="BR229" t="s">
        <v>346</v>
      </c>
      <c r="BS229" t="s">
        <v>592</v>
      </c>
      <c r="BT229" t="s">
        <v>596</v>
      </c>
      <c r="BU229" t="s">
        <v>407</v>
      </c>
      <c r="BV229" t="s">
        <v>157</v>
      </c>
      <c r="BW229" t="s">
        <v>407</v>
      </c>
      <c r="BX229" t="s">
        <v>408</v>
      </c>
      <c r="BY229" t="s">
        <v>407</v>
      </c>
      <c r="BZ229" t="s">
        <v>80</v>
      </c>
      <c r="CA229" t="s">
        <v>407</v>
      </c>
      <c r="CB229" t="s">
        <v>408</v>
      </c>
      <c r="CC229" t="s">
        <v>597</v>
      </c>
      <c r="CD229" t="s">
        <v>346</v>
      </c>
      <c r="CE229" t="s">
        <v>592</v>
      </c>
      <c r="CF229" t="s">
        <v>596</v>
      </c>
      <c r="CG229" s="32" t="s">
        <v>407</v>
      </c>
      <c r="CH229" t="s">
        <v>411</v>
      </c>
      <c r="CI229" t="s">
        <v>407</v>
      </c>
      <c r="CJ229" t="s">
        <v>408</v>
      </c>
      <c r="CK229" s="32" t="s">
        <v>407</v>
      </c>
      <c r="CL229" t="s">
        <v>29</v>
      </c>
      <c r="CM229" t="s">
        <v>407</v>
      </c>
      <c r="CN229" t="s">
        <v>408</v>
      </c>
      <c r="CO229" t="s">
        <v>597</v>
      </c>
      <c r="CP229" t="s">
        <v>346</v>
      </c>
      <c r="CQ229" t="s">
        <v>592</v>
      </c>
      <c r="CR229" t="s">
        <v>596</v>
      </c>
      <c r="CS229" s="32" t="s">
        <v>407</v>
      </c>
      <c r="CT229" t="s">
        <v>475</v>
      </c>
      <c r="CU229" t="s">
        <v>407</v>
      </c>
      <c r="CV229" t="s">
        <v>408</v>
      </c>
      <c r="CW229" s="32" t="s">
        <v>407</v>
      </c>
      <c r="CX229" t="s">
        <v>83</v>
      </c>
      <c r="CY229" t="s">
        <v>407</v>
      </c>
      <c r="CZ229" t="s">
        <v>408</v>
      </c>
      <c r="DA229" t="s">
        <v>407</v>
      </c>
      <c r="DB229" t="s">
        <v>598</v>
      </c>
      <c r="DC229" t="s">
        <v>407</v>
      </c>
      <c r="DD229" t="s">
        <v>599</v>
      </c>
      <c r="DE229" t="str">
        <f t="shared" si="7"/>
        <v>%IF(K75%"Poplar","PAINT",IF(K75%"Red Oak","SGO",IF(K75%"Maple","SM","SPPN")))</v>
      </c>
      <c r="DO229" t="s">
        <v>528</v>
      </c>
    </row>
    <row r="230" spans="6:119" x14ac:dyDescent="0.25">
      <c r="F230" t="s">
        <v>215</v>
      </c>
      <c r="H230" t="s">
        <v>275</v>
      </c>
      <c r="M230" t="s">
        <v>337</v>
      </c>
      <c r="O230" t="s">
        <v>341</v>
      </c>
      <c r="T230" t="s">
        <v>344</v>
      </c>
      <c r="U230" t="s">
        <v>345</v>
      </c>
      <c r="V230" t="s">
        <v>346</v>
      </c>
      <c r="W230" t="s">
        <v>403</v>
      </c>
      <c r="X230" t="s">
        <v>344</v>
      </c>
      <c r="Y230" t="s">
        <v>407</v>
      </c>
      <c r="Z230" t="s">
        <v>27</v>
      </c>
      <c r="AA230" t="s">
        <v>407</v>
      </c>
      <c r="AB230" t="s">
        <v>408</v>
      </c>
      <c r="AC230" t="s">
        <v>407</v>
      </c>
      <c r="AD230" t="s">
        <v>27</v>
      </c>
      <c r="AE230" t="s">
        <v>407</v>
      </c>
      <c r="AF230" t="s">
        <v>408</v>
      </c>
      <c r="AG230" t="s">
        <v>345</v>
      </c>
      <c r="AH230" t="s">
        <v>346</v>
      </c>
      <c r="AI230" t="s">
        <v>403</v>
      </c>
      <c r="AJ230" t="s">
        <v>344</v>
      </c>
      <c r="AK230" t="s">
        <v>407</v>
      </c>
      <c r="AL230" t="s">
        <v>279</v>
      </c>
      <c r="AM230" t="s">
        <v>407</v>
      </c>
      <c r="AN230" t="s">
        <v>408</v>
      </c>
      <c r="AO230" t="s">
        <v>407</v>
      </c>
      <c r="AP230" t="s">
        <v>53</v>
      </c>
      <c r="AQ230" t="s">
        <v>407</v>
      </c>
      <c r="AR230" t="s">
        <v>408</v>
      </c>
      <c r="AS230" t="s">
        <v>407</v>
      </c>
      <c r="AT230" t="s">
        <v>407</v>
      </c>
      <c r="AU230" t="s">
        <v>409</v>
      </c>
      <c r="AV230" t="s">
        <v>409</v>
      </c>
      <c r="AW230" t="str">
        <f t="shared" si="6"/>
        <v>#if(J75#"JE","JE",if(J75#"Drilled","JC",""))</v>
      </c>
      <c r="BC230" t="s">
        <v>469</v>
      </c>
      <c r="BJ230" t="s">
        <v>532</v>
      </c>
      <c r="BQ230" t="s">
        <v>600</v>
      </c>
      <c r="BR230" t="s">
        <v>346</v>
      </c>
      <c r="BS230" t="s">
        <v>592</v>
      </c>
      <c r="BT230" t="s">
        <v>596</v>
      </c>
      <c r="BU230" t="s">
        <v>407</v>
      </c>
      <c r="BV230" t="s">
        <v>157</v>
      </c>
      <c r="BW230" t="s">
        <v>407</v>
      </c>
      <c r="BX230" t="s">
        <v>408</v>
      </c>
      <c r="BY230" t="s">
        <v>407</v>
      </c>
      <c r="BZ230" t="s">
        <v>80</v>
      </c>
      <c r="CA230" t="s">
        <v>407</v>
      </c>
      <c r="CB230" t="s">
        <v>408</v>
      </c>
      <c r="CC230" t="s">
        <v>597</v>
      </c>
      <c r="CD230" t="s">
        <v>346</v>
      </c>
      <c r="CE230" t="s">
        <v>592</v>
      </c>
      <c r="CF230" t="s">
        <v>596</v>
      </c>
      <c r="CG230" s="32" t="s">
        <v>407</v>
      </c>
      <c r="CH230" t="s">
        <v>411</v>
      </c>
      <c r="CI230" t="s">
        <v>407</v>
      </c>
      <c r="CJ230" t="s">
        <v>408</v>
      </c>
      <c r="CK230" s="32" t="s">
        <v>407</v>
      </c>
      <c r="CL230" t="s">
        <v>29</v>
      </c>
      <c r="CM230" t="s">
        <v>407</v>
      </c>
      <c r="CN230" t="s">
        <v>408</v>
      </c>
      <c r="CO230" t="s">
        <v>597</v>
      </c>
      <c r="CP230" t="s">
        <v>346</v>
      </c>
      <c r="CQ230" t="s">
        <v>592</v>
      </c>
      <c r="CR230" t="s">
        <v>596</v>
      </c>
      <c r="CS230" s="32" t="s">
        <v>407</v>
      </c>
      <c r="CT230" t="s">
        <v>475</v>
      </c>
      <c r="CU230" t="s">
        <v>407</v>
      </c>
      <c r="CV230" t="s">
        <v>408</v>
      </c>
      <c r="CW230" s="32" t="s">
        <v>407</v>
      </c>
      <c r="CX230" t="s">
        <v>83</v>
      </c>
      <c r="CY230" t="s">
        <v>407</v>
      </c>
      <c r="CZ230" t="s">
        <v>408</v>
      </c>
      <c r="DA230" t="s">
        <v>407</v>
      </c>
      <c r="DB230" t="s">
        <v>598</v>
      </c>
      <c r="DC230" t="s">
        <v>407</v>
      </c>
      <c r="DD230" t="s">
        <v>599</v>
      </c>
      <c r="DE230" t="str">
        <f t="shared" si="7"/>
        <v>%IF(K75%"Poplar","PAINT",IF(K75%"Red Oak","SGO",IF(K75%"Maple","SM","SPPN")))</v>
      </c>
      <c r="DO230" t="s">
        <v>528</v>
      </c>
    </row>
    <row r="231" spans="6:119" x14ac:dyDescent="0.25">
      <c r="F231" t="s">
        <v>215</v>
      </c>
      <c r="H231" t="s">
        <v>275</v>
      </c>
      <c r="M231" t="s">
        <v>337</v>
      </c>
      <c r="O231" t="s">
        <v>341</v>
      </c>
      <c r="T231" t="s">
        <v>344</v>
      </c>
      <c r="U231" t="s">
        <v>345</v>
      </c>
      <c r="V231" t="s">
        <v>346</v>
      </c>
      <c r="W231" t="s">
        <v>403</v>
      </c>
      <c r="X231" t="s">
        <v>344</v>
      </c>
      <c r="Y231" t="s">
        <v>407</v>
      </c>
      <c r="Z231" t="s">
        <v>27</v>
      </c>
      <c r="AA231" t="s">
        <v>407</v>
      </c>
      <c r="AB231" t="s">
        <v>408</v>
      </c>
      <c r="AC231" t="s">
        <v>407</v>
      </c>
      <c r="AD231" t="s">
        <v>27</v>
      </c>
      <c r="AE231" t="s">
        <v>407</v>
      </c>
      <c r="AF231" t="s">
        <v>408</v>
      </c>
      <c r="AG231" t="s">
        <v>345</v>
      </c>
      <c r="AH231" t="s">
        <v>346</v>
      </c>
      <c r="AI231" t="s">
        <v>403</v>
      </c>
      <c r="AJ231" t="s">
        <v>344</v>
      </c>
      <c r="AK231" t="s">
        <v>407</v>
      </c>
      <c r="AL231" t="s">
        <v>279</v>
      </c>
      <c r="AM231" t="s">
        <v>407</v>
      </c>
      <c r="AN231" t="s">
        <v>408</v>
      </c>
      <c r="AO231" t="s">
        <v>407</v>
      </c>
      <c r="AP231" t="s">
        <v>53</v>
      </c>
      <c r="AQ231" t="s">
        <v>407</v>
      </c>
      <c r="AR231" t="s">
        <v>408</v>
      </c>
      <c r="AS231" t="s">
        <v>407</v>
      </c>
      <c r="AT231" t="s">
        <v>407</v>
      </c>
      <c r="AU231" t="s">
        <v>409</v>
      </c>
      <c r="AV231" t="s">
        <v>409</v>
      </c>
      <c r="AW231" t="str">
        <f t="shared" si="6"/>
        <v>#if(J75#"JE","JE",if(J75#"Drilled","JC",""))</v>
      </c>
      <c r="BC231" t="s">
        <v>469</v>
      </c>
      <c r="BJ231" t="s">
        <v>532</v>
      </c>
      <c r="BQ231" t="s">
        <v>600</v>
      </c>
      <c r="BR231" t="s">
        <v>346</v>
      </c>
      <c r="BS231" t="s">
        <v>592</v>
      </c>
      <c r="BT231" t="s">
        <v>596</v>
      </c>
      <c r="BU231" t="s">
        <v>407</v>
      </c>
      <c r="BV231" t="s">
        <v>157</v>
      </c>
      <c r="BW231" t="s">
        <v>407</v>
      </c>
      <c r="BX231" t="s">
        <v>408</v>
      </c>
      <c r="BY231" t="s">
        <v>407</v>
      </c>
      <c r="BZ231" t="s">
        <v>80</v>
      </c>
      <c r="CA231" t="s">
        <v>407</v>
      </c>
      <c r="CB231" t="s">
        <v>408</v>
      </c>
      <c r="CC231" t="s">
        <v>597</v>
      </c>
      <c r="CD231" t="s">
        <v>346</v>
      </c>
      <c r="CE231" t="s">
        <v>592</v>
      </c>
      <c r="CF231" t="s">
        <v>596</v>
      </c>
      <c r="CG231" s="32" t="s">
        <v>407</v>
      </c>
      <c r="CH231" t="s">
        <v>411</v>
      </c>
      <c r="CI231" t="s">
        <v>407</v>
      </c>
      <c r="CJ231" t="s">
        <v>408</v>
      </c>
      <c r="CK231" s="32" t="s">
        <v>407</v>
      </c>
      <c r="CL231" t="s">
        <v>29</v>
      </c>
      <c r="CM231" t="s">
        <v>407</v>
      </c>
      <c r="CN231" t="s">
        <v>408</v>
      </c>
      <c r="CO231" t="s">
        <v>597</v>
      </c>
      <c r="CP231" t="s">
        <v>346</v>
      </c>
      <c r="CQ231" t="s">
        <v>592</v>
      </c>
      <c r="CR231" t="s">
        <v>596</v>
      </c>
      <c r="CS231" s="32" t="s">
        <v>407</v>
      </c>
      <c r="CT231" t="s">
        <v>475</v>
      </c>
      <c r="CU231" t="s">
        <v>407</v>
      </c>
      <c r="CV231" t="s">
        <v>408</v>
      </c>
      <c r="CW231" s="32" t="s">
        <v>407</v>
      </c>
      <c r="CX231" t="s">
        <v>83</v>
      </c>
      <c r="CY231" t="s">
        <v>407</v>
      </c>
      <c r="CZ231" t="s">
        <v>408</v>
      </c>
      <c r="DA231" t="s">
        <v>407</v>
      </c>
      <c r="DB231" t="s">
        <v>598</v>
      </c>
      <c r="DC231" t="s">
        <v>407</v>
      </c>
      <c r="DD231" t="s">
        <v>599</v>
      </c>
      <c r="DE231" t="str">
        <f t="shared" si="7"/>
        <v>%IF(K75%"Poplar","PAINT",IF(K75%"Red Oak","SGO",IF(K75%"Maple","SM","SPPN")))</v>
      </c>
      <c r="DO231" t="s">
        <v>529</v>
      </c>
    </row>
    <row r="232" spans="6:119" x14ac:dyDescent="0.25">
      <c r="F232" t="s">
        <v>215</v>
      </c>
      <c r="H232" t="s">
        <v>275</v>
      </c>
      <c r="M232" t="s">
        <v>337</v>
      </c>
      <c r="O232" t="s">
        <v>341</v>
      </c>
      <c r="T232" t="s">
        <v>344</v>
      </c>
      <c r="U232" t="s">
        <v>345</v>
      </c>
      <c r="V232" t="s">
        <v>346</v>
      </c>
      <c r="W232" t="s">
        <v>403</v>
      </c>
      <c r="X232" t="s">
        <v>344</v>
      </c>
      <c r="Y232" t="s">
        <v>407</v>
      </c>
      <c r="Z232" t="s">
        <v>27</v>
      </c>
      <c r="AA232" t="s">
        <v>407</v>
      </c>
      <c r="AB232" t="s">
        <v>408</v>
      </c>
      <c r="AC232" t="s">
        <v>407</v>
      </c>
      <c r="AD232" t="s">
        <v>27</v>
      </c>
      <c r="AE232" t="s">
        <v>407</v>
      </c>
      <c r="AF232" t="s">
        <v>408</v>
      </c>
      <c r="AG232" t="s">
        <v>345</v>
      </c>
      <c r="AH232" t="s">
        <v>346</v>
      </c>
      <c r="AI232" t="s">
        <v>403</v>
      </c>
      <c r="AJ232" t="s">
        <v>344</v>
      </c>
      <c r="AK232" t="s">
        <v>407</v>
      </c>
      <c r="AL232" t="s">
        <v>279</v>
      </c>
      <c r="AM232" t="s">
        <v>407</v>
      </c>
      <c r="AN232" t="s">
        <v>408</v>
      </c>
      <c r="AO232" t="s">
        <v>407</v>
      </c>
      <c r="AP232" t="s">
        <v>53</v>
      </c>
      <c r="AQ232" t="s">
        <v>407</v>
      </c>
      <c r="AR232" t="s">
        <v>408</v>
      </c>
      <c r="AS232" t="s">
        <v>407</v>
      </c>
      <c r="AT232" t="s">
        <v>407</v>
      </c>
      <c r="AU232" t="s">
        <v>409</v>
      </c>
      <c r="AV232" t="s">
        <v>409</v>
      </c>
      <c r="AW232" t="str">
        <f t="shared" si="6"/>
        <v>#if(J75#"JE","JE",if(J75#"Drilled","JC",""))</v>
      </c>
      <c r="BC232" t="s">
        <v>469</v>
      </c>
      <c r="BJ232" t="s">
        <v>532</v>
      </c>
      <c r="BQ232" t="s">
        <v>600</v>
      </c>
      <c r="BR232" t="s">
        <v>346</v>
      </c>
      <c r="BS232" t="s">
        <v>592</v>
      </c>
      <c r="BT232" t="s">
        <v>596</v>
      </c>
      <c r="BU232" t="s">
        <v>407</v>
      </c>
      <c r="BV232" t="s">
        <v>157</v>
      </c>
      <c r="BW232" t="s">
        <v>407</v>
      </c>
      <c r="BX232" t="s">
        <v>408</v>
      </c>
      <c r="BY232" t="s">
        <v>407</v>
      </c>
      <c r="BZ232" t="s">
        <v>80</v>
      </c>
      <c r="CA232" t="s">
        <v>407</v>
      </c>
      <c r="CB232" t="s">
        <v>408</v>
      </c>
      <c r="CC232" t="s">
        <v>597</v>
      </c>
      <c r="CD232" t="s">
        <v>346</v>
      </c>
      <c r="CE232" t="s">
        <v>592</v>
      </c>
      <c r="CF232" t="s">
        <v>596</v>
      </c>
      <c r="CG232" s="32" t="s">
        <v>407</v>
      </c>
      <c r="CH232" t="s">
        <v>411</v>
      </c>
      <c r="CI232" t="s">
        <v>407</v>
      </c>
      <c r="CJ232" t="s">
        <v>408</v>
      </c>
      <c r="CK232" s="32" t="s">
        <v>407</v>
      </c>
      <c r="CL232" t="s">
        <v>29</v>
      </c>
      <c r="CM232" t="s">
        <v>407</v>
      </c>
      <c r="CN232" t="s">
        <v>408</v>
      </c>
      <c r="CO232" t="s">
        <v>597</v>
      </c>
      <c r="CP232" t="s">
        <v>346</v>
      </c>
      <c r="CQ232" t="s">
        <v>592</v>
      </c>
      <c r="CR232" t="s">
        <v>596</v>
      </c>
      <c r="CS232" s="32" t="s">
        <v>407</v>
      </c>
      <c r="CT232" t="s">
        <v>475</v>
      </c>
      <c r="CU232" t="s">
        <v>407</v>
      </c>
      <c r="CV232" t="s">
        <v>408</v>
      </c>
      <c r="CW232" s="32" t="s">
        <v>407</v>
      </c>
      <c r="CX232" t="s">
        <v>83</v>
      </c>
      <c r="CY232" t="s">
        <v>407</v>
      </c>
      <c r="CZ232" t="s">
        <v>408</v>
      </c>
      <c r="DA232" t="s">
        <v>407</v>
      </c>
      <c r="DB232" t="s">
        <v>598</v>
      </c>
      <c r="DC232" t="s">
        <v>407</v>
      </c>
      <c r="DD232" t="s">
        <v>599</v>
      </c>
      <c r="DE232" t="str">
        <f t="shared" si="7"/>
        <v>%IF(K75%"Poplar","PAINT",IF(K75%"Red Oak","SGO",IF(K75%"Maple","SM","SPPN")))</v>
      </c>
      <c r="DO232" t="s">
        <v>529</v>
      </c>
    </row>
    <row r="233" spans="6:119" x14ac:dyDescent="0.25">
      <c r="F233" t="s">
        <v>216</v>
      </c>
      <c r="H233" t="s">
        <v>276</v>
      </c>
      <c r="M233" t="s">
        <v>338</v>
      </c>
      <c r="O233" t="s">
        <v>341</v>
      </c>
      <c r="T233" t="s">
        <v>344</v>
      </c>
      <c r="U233" t="s">
        <v>345</v>
      </c>
      <c r="V233" t="s">
        <v>346</v>
      </c>
      <c r="W233" t="s">
        <v>404</v>
      </c>
      <c r="X233" t="s">
        <v>344</v>
      </c>
      <c r="Y233" t="s">
        <v>407</v>
      </c>
      <c r="Z233" t="s">
        <v>27</v>
      </c>
      <c r="AA233" t="s">
        <v>407</v>
      </c>
      <c r="AB233" t="s">
        <v>408</v>
      </c>
      <c r="AC233" t="s">
        <v>407</v>
      </c>
      <c r="AD233" t="s">
        <v>27</v>
      </c>
      <c r="AE233" t="s">
        <v>407</v>
      </c>
      <c r="AF233" t="s">
        <v>408</v>
      </c>
      <c r="AG233" t="s">
        <v>345</v>
      </c>
      <c r="AH233" t="s">
        <v>346</v>
      </c>
      <c r="AI233" t="s">
        <v>404</v>
      </c>
      <c r="AJ233" t="s">
        <v>344</v>
      </c>
      <c r="AK233" t="s">
        <v>407</v>
      </c>
      <c r="AL233" t="s">
        <v>279</v>
      </c>
      <c r="AM233" t="s">
        <v>407</v>
      </c>
      <c r="AN233" t="s">
        <v>408</v>
      </c>
      <c r="AO233" t="s">
        <v>407</v>
      </c>
      <c r="AP233" t="s">
        <v>53</v>
      </c>
      <c r="AQ233" t="s">
        <v>407</v>
      </c>
      <c r="AR233" t="s">
        <v>408</v>
      </c>
      <c r="AS233" t="s">
        <v>407</v>
      </c>
      <c r="AT233" t="s">
        <v>407</v>
      </c>
      <c r="AU233" t="s">
        <v>409</v>
      </c>
      <c r="AV233" t="s">
        <v>409</v>
      </c>
      <c r="AW233" t="str">
        <f t="shared" si="6"/>
        <v>#if(J76#"JE","JE",if(J76#"Drilled","JC",""))</v>
      </c>
      <c r="BC233" t="s">
        <v>470</v>
      </c>
      <c r="BJ233" t="s">
        <v>533</v>
      </c>
      <c r="BQ233" t="s">
        <v>600</v>
      </c>
      <c r="BR233" t="s">
        <v>346</v>
      </c>
      <c r="BS233" t="s">
        <v>593</v>
      </c>
      <c r="BT233" t="s">
        <v>596</v>
      </c>
      <c r="BU233" t="s">
        <v>407</v>
      </c>
      <c r="BV233" t="s">
        <v>157</v>
      </c>
      <c r="BW233" t="s">
        <v>407</v>
      </c>
      <c r="BX233" t="s">
        <v>408</v>
      </c>
      <c r="BY233" t="s">
        <v>407</v>
      </c>
      <c r="BZ233" t="s">
        <v>80</v>
      </c>
      <c r="CA233" t="s">
        <v>407</v>
      </c>
      <c r="CB233" t="s">
        <v>408</v>
      </c>
      <c r="CC233" t="s">
        <v>597</v>
      </c>
      <c r="CD233" t="s">
        <v>346</v>
      </c>
      <c r="CE233" t="s">
        <v>593</v>
      </c>
      <c r="CF233" t="s">
        <v>596</v>
      </c>
      <c r="CG233" s="32" t="s">
        <v>407</v>
      </c>
      <c r="CH233" t="s">
        <v>411</v>
      </c>
      <c r="CI233" t="s">
        <v>407</v>
      </c>
      <c r="CJ233" t="s">
        <v>408</v>
      </c>
      <c r="CK233" s="32" t="s">
        <v>407</v>
      </c>
      <c r="CL233" t="s">
        <v>29</v>
      </c>
      <c r="CM233" t="s">
        <v>407</v>
      </c>
      <c r="CN233" t="s">
        <v>408</v>
      </c>
      <c r="CO233" t="s">
        <v>597</v>
      </c>
      <c r="CP233" t="s">
        <v>346</v>
      </c>
      <c r="CQ233" t="s">
        <v>593</v>
      </c>
      <c r="CR233" t="s">
        <v>596</v>
      </c>
      <c r="CS233" s="32" t="s">
        <v>407</v>
      </c>
      <c r="CT233" t="s">
        <v>475</v>
      </c>
      <c r="CU233" t="s">
        <v>407</v>
      </c>
      <c r="CV233" t="s">
        <v>408</v>
      </c>
      <c r="CW233" s="32" t="s">
        <v>407</v>
      </c>
      <c r="CX233" t="s">
        <v>83</v>
      </c>
      <c r="CY233" t="s">
        <v>407</v>
      </c>
      <c r="CZ233" t="s">
        <v>408</v>
      </c>
      <c r="DA233" t="s">
        <v>407</v>
      </c>
      <c r="DB233" t="s">
        <v>598</v>
      </c>
      <c r="DC233" t="s">
        <v>407</v>
      </c>
      <c r="DD233" t="s">
        <v>599</v>
      </c>
      <c r="DE233" t="str">
        <f t="shared" si="7"/>
        <v>%IF(K76%"Poplar","PAINT",IF(K76%"Red Oak","SGO",IF(K76%"Maple","SM","SPPN")))</v>
      </c>
      <c r="DO233" t="s">
        <v>529</v>
      </c>
    </row>
    <row r="234" spans="6:119" x14ac:dyDescent="0.25">
      <c r="F234" t="s">
        <v>216</v>
      </c>
      <c r="H234" t="s">
        <v>276</v>
      </c>
      <c r="M234" t="s">
        <v>338</v>
      </c>
      <c r="O234" t="s">
        <v>341</v>
      </c>
      <c r="T234" t="s">
        <v>344</v>
      </c>
      <c r="U234" t="s">
        <v>345</v>
      </c>
      <c r="V234" t="s">
        <v>346</v>
      </c>
      <c r="W234" t="s">
        <v>404</v>
      </c>
      <c r="X234" t="s">
        <v>344</v>
      </c>
      <c r="Y234" t="s">
        <v>407</v>
      </c>
      <c r="Z234" t="s">
        <v>27</v>
      </c>
      <c r="AA234" t="s">
        <v>407</v>
      </c>
      <c r="AB234" t="s">
        <v>408</v>
      </c>
      <c r="AC234" t="s">
        <v>407</v>
      </c>
      <c r="AD234" t="s">
        <v>27</v>
      </c>
      <c r="AE234" t="s">
        <v>407</v>
      </c>
      <c r="AF234" t="s">
        <v>408</v>
      </c>
      <c r="AG234" t="s">
        <v>345</v>
      </c>
      <c r="AH234" t="s">
        <v>346</v>
      </c>
      <c r="AI234" t="s">
        <v>404</v>
      </c>
      <c r="AJ234" t="s">
        <v>344</v>
      </c>
      <c r="AK234" t="s">
        <v>407</v>
      </c>
      <c r="AL234" t="s">
        <v>279</v>
      </c>
      <c r="AM234" t="s">
        <v>407</v>
      </c>
      <c r="AN234" t="s">
        <v>408</v>
      </c>
      <c r="AO234" t="s">
        <v>407</v>
      </c>
      <c r="AP234" t="s">
        <v>53</v>
      </c>
      <c r="AQ234" t="s">
        <v>407</v>
      </c>
      <c r="AR234" t="s">
        <v>408</v>
      </c>
      <c r="AS234" t="s">
        <v>407</v>
      </c>
      <c r="AT234" t="s">
        <v>407</v>
      </c>
      <c r="AU234" t="s">
        <v>409</v>
      </c>
      <c r="AV234" t="s">
        <v>409</v>
      </c>
      <c r="AW234" t="str">
        <f t="shared" si="6"/>
        <v>#if(J76#"JE","JE",if(J76#"Drilled","JC",""))</v>
      </c>
      <c r="BC234" t="s">
        <v>470</v>
      </c>
      <c r="BJ234" t="s">
        <v>533</v>
      </c>
      <c r="BQ234" t="s">
        <v>600</v>
      </c>
      <c r="BR234" t="s">
        <v>346</v>
      </c>
      <c r="BS234" t="s">
        <v>593</v>
      </c>
      <c r="BT234" t="s">
        <v>596</v>
      </c>
      <c r="BU234" t="s">
        <v>407</v>
      </c>
      <c r="BV234" t="s">
        <v>157</v>
      </c>
      <c r="BW234" t="s">
        <v>407</v>
      </c>
      <c r="BX234" t="s">
        <v>408</v>
      </c>
      <c r="BY234" t="s">
        <v>407</v>
      </c>
      <c r="BZ234" t="s">
        <v>80</v>
      </c>
      <c r="CA234" t="s">
        <v>407</v>
      </c>
      <c r="CB234" t="s">
        <v>408</v>
      </c>
      <c r="CC234" t="s">
        <v>597</v>
      </c>
      <c r="CD234" t="s">
        <v>346</v>
      </c>
      <c r="CE234" t="s">
        <v>593</v>
      </c>
      <c r="CF234" t="s">
        <v>596</v>
      </c>
      <c r="CG234" s="32" t="s">
        <v>407</v>
      </c>
      <c r="CH234" t="s">
        <v>411</v>
      </c>
      <c r="CI234" t="s">
        <v>407</v>
      </c>
      <c r="CJ234" t="s">
        <v>408</v>
      </c>
      <c r="CK234" s="32" t="s">
        <v>407</v>
      </c>
      <c r="CL234" t="s">
        <v>29</v>
      </c>
      <c r="CM234" t="s">
        <v>407</v>
      </c>
      <c r="CN234" t="s">
        <v>408</v>
      </c>
      <c r="CO234" t="s">
        <v>597</v>
      </c>
      <c r="CP234" t="s">
        <v>346</v>
      </c>
      <c r="CQ234" t="s">
        <v>593</v>
      </c>
      <c r="CR234" t="s">
        <v>596</v>
      </c>
      <c r="CS234" s="32" t="s">
        <v>407</v>
      </c>
      <c r="CT234" t="s">
        <v>475</v>
      </c>
      <c r="CU234" t="s">
        <v>407</v>
      </c>
      <c r="CV234" t="s">
        <v>408</v>
      </c>
      <c r="CW234" s="32" t="s">
        <v>407</v>
      </c>
      <c r="CX234" t="s">
        <v>83</v>
      </c>
      <c r="CY234" t="s">
        <v>407</v>
      </c>
      <c r="CZ234" t="s">
        <v>408</v>
      </c>
      <c r="DA234" t="s">
        <v>407</v>
      </c>
      <c r="DB234" t="s">
        <v>598</v>
      </c>
      <c r="DC234" t="s">
        <v>407</v>
      </c>
      <c r="DD234" t="s">
        <v>599</v>
      </c>
      <c r="DE234" t="str">
        <f t="shared" si="7"/>
        <v>%IF(K76%"Poplar","PAINT",IF(K76%"Red Oak","SGO",IF(K76%"Maple","SM","SPPN")))</v>
      </c>
      <c r="DO234" t="s">
        <v>529</v>
      </c>
    </row>
    <row r="235" spans="6:119" x14ac:dyDescent="0.25">
      <c r="F235" t="s">
        <v>216</v>
      </c>
      <c r="H235" t="s">
        <v>276</v>
      </c>
      <c r="M235" t="s">
        <v>338</v>
      </c>
      <c r="O235" t="s">
        <v>341</v>
      </c>
      <c r="T235" t="s">
        <v>344</v>
      </c>
      <c r="U235" t="s">
        <v>345</v>
      </c>
      <c r="V235" t="s">
        <v>346</v>
      </c>
      <c r="W235" t="s">
        <v>404</v>
      </c>
      <c r="X235" t="s">
        <v>344</v>
      </c>
      <c r="Y235" t="s">
        <v>407</v>
      </c>
      <c r="Z235" t="s">
        <v>27</v>
      </c>
      <c r="AA235" t="s">
        <v>407</v>
      </c>
      <c r="AB235" t="s">
        <v>408</v>
      </c>
      <c r="AC235" t="s">
        <v>407</v>
      </c>
      <c r="AD235" t="s">
        <v>27</v>
      </c>
      <c r="AE235" t="s">
        <v>407</v>
      </c>
      <c r="AF235" t="s">
        <v>408</v>
      </c>
      <c r="AG235" t="s">
        <v>345</v>
      </c>
      <c r="AH235" t="s">
        <v>346</v>
      </c>
      <c r="AI235" t="s">
        <v>404</v>
      </c>
      <c r="AJ235" t="s">
        <v>344</v>
      </c>
      <c r="AK235" t="s">
        <v>407</v>
      </c>
      <c r="AL235" t="s">
        <v>279</v>
      </c>
      <c r="AM235" t="s">
        <v>407</v>
      </c>
      <c r="AN235" t="s">
        <v>408</v>
      </c>
      <c r="AO235" t="s">
        <v>407</v>
      </c>
      <c r="AP235" t="s">
        <v>53</v>
      </c>
      <c r="AQ235" t="s">
        <v>407</v>
      </c>
      <c r="AR235" t="s">
        <v>408</v>
      </c>
      <c r="AS235" t="s">
        <v>407</v>
      </c>
      <c r="AT235" t="s">
        <v>407</v>
      </c>
      <c r="AU235" t="s">
        <v>409</v>
      </c>
      <c r="AV235" t="s">
        <v>409</v>
      </c>
      <c r="AW235" t="str">
        <f t="shared" si="6"/>
        <v>#if(J76#"JE","JE",if(J76#"Drilled","JC",""))</v>
      </c>
      <c r="BC235" t="s">
        <v>470</v>
      </c>
      <c r="BJ235" t="s">
        <v>533</v>
      </c>
      <c r="BQ235" t="s">
        <v>600</v>
      </c>
      <c r="BR235" t="s">
        <v>346</v>
      </c>
      <c r="BS235" t="s">
        <v>593</v>
      </c>
      <c r="BT235" t="s">
        <v>596</v>
      </c>
      <c r="BU235" t="s">
        <v>407</v>
      </c>
      <c r="BV235" t="s">
        <v>157</v>
      </c>
      <c r="BW235" t="s">
        <v>407</v>
      </c>
      <c r="BX235" t="s">
        <v>408</v>
      </c>
      <c r="BY235" t="s">
        <v>407</v>
      </c>
      <c r="BZ235" t="s">
        <v>80</v>
      </c>
      <c r="CA235" t="s">
        <v>407</v>
      </c>
      <c r="CB235" t="s">
        <v>408</v>
      </c>
      <c r="CC235" t="s">
        <v>597</v>
      </c>
      <c r="CD235" t="s">
        <v>346</v>
      </c>
      <c r="CE235" t="s">
        <v>593</v>
      </c>
      <c r="CF235" t="s">
        <v>596</v>
      </c>
      <c r="CG235" s="32" t="s">
        <v>407</v>
      </c>
      <c r="CH235" t="s">
        <v>411</v>
      </c>
      <c r="CI235" t="s">
        <v>407</v>
      </c>
      <c r="CJ235" t="s">
        <v>408</v>
      </c>
      <c r="CK235" s="32" t="s">
        <v>407</v>
      </c>
      <c r="CL235" t="s">
        <v>29</v>
      </c>
      <c r="CM235" t="s">
        <v>407</v>
      </c>
      <c r="CN235" t="s">
        <v>408</v>
      </c>
      <c r="CO235" t="s">
        <v>597</v>
      </c>
      <c r="CP235" t="s">
        <v>346</v>
      </c>
      <c r="CQ235" t="s">
        <v>593</v>
      </c>
      <c r="CR235" t="s">
        <v>596</v>
      </c>
      <c r="CS235" s="32" t="s">
        <v>407</v>
      </c>
      <c r="CT235" t="s">
        <v>475</v>
      </c>
      <c r="CU235" t="s">
        <v>407</v>
      </c>
      <c r="CV235" t="s">
        <v>408</v>
      </c>
      <c r="CW235" s="32" t="s">
        <v>407</v>
      </c>
      <c r="CX235" t="s">
        <v>83</v>
      </c>
      <c r="CY235" t="s">
        <v>407</v>
      </c>
      <c r="CZ235" t="s">
        <v>408</v>
      </c>
      <c r="DA235" t="s">
        <v>407</v>
      </c>
      <c r="DB235" t="s">
        <v>598</v>
      </c>
      <c r="DC235" t="s">
        <v>407</v>
      </c>
      <c r="DD235" t="s">
        <v>599</v>
      </c>
      <c r="DE235" t="str">
        <f t="shared" si="7"/>
        <v>%IF(K76%"Poplar","PAINT",IF(K76%"Red Oak","SGO",IF(K76%"Maple","SM","SPPN")))</v>
      </c>
      <c r="DO235" t="s">
        <v>530</v>
      </c>
    </row>
    <row r="236" spans="6:119" x14ac:dyDescent="0.25">
      <c r="F236" t="s">
        <v>216</v>
      </c>
      <c r="H236" t="s">
        <v>276</v>
      </c>
      <c r="M236" t="s">
        <v>338</v>
      </c>
      <c r="O236" t="s">
        <v>341</v>
      </c>
      <c r="T236" t="s">
        <v>344</v>
      </c>
      <c r="U236" t="s">
        <v>345</v>
      </c>
      <c r="V236" t="s">
        <v>346</v>
      </c>
      <c r="W236" t="s">
        <v>404</v>
      </c>
      <c r="X236" t="s">
        <v>344</v>
      </c>
      <c r="Y236" t="s">
        <v>407</v>
      </c>
      <c r="Z236" t="s">
        <v>27</v>
      </c>
      <c r="AA236" t="s">
        <v>407</v>
      </c>
      <c r="AB236" t="s">
        <v>408</v>
      </c>
      <c r="AC236" t="s">
        <v>407</v>
      </c>
      <c r="AD236" t="s">
        <v>27</v>
      </c>
      <c r="AE236" t="s">
        <v>407</v>
      </c>
      <c r="AF236" t="s">
        <v>408</v>
      </c>
      <c r="AG236" t="s">
        <v>345</v>
      </c>
      <c r="AH236" t="s">
        <v>346</v>
      </c>
      <c r="AI236" t="s">
        <v>404</v>
      </c>
      <c r="AJ236" t="s">
        <v>344</v>
      </c>
      <c r="AK236" t="s">
        <v>407</v>
      </c>
      <c r="AL236" t="s">
        <v>279</v>
      </c>
      <c r="AM236" t="s">
        <v>407</v>
      </c>
      <c r="AN236" t="s">
        <v>408</v>
      </c>
      <c r="AO236" t="s">
        <v>407</v>
      </c>
      <c r="AP236" t="s">
        <v>53</v>
      </c>
      <c r="AQ236" t="s">
        <v>407</v>
      </c>
      <c r="AR236" t="s">
        <v>408</v>
      </c>
      <c r="AS236" t="s">
        <v>407</v>
      </c>
      <c r="AT236" t="s">
        <v>407</v>
      </c>
      <c r="AU236" t="s">
        <v>409</v>
      </c>
      <c r="AV236" t="s">
        <v>409</v>
      </c>
      <c r="AW236" t="str">
        <f t="shared" si="6"/>
        <v>#if(J76#"JE","JE",if(J76#"Drilled","JC",""))</v>
      </c>
      <c r="BC236" t="s">
        <v>470</v>
      </c>
      <c r="BJ236" t="s">
        <v>533</v>
      </c>
      <c r="BQ236" t="s">
        <v>600</v>
      </c>
      <c r="BR236" t="s">
        <v>346</v>
      </c>
      <c r="BS236" t="s">
        <v>593</v>
      </c>
      <c r="BT236" t="s">
        <v>596</v>
      </c>
      <c r="BU236" t="s">
        <v>407</v>
      </c>
      <c r="BV236" t="s">
        <v>157</v>
      </c>
      <c r="BW236" t="s">
        <v>407</v>
      </c>
      <c r="BX236" t="s">
        <v>408</v>
      </c>
      <c r="BY236" t="s">
        <v>407</v>
      </c>
      <c r="BZ236" t="s">
        <v>80</v>
      </c>
      <c r="CA236" t="s">
        <v>407</v>
      </c>
      <c r="CB236" t="s">
        <v>408</v>
      </c>
      <c r="CC236" t="s">
        <v>597</v>
      </c>
      <c r="CD236" t="s">
        <v>346</v>
      </c>
      <c r="CE236" t="s">
        <v>593</v>
      </c>
      <c r="CF236" t="s">
        <v>596</v>
      </c>
      <c r="CG236" s="32" t="s">
        <v>407</v>
      </c>
      <c r="CH236" t="s">
        <v>411</v>
      </c>
      <c r="CI236" t="s">
        <v>407</v>
      </c>
      <c r="CJ236" t="s">
        <v>408</v>
      </c>
      <c r="CK236" s="32" t="s">
        <v>407</v>
      </c>
      <c r="CL236" t="s">
        <v>29</v>
      </c>
      <c r="CM236" t="s">
        <v>407</v>
      </c>
      <c r="CN236" t="s">
        <v>408</v>
      </c>
      <c r="CO236" t="s">
        <v>597</v>
      </c>
      <c r="CP236" t="s">
        <v>346</v>
      </c>
      <c r="CQ236" t="s">
        <v>593</v>
      </c>
      <c r="CR236" t="s">
        <v>596</v>
      </c>
      <c r="CS236" s="32" t="s">
        <v>407</v>
      </c>
      <c r="CT236" t="s">
        <v>475</v>
      </c>
      <c r="CU236" t="s">
        <v>407</v>
      </c>
      <c r="CV236" t="s">
        <v>408</v>
      </c>
      <c r="CW236" s="32" t="s">
        <v>407</v>
      </c>
      <c r="CX236" t="s">
        <v>83</v>
      </c>
      <c r="CY236" t="s">
        <v>407</v>
      </c>
      <c r="CZ236" t="s">
        <v>408</v>
      </c>
      <c r="DA236" t="s">
        <v>407</v>
      </c>
      <c r="DB236" t="s">
        <v>598</v>
      </c>
      <c r="DC236" t="s">
        <v>407</v>
      </c>
      <c r="DD236" t="s">
        <v>599</v>
      </c>
      <c r="DE236" t="str">
        <f t="shared" si="7"/>
        <v>%IF(K76%"Poplar","PAINT",IF(K76%"Red Oak","SGO",IF(K76%"Maple","SM","SPPN")))</v>
      </c>
      <c r="DO236" t="s">
        <v>530</v>
      </c>
    </row>
    <row r="237" spans="6:119" x14ac:dyDescent="0.25">
      <c r="F237" t="s">
        <v>217</v>
      </c>
      <c r="H237" t="s">
        <v>277</v>
      </c>
      <c r="M237" t="s">
        <v>339</v>
      </c>
      <c r="O237" t="s">
        <v>341</v>
      </c>
      <c r="T237" t="s">
        <v>344</v>
      </c>
      <c r="U237" t="s">
        <v>345</v>
      </c>
      <c r="V237" t="s">
        <v>346</v>
      </c>
      <c r="W237" t="s">
        <v>405</v>
      </c>
      <c r="X237" t="s">
        <v>344</v>
      </c>
      <c r="Y237" t="s">
        <v>407</v>
      </c>
      <c r="Z237" t="s">
        <v>27</v>
      </c>
      <c r="AA237" t="s">
        <v>407</v>
      </c>
      <c r="AB237" t="s">
        <v>408</v>
      </c>
      <c r="AC237" t="s">
        <v>407</v>
      </c>
      <c r="AD237" t="s">
        <v>27</v>
      </c>
      <c r="AE237" t="s">
        <v>407</v>
      </c>
      <c r="AF237" t="s">
        <v>408</v>
      </c>
      <c r="AG237" t="s">
        <v>345</v>
      </c>
      <c r="AH237" t="s">
        <v>346</v>
      </c>
      <c r="AI237" t="s">
        <v>405</v>
      </c>
      <c r="AJ237" t="s">
        <v>344</v>
      </c>
      <c r="AK237" t="s">
        <v>407</v>
      </c>
      <c r="AL237" t="s">
        <v>279</v>
      </c>
      <c r="AM237" t="s">
        <v>407</v>
      </c>
      <c r="AN237" t="s">
        <v>408</v>
      </c>
      <c r="AO237" t="s">
        <v>407</v>
      </c>
      <c r="AP237" t="s">
        <v>53</v>
      </c>
      <c r="AQ237" t="s">
        <v>407</v>
      </c>
      <c r="AR237" t="s">
        <v>408</v>
      </c>
      <c r="AS237" t="s">
        <v>407</v>
      </c>
      <c r="AT237" t="s">
        <v>407</v>
      </c>
      <c r="AU237" t="s">
        <v>409</v>
      </c>
      <c r="AV237" t="s">
        <v>409</v>
      </c>
      <c r="AW237" t="str">
        <f t="shared" si="6"/>
        <v>#if(J77#"JE","JE",if(J77#"Drilled","JC",""))</v>
      </c>
      <c r="BC237" t="s">
        <v>471</v>
      </c>
      <c r="BJ237" t="s">
        <v>534</v>
      </c>
      <c r="BQ237" t="s">
        <v>600</v>
      </c>
      <c r="BR237" t="s">
        <v>346</v>
      </c>
      <c r="BS237" t="s">
        <v>594</v>
      </c>
      <c r="BT237" t="s">
        <v>596</v>
      </c>
      <c r="BU237" t="s">
        <v>407</v>
      </c>
      <c r="BV237" t="s">
        <v>157</v>
      </c>
      <c r="BW237" t="s">
        <v>407</v>
      </c>
      <c r="BX237" t="s">
        <v>408</v>
      </c>
      <c r="BY237" t="s">
        <v>407</v>
      </c>
      <c r="BZ237" t="s">
        <v>80</v>
      </c>
      <c r="CA237" t="s">
        <v>407</v>
      </c>
      <c r="CB237" t="s">
        <v>408</v>
      </c>
      <c r="CC237" t="s">
        <v>597</v>
      </c>
      <c r="CD237" t="s">
        <v>346</v>
      </c>
      <c r="CE237" t="s">
        <v>594</v>
      </c>
      <c r="CF237" t="s">
        <v>596</v>
      </c>
      <c r="CG237" s="32" t="s">
        <v>407</v>
      </c>
      <c r="CH237" t="s">
        <v>411</v>
      </c>
      <c r="CI237" t="s">
        <v>407</v>
      </c>
      <c r="CJ237" t="s">
        <v>408</v>
      </c>
      <c r="CK237" s="32" t="s">
        <v>407</v>
      </c>
      <c r="CL237" t="s">
        <v>29</v>
      </c>
      <c r="CM237" t="s">
        <v>407</v>
      </c>
      <c r="CN237" t="s">
        <v>408</v>
      </c>
      <c r="CO237" t="s">
        <v>597</v>
      </c>
      <c r="CP237" t="s">
        <v>346</v>
      </c>
      <c r="CQ237" t="s">
        <v>594</v>
      </c>
      <c r="CR237" t="s">
        <v>596</v>
      </c>
      <c r="CS237" s="32" t="s">
        <v>407</v>
      </c>
      <c r="CT237" t="s">
        <v>475</v>
      </c>
      <c r="CU237" t="s">
        <v>407</v>
      </c>
      <c r="CV237" t="s">
        <v>408</v>
      </c>
      <c r="CW237" s="32" t="s">
        <v>407</v>
      </c>
      <c r="CX237" t="s">
        <v>83</v>
      </c>
      <c r="CY237" t="s">
        <v>407</v>
      </c>
      <c r="CZ237" t="s">
        <v>408</v>
      </c>
      <c r="DA237" t="s">
        <v>407</v>
      </c>
      <c r="DB237" t="s">
        <v>598</v>
      </c>
      <c r="DC237" t="s">
        <v>407</v>
      </c>
      <c r="DD237" t="s">
        <v>599</v>
      </c>
      <c r="DE237" t="str">
        <f t="shared" si="7"/>
        <v>%IF(K77%"Poplar","PAINT",IF(K77%"Red Oak","SGO",IF(K77%"Maple","SM","SPPN")))</v>
      </c>
      <c r="DO237" t="s">
        <v>530</v>
      </c>
    </row>
    <row r="238" spans="6:119" x14ac:dyDescent="0.25">
      <c r="F238" t="s">
        <v>217</v>
      </c>
      <c r="H238" t="s">
        <v>277</v>
      </c>
      <c r="M238" t="s">
        <v>339</v>
      </c>
      <c r="O238" t="s">
        <v>341</v>
      </c>
      <c r="T238" t="s">
        <v>344</v>
      </c>
      <c r="U238" t="s">
        <v>345</v>
      </c>
      <c r="V238" t="s">
        <v>346</v>
      </c>
      <c r="W238" t="s">
        <v>405</v>
      </c>
      <c r="X238" t="s">
        <v>344</v>
      </c>
      <c r="Y238" t="s">
        <v>407</v>
      </c>
      <c r="Z238" t="s">
        <v>27</v>
      </c>
      <c r="AA238" t="s">
        <v>407</v>
      </c>
      <c r="AB238" t="s">
        <v>408</v>
      </c>
      <c r="AC238" t="s">
        <v>407</v>
      </c>
      <c r="AD238" t="s">
        <v>27</v>
      </c>
      <c r="AE238" t="s">
        <v>407</v>
      </c>
      <c r="AF238" t="s">
        <v>408</v>
      </c>
      <c r="AG238" t="s">
        <v>345</v>
      </c>
      <c r="AH238" t="s">
        <v>346</v>
      </c>
      <c r="AI238" t="s">
        <v>405</v>
      </c>
      <c r="AJ238" t="s">
        <v>344</v>
      </c>
      <c r="AK238" t="s">
        <v>407</v>
      </c>
      <c r="AL238" t="s">
        <v>279</v>
      </c>
      <c r="AM238" t="s">
        <v>407</v>
      </c>
      <c r="AN238" t="s">
        <v>408</v>
      </c>
      <c r="AO238" t="s">
        <v>407</v>
      </c>
      <c r="AP238" t="s">
        <v>53</v>
      </c>
      <c r="AQ238" t="s">
        <v>407</v>
      </c>
      <c r="AR238" t="s">
        <v>408</v>
      </c>
      <c r="AS238" t="s">
        <v>407</v>
      </c>
      <c r="AT238" t="s">
        <v>407</v>
      </c>
      <c r="AU238" t="s">
        <v>409</v>
      </c>
      <c r="AV238" t="s">
        <v>409</v>
      </c>
      <c r="AW238" t="str">
        <f t="shared" si="6"/>
        <v>#if(J77#"JE","JE",if(J77#"Drilled","JC",""))</v>
      </c>
      <c r="BC238" t="s">
        <v>471</v>
      </c>
      <c r="BJ238" t="s">
        <v>534</v>
      </c>
      <c r="BQ238" t="s">
        <v>600</v>
      </c>
      <c r="BR238" t="s">
        <v>346</v>
      </c>
      <c r="BS238" t="s">
        <v>594</v>
      </c>
      <c r="BT238" t="s">
        <v>596</v>
      </c>
      <c r="BU238" t="s">
        <v>407</v>
      </c>
      <c r="BV238" t="s">
        <v>157</v>
      </c>
      <c r="BW238" t="s">
        <v>407</v>
      </c>
      <c r="BX238" t="s">
        <v>408</v>
      </c>
      <c r="BY238" t="s">
        <v>407</v>
      </c>
      <c r="BZ238" t="s">
        <v>80</v>
      </c>
      <c r="CA238" t="s">
        <v>407</v>
      </c>
      <c r="CB238" t="s">
        <v>408</v>
      </c>
      <c r="CC238" t="s">
        <v>597</v>
      </c>
      <c r="CD238" t="s">
        <v>346</v>
      </c>
      <c r="CE238" t="s">
        <v>594</v>
      </c>
      <c r="CF238" t="s">
        <v>596</v>
      </c>
      <c r="CG238" s="32" t="s">
        <v>407</v>
      </c>
      <c r="CH238" t="s">
        <v>411</v>
      </c>
      <c r="CI238" t="s">
        <v>407</v>
      </c>
      <c r="CJ238" t="s">
        <v>408</v>
      </c>
      <c r="CK238" s="32" t="s">
        <v>407</v>
      </c>
      <c r="CL238" t="s">
        <v>29</v>
      </c>
      <c r="CM238" t="s">
        <v>407</v>
      </c>
      <c r="CN238" t="s">
        <v>408</v>
      </c>
      <c r="CO238" t="s">
        <v>597</v>
      </c>
      <c r="CP238" t="s">
        <v>346</v>
      </c>
      <c r="CQ238" t="s">
        <v>594</v>
      </c>
      <c r="CR238" t="s">
        <v>596</v>
      </c>
      <c r="CS238" s="32" t="s">
        <v>407</v>
      </c>
      <c r="CT238" t="s">
        <v>475</v>
      </c>
      <c r="CU238" t="s">
        <v>407</v>
      </c>
      <c r="CV238" t="s">
        <v>408</v>
      </c>
      <c r="CW238" s="32" t="s">
        <v>407</v>
      </c>
      <c r="CX238" t="s">
        <v>83</v>
      </c>
      <c r="CY238" t="s">
        <v>407</v>
      </c>
      <c r="CZ238" t="s">
        <v>408</v>
      </c>
      <c r="DA238" t="s">
        <v>407</v>
      </c>
      <c r="DB238" t="s">
        <v>598</v>
      </c>
      <c r="DC238" t="s">
        <v>407</v>
      </c>
      <c r="DD238" t="s">
        <v>599</v>
      </c>
      <c r="DE238" t="str">
        <f t="shared" si="7"/>
        <v>%IF(K77%"Poplar","PAINT",IF(K77%"Red Oak","SGO",IF(K77%"Maple","SM","SPPN")))</v>
      </c>
      <c r="DO238" t="s">
        <v>530</v>
      </c>
    </row>
    <row r="239" spans="6:119" x14ac:dyDescent="0.25">
      <c r="F239" t="s">
        <v>217</v>
      </c>
      <c r="H239" t="s">
        <v>277</v>
      </c>
      <c r="M239" t="s">
        <v>339</v>
      </c>
      <c r="O239" t="s">
        <v>341</v>
      </c>
      <c r="T239" t="s">
        <v>344</v>
      </c>
      <c r="U239" t="s">
        <v>345</v>
      </c>
      <c r="V239" t="s">
        <v>346</v>
      </c>
      <c r="W239" t="s">
        <v>405</v>
      </c>
      <c r="X239" t="s">
        <v>344</v>
      </c>
      <c r="Y239" t="s">
        <v>407</v>
      </c>
      <c r="Z239" t="s">
        <v>27</v>
      </c>
      <c r="AA239" t="s">
        <v>407</v>
      </c>
      <c r="AB239" t="s">
        <v>408</v>
      </c>
      <c r="AC239" t="s">
        <v>407</v>
      </c>
      <c r="AD239" t="s">
        <v>27</v>
      </c>
      <c r="AE239" t="s">
        <v>407</v>
      </c>
      <c r="AF239" t="s">
        <v>408</v>
      </c>
      <c r="AG239" t="s">
        <v>345</v>
      </c>
      <c r="AH239" t="s">
        <v>346</v>
      </c>
      <c r="AI239" t="s">
        <v>405</v>
      </c>
      <c r="AJ239" t="s">
        <v>344</v>
      </c>
      <c r="AK239" t="s">
        <v>407</v>
      </c>
      <c r="AL239" t="s">
        <v>279</v>
      </c>
      <c r="AM239" t="s">
        <v>407</v>
      </c>
      <c r="AN239" t="s">
        <v>408</v>
      </c>
      <c r="AO239" t="s">
        <v>407</v>
      </c>
      <c r="AP239" t="s">
        <v>53</v>
      </c>
      <c r="AQ239" t="s">
        <v>407</v>
      </c>
      <c r="AR239" t="s">
        <v>408</v>
      </c>
      <c r="AS239" t="s">
        <v>407</v>
      </c>
      <c r="AT239" t="s">
        <v>407</v>
      </c>
      <c r="AU239" t="s">
        <v>409</v>
      </c>
      <c r="AV239" t="s">
        <v>409</v>
      </c>
      <c r="AW239" t="str">
        <f t="shared" si="6"/>
        <v>#if(J77#"JE","JE",if(J77#"Drilled","JC",""))</v>
      </c>
      <c r="BC239" t="s">
        <v>471</v>
      </c>
      <c r="BJ239" t="s">
        <v>534</v>
      </c>
      <c r="BQ239" t="s">
        <v>600</v>
      </c>
      <c r="BR239" t="s">
        <v>346</v>
      </c>
      <c r="BS239" t="s">
        <v>594</v>
      </c>
      <c r="BT239" t="s">
        <v>596</v>
      </c>
      <c r="BU239" t="s">
        <v>407</v>
      </c>
      <c r="BV239" t="s">
        <v>157</v>
      </c>
      <c r="BW239" t="s">
        <v>407</v>
      </c>
      <c r="BX239" t="s">
        <v>408</v>
      </c>
      <c r="BY239" t="s">
        <v>407</v>
      </c>
      <c r="BZ239" t="s">
        <v>80</v>
      </c>
      <c r="CA239" t="s">
        <v>407</v>
      </c>
      <c r="CB239" t="s">
        <v>408</v>
      </c>
      <c r="CC239" t="s">
        <v>597</v>
      </c>
      <c r="CD239" t="s">
        <v>346</v>
      </c>
      <c r="CE239" t="s">
        <v>594</v>
      </c>
      <c r="CF239" t="s">
        <v>596</v>
      </c>
      <c r="CG239" s="32" t="s">
        <v>407</v>
      </c>
      <c r="CH239" t="s">
        <v>411</v>
      </c>
      <c r="CI239" t="s">
        <v>407</v>
      </c>
      <c r="CJ239" t="s">
        <v>408</v>
      </c>
      <c r="CK239" s="32" t="s">
        <v>407</v>
      </c>
      <c r="CL239" t="s">
        <v>29</v>
      </c>
      <c r="CM239" t="s">
        <v>407</v>
      </c>
      <c r="CN239" t="s">
        <v>408</v>
      </c>
      <c r="CO239" t="s">
        <v>597</v>
      </c>
      <c r="CP239" t="s">
        <v>346</v>
      </c>
      <c r="CQ239" t="s">
        <v>594</v>
      </c>
      <c r="CR239" t="s">
        <v>596</v>
      </c>
      <c r="CS239" s="32" t="s">
        <v>407</v>
      </c>
      <c r="CT239" t="s">
        <v>475</v>
      </c>
      <c r="CU239" t="s">
        <v>407</v>
      </c>
      <c r="CV239" t="s">
        <v>408</v>
      </c>
      <c r="CW239" s="32" t="s">
        <v>407</v>
      </c>
      <c r="CX239" t="s">
        <v>83</v>
      </c>
      <c r="CY239" t="s">
        <v>407</v>
      </c>
      <c r="CZ239" t="s">
        <v>408</v>
      </c>
      <c r="DA239" t="s">
        <v>407</v>
      </c>
      <c r="DB239" t="s">
        <v>598</v>
      </c>
      <c r="DC239" t="s">
        <v>407</v>
      </c>
      <c r="DD239" t="s">
        <v>599</v>
      </c>
      <c r="DE239" t="str">
        <f t="shared" si="7"/>
        <v>%IF(K77%"Poplar","PAINT",IF(K77%"Red Oak","SGO",IF(K77%"Maple","SM","SPPN")))</v>
      </c>
      <c r="DO239" t="s">
        <v>531</v>
      </c>
    </row>
    <row r="240" spans="6:119" x14ac:dyDescent="0.25">
      <c r="F240" t="s">
        <v>217</v>
      </c>
      <c r="H240" t="s">
        <v>277</v>
      </c>
      <c r="M240" t="s">
        <v>339</v>
      </c>
      <c r="O240" t="s">
        <v>341</v>
      </c>
      <c r="T240" t="s">
        <v>344</v>
      </c>
      <c r="U240" t="s">
        <v>345</v>
      </c>
      <c r="V240" t="s">
        <v>346</v>
      </c>
      <c r="W240" t="s">
        <v>405</v>
      </c>
      <c r="X240" t="s">
        <v>344</v>
      </c>
      <c r="Y240" t="s">
        <v>407</v>
      </c>
      <c r="Z240" t="s">
        <v>27</v>
      </c>
      <c r="AA240" t="s">
        <v>407</v>
      </c>
      <c r="AB240" t="s">
        <v>408</v>
      </c>
      <c r="AC240" t="s">
        <v>407</v>
      </c>
      <c r="AD240" t="s">
        <v>27</v>
      </c>
      <c r="AE240" t="s">
        <v>407</v>
      </c>
      <c r="AF240" t="s">
        <v>408</v>
      </c>
      <c r="AG240" t="s">
        <v>345</v>
      </c>
      <c r="AH240" t="s">
        <v>346</v>
      </c>
      <c r="AI240" t="s">
        <v>405</v>
      </c>
      <c r="AJ240" t="s">
        <v>344</v>
      </c>
      <c r="AK240" t="s">
        <v>407</v>
      </c>
      <c r="AL240" t="s">
        <v>279</v>
      </c>
      <c r="AM240" t="s">
        <v>407</v>
      </c>
      <c r="AN240" t="s">
        <v>408</v>
      </c>
      <c r="AO240" t="s">
        <v>407</v>
      </c>
      <c r="AP240" t="s">
        <v>53</v>
      </c>
      <c r="AQ240" t="s">
        <v>407</v>
      </c>
      <c r="AR240" t="s">
        <v>408</v>
      </c>
      <c r="AS240" t="s">
        <v>407</v>
      </c>
      <c r="AT240" t="s">
        <v>407</v>
      </c>
      <c r="AU240" t="s">
        <v>409</v>
      </c>
      <c r="AV240" t="s">
        <v>409</v>
      </c>
      <c r="AW240" t="str">
        <f t="shared" si="6"/>
        <v>#if(J77#"JE","JE",if(J77#"Drilled","JC",""))</v>
      </c>
      <c r="BC240" t="s">
        <v>471</v>
      </c>
      <c r="BJ240" t="s">
        <v>534</v>
      </c>
      <c r="BQ240" t="s">
        <v>600</v>
      </c>
      <c r="BR240" t="s">
        <v>346</v>
      </c>
      <c r="BS240" t="s">
        <v>594</v>
      </c>
      <c r="BT240" t="s">
        <v>596</v>
      </c>
      <c r="BU240" t="s">
        <v>407</v>
      </c>
      <c r="BV240" t="s">
        <v>157</v>
      </c>
      <c r="BW240" t="s">
        <v>407</v>
      </c>
      <c r="BX240" t="s">
        <v>408</v>
      </c>
      <c r="BY240" t="s">
        <v>407</v>
      </c>
      <c r="BZ240" t="s">
        <v>80</v>
      </c>
      <c r="CA240" t="s">
        <v>407</v>
      </c>
      <c r="CB240" t="s">
        <v>408</v>
      </c>
      <c r="CC240" t="s">
        <v>597</v>
      </c>
      <c r="CD240" t="s">
        <v>346</v>
      </c>
      <c r="CE240" t="s">
        <v>594</v>
      </c>
      <c r="CF240" t="s">
        <v>596</v>
      </c>
      <c r="CG240" s="32" t="s">
        <v>407</v>
      </c>
      <c r="CH240" t="s">
        <v>411</v>
      </c>
      <c r="CI240" t="s">
        <v>407</v>
      </c>
      <c r="CJ240" t="s">
        <v>408</v>
      </c>
      <c r="CK240" s="32" t="s">
        <v>407</v>
      </c>
      <c r="CL240" t="s">
        <v>29</v>
      </c>
      <c r="CM240" t="s">
        <v>407</v>
      </c>
      <c r="CN240" t="s">
        <v>408</v>
      </c>
      <c r="CO240" t="s">
        <v>597</v>
      </c>
      <c r="CP240" t="s">
        <v>346</v>
      </c>
      <c r="CQ240" t="s">
        <v>594</v>
      </c>
      <c r="CR240" t="s">
        <v>596</v>
      </c>
      <c r="CS240" s="32" t="s">
        <v>407</v>
      </c>
      <c r="CT240" t="s">
        <v>475</v>
      </c>
      <c r="CU240" t="s">
        <v>407</v>
      </c>
      <c r="CV240" t="s">
        <v>408</v>
      </c>
      <c r="CW240" s="32" t="s">
        <v>407</v>
      </c>
      <c r="CX240" t="s">
        <v>83</v>
      </c>
      <c r="CY240" t="s">
        <v>407</v>
      </c>
      <c r="CZ240" t="s">
        <v>408</v>
      </c>
      <c r="DA240" t="s">
        <v>407</v>
      </c>
      <c r="DB240" t="s">
        <v>598</v>
      </c>
      <c r="DC240" t="s">
        <v>407</v>
      </c>
      <c r="DD240" t="s">
        <v>599</v>
      </c>
      <c r="DE240" t="str">
        <f t="shared" si="7"/>
        <v>%IF(K77%"Poplar","PAINT",IF(K77%"Red Oak","SGO",IF(K77%"Maple","SM","SPPN")))</v>
      </c>
      <c r="DO240" t="s">
        <v>531</v>
      </c>
    </row>
    <row r="241" spans="4:119" x14ac:dyDescent="0.25">
      <c r="F241" t="s">
        <v>218</v>
      </c>
      <c r="H241" t="s">
        <v>278</v>
      </c>
      <c r="M241" t="s">
        <v>340</v>
      </c>
      <c r="O241" t="s">
        <v>341</v>
      </c>
      <c r="T241" t="s">
        <v>344</v>
      </c>
      <c r="U241" t="s">
        <v>345</v>
      </c>
      <c r="V241" t="s">
        <v>346</v>
      </c>
      <c r="W241" t="s">
        <v>406</v>
      </c>
      <c r="X241" t="s">
        <v>344</v>
      </c>
      <c r="Y241" t="s">
        <v>407</v>
      </c>
      <c r="Z241" t="s">
        <v>27</v>
      </c>
      <c r="AA241" t="s">
        <v>407</v>
      </c>
      <c r="AB241" t="s">
        <v>408</v>
      </c>
      <c r="AC241" t="s">
        <v>407</v>
      </c>
      <c r="AD241" t="s">
        <v>27</v>
      </c>
      <c r="AE241" t="s">
        <v>407</v>
      </c>
      <c r="AF241" t="s">
        <v>408</v>
      </c>
      <c r="AG241" t="s">
        <v>345</v>
      </c>
      <c r="AH241" t="s">
        <v>346</v>
      </c>
      <c r="AI241" t="s">
        <v>406</v>
      </c>
      <c r="AJ241" t="s">
        <v>344</v>
      </c>
      <c r="AK241" t="s">
        <v>407</v>
      </c>
      <c r="AL241" t="s">
        <v>279</v>
      </c>
      <c r="AM241" t="s">
        <v>407</v>
      </c>
      <c r="AN241" t="s">
        <v>408</v>
      </c>
      <c r="AO241" t="s">
        <v>407</v>
      </c>
      <c r="AP241" t="s">
        <v>53</v>
      </c>
      <c r="AQ241" t="s">
        <v>407</v>
      </c>
      <c r="AR241" t="s">
        <v>408</v>
      </c>
      <c r="AS241" t="s">
        <v>407</v>
      </c>
      <c r="AT241" t="s">
        <v>407</v>
      </c>
      <c r="AU241" t="s">
        <v>409</v>
      </c>
      <c r="AV241" t="s">
        <v>409</v>
      </c>
      <c r="AW241" t="str">
        <f t="shared" si="6"/>
        <v>#if(J78#"JE","JE",if(J78#"Drilled","JC",""))</v>
      </c>
      <c r="BC241" t="s">
        <v>472</v>
      </c>
      <c r="BJ241" t="s">
        <v>535</v>
      </c>
      <c r="BQ241" t="s">
        <v>600</v>
      </c>
      <c r="BR241" t="s">
        <v>346</v>
      </c>
      <c r="BS241" t="s">
        <v>595</v>
      </c>
      <c r="BT241" t="s">
        <v>596</v>
      </c>
      <c r="BU241" t="s">
        <v>407</v>
      </c>
      <c r="BV241" t="s">
        <v>157</v>
      </c>
      <c r="BW241" t="s">
        <v>407</v>
      </c>
      <c r="BX241" t="s">
        <v>408</v>
      </c>
      <c r="BY241" t="s">
        <v>407</v>
      </c>
      <c r="BZ241" t="s">
        <v>80</v>
      </c>
      <c r="CA241" t="s">
        <v>407</v>
      </c>
      <c r="CB241" t="s">
        <v>408</v>
      </c>
      <c r="CC241" t="s">
        <v>597</v>
      </c>
      <c r="CD241" t="s">
        <v>346</v>
      </c>
      <c r="CE241" t="s">
        <v>595</v>
      </c>
      <c r="CF241" t="s">
        <v>596</v>
      </c>
      <c r="CG241" s="32" t="s">
        <v>407</v>
      </c>
      <c r="CH241" t="s">
        <v>411</v>
      </c>
      <c r="CI241" t="s">
        <v>407</v>
      </c>
      <c r="CJ241" t="s">
        <v>408</v>
      </c>
      <c r="CK241" s="32" t="s">
        <v>407</v>
      </c>
      <c r="CL241" t="s">
        <v>29</v>
      </c>
      <c r="CM241" t="s">
        <v>407</v>
      </c>
      <c r="CN241" t="s">
        <v>408</v>
      </c>
      <c r="CO241" t="s">
        <v>597</v>
      </c>
      <c r="CP241" t="s">
        <v>346</v>
      </c>
      <c r="CQ241" t="s">
        <v>595</v>
      </c>
      <c r="CR241" t="s">
        <v>596</v>
      </c>
      <c r="CS241" s="32" t="s">
        <v>407</v>
      </c>
      <c r="CT241" t="s">
        <v>475</v>
      </c>
      <c r="CU241" t="s">
        <v>407</v>
      </c>
      <c r="CV241" t="s">
        <v>408</v>
      </c>
      <c r="CW241" s="32" t="s">
        <v>407</v>
      </c>
      <c r="CX241" t="s">
        <v>83</v>
      </c>
      <c r="CY241" t="s">
        <v>407</v>
      </c>
      <c r="CZ241" t="s">
        <v>408</v>
      </c>
      <c r="DA241" t="s">
        <v>407</v>
      </c>
      <c r="DB241" t="s">
        <v>598</v>
      </c>
      <c r="DC241" t="s">
        <v>407</v>
      </c>
      <c r="DD241" t="s">
        <v>599</v>
      </c>
      <c r="DE241" t="str">
        <f t="shared" si="7"/>
        <v>%IF(K78%"Poplar","PAINT",IF(K78%"Red Oak","SGO",IF(K78%"Maple","SM","SPPN")))</v>
      </c>
      <c r="DO241" t="s">
        <v>531</v>
      </c>
    </row>
    <row r="242" spans="4:119" x14ac:dyDescent="0.25">
      <c r="F242" t="s">
        <v>218</v>
      </c>
      <c r="H242" t="s">
        <v>278</v>
      </c>
      <c r="M242" t="s">
        <v>340</v>
      </c>
      <c r="O242" t="s">
        <v>341</v>
      </c>
      <c r="T242" t="s">
        <v>344</v>
      </c>
      <c r="U242" t="s">
        <v>345</v>
      </c>
      <c r="V242" t="s">
        <v>346</v>
      </c>
      <c r="W242" t="s">
        <v>406</v>
      </c>
      <c r="X242" t="s">
        <v>344</v>
      </c>
      <c r="Y242" t="s">
        <v>407</v>
      </c>
      <c r="Z242" t="s">
        <v>27</v>
      </c>
      <c r="AA242" t="s">
        <v>407</v>
      </c>
      <c r="AB242" t="s">
        <v>408</v>
      </c>
      <c r="AC242" t="s">
        <v>407</v>
      </c>
      <c r="AD242" t="s">
        <v>27</v>
      </c>
      <c r="AE242" t="s">
        <v>407</v>
      </c>
      <c r="AF242" t="s">
        <v>408</v>
      </c>
      <c r="AG242" t="s">
        <v>345</v>
      </c>
      <c r="AH242" t="s">
        <v>346</v>
      </c>
      <c r="AI242" t="s">
        <v>406</v>
      </c>
      <c r="AJ242" t="s">
        <v>344</v>
      </c>
      <c r="AK242" t="s">
        <v>407</v>
      </c>
      <c r="AL242" t="s">
        <v>279</v>
      </c>
      <c r="AM242" t="s">
        <v>407</v>
      </c>
      <c r="AN242" t="s">
        <v>408</v>
      </c>
      <c r="AO242" t="s">
        <v>407</v>
      </c>
      <c r="AP242" t="s">
        <v>53</v>
      </c>
      <c r="AQ242" t="s">
        <v>407</v>
      </c>
      <c r="AR242" t="s">
        <v>408</v>
      </c>
      <c r="AS242" t="s">
        <v>407</v>
      </c>
      <c r="AT242" t="s">
        <v>407</v>
      </c>
      <c r="AU242" t="s">
        <v>409</v>
      </c>
      <c r="AV242" t="s">
        <v>409</v>
      </c>
      <c r="AW242" t="str">
        <f t="shared" si="6"/>
        <v>#if(J78#"JE","JE",if(J78#"Drilled","JC",""))</v>
      </c>
      <c r="BC242" t="s">
        <v>472</v>
      </c>
      <c r="BJ242" t="s">
        <v>535</v>
      </c>
      <c r="BQ242" t="s">
        <v>600</v>
      </c>
      <c r="BR242" t="s">
        <v>346</v>
      </c>
      <c r="BS242" t="s">
        <v>595</v>
      </c>
      <c r="BT242" t="s">
        <v>596</v>
      </c>
      <c r="BU242" t="s">
        <v>407</v>
      </c>
      <c r="BV242" t="s">
        <v>157</v>
      </c>
      <c r="BW242" t="s">
        <v>407</v>
      </c>
      <c r="BX242" t="s">
        <v>408</v>
      </c>
      <c r="BY242" t="s">
        <v>407</v>
      </c>
      <c r="BZ242" t="s">
        <v>80</v>
      </c>
      <c r="CA242" t="s">
        <v>407</v>
      </c>
      <c r="CB242" t="s">
        <v>408</v>
      </c>
      <c r="CC242" t="s">
        <v>597</v>
      </c>
      <c r="CD242" t="s">
        <v>346</v>
      </c>
      <c r="CE242" t="s">
        <v>595</v>
      </c>
      <c r="CF242" t="s">
        <v>596</v>
      </c>
      <c r="CG242" s="32" t="s">
        <v>407</v>
      </c>
      <c r="CH242" t="s">
        <v>411</v>
      </c>
      <c r="CI242" t="s">
        <v>407</v>
      </c>
      <c r="CJ242" t="s">
        <v>408</v>
      </c>
      <c r="CK242" s="32" t="s">
        <v>407</v>
      </c>
      <c r="CL242" t="s">
        <v>29</v>
      </c>
      <c r="CM242" t="s">
        <v>407</v>
      </c>
      <c r="CN242" t="s">
        <v>408</v>
      </c>
      <c r="CO242" t="s">
        <v>597</v>
      </c>
      <c r="CP242" t="s">
        <v>346</v>
      </c>
      <c r="CQ242" t="s">
        <v>595</v>
      </c>
      <c r="CR242" t="s">
        <v>596</v>
      </c>
      <c r="CS242" s="32" t="s">
        <v>407</v>
      </c>
      <c r="CT242" t="s">
        <v>475</v>
      </c>
      <c r="CU242" t="s">
        <v>407</v>
      </c>
      <c r="CV242" t="s">
        <v>408</v>
      </c>
      <c r="CW242" s="32" t="s">
        <v>407</v>
      </c>
      <c r="CX242" t="s">
        <v>83</v>
      </c>
      <c r="CY242" t="s">
        <v>407</v>
      </c>
      <c r="CZ242" t="s">
        <v>408</v>
      </c>
      <c r="DA242" t="s">
        <v>407</v>
      </c>
      <c r="DB242" t="s">
        <v>598</v>
      </c>
      <c r="DC242" t="s">
        <v>407</v>
      </c>
      <c r="DD242" t="s">
        <v>599</v>
      </c>
      <c r="DE242" t="str">
        <f t="shared" si="7"/>
        <v>%IF(K78%"Poplar","PAINT",IF(K78%"Red Oak","SGO",IF(K78%"Maple","SM","SPPN")))</v>
      </c>
      <c r="DO242" t="s">
        <v>531</v>
      </c>
    </row>
    <row r="243" spans="4:119" x14ac:dyDescent="0.25">
      <c r="F243" t="s">
        <v>218</v>
      </c>
      <c r="H243" t="s">
        <v>278</v>
      </c>
      <c r="M243" t="s">
        <v>340</v>
      </c>
      <c r="O243" t="s">
        <v>341</v>
      </c>
      <c r="T243" t="s">
        <v>344</v>
      </c>
      <c r="U243" t="s">
        <v>345</v>
      </c>
      <c r="V243" t="s">
        <v>346</v>
      </c>
      <c r="W243" t="s">
        <v>406</v>
      </c>
      <c r="X243" t="s">
        <v>344</v>
      </c>
      <c r="Y243" t="s">
        <v>407</v>
      </c>
      <c r="Z243" t="s">
        <v>27</v>
      </c>
      <c r="AA243" t="s">
        <v>407</v>
      </c>
      <c r="AB243" t="s">
        <v>408</v>
      </c>
      <c r="AC243" t="s">
        <v>407</v>
      </c>
      <c r="AD243" t="s">
        <v>27</v>
      </c>
      <c r="AE243" t="s">
        <v>407</v>
      </c>
      <c r="AF243" t="s">
        <v>408</v>
      </c>
      <c r="AG243" t="s">
        <v>345</v>
      </c>
      <c r="AH243" t="s">
        <v>346</v>
      </c>
      <c r="AI243" t="s">
        <v>406</v>
      </c>
      <c r="AJ243" t="s">
        <v>344</v>
      </c>
      <c r="AK243" t="s">
        <v>407</v>
      </c>
      <c r="AL243" t="s">
        <v>279</v>
      </c>
      <c r="AM243" t="s">
        <v>407</v>
      </c>
      <c r="AN243" t="s">
        <v>408</v>
      </c>
      <c r="AO243" t="s">
        <v>407</v>
      </c>
      <c r="AP243" t="s">
        <v>53</v>
      </c>
      <c r="AQ243" t="s">
        <v>407</v>
      </c>
      <c r="AR243" t="s">
        <v>408</v>
      </c>
      <c r="AS243" t="s">
        <v>407</v>
      </c>
      <c r="AT243" t="s">
        <v>407</v>
      </c>
      <c r="AU243" t="s">
        <v>409</v>
      </c>
      <c r="AV243" t="s">
        <v>409</v>
      </c>
      <c r="AW243" t="str">
        <f t="shared" si="6"/>
        <v>#if(J78#"JE","JE",if(J78#"Drilled","JC",""))</v>
      </c>
      <c r="BC243" t="s">
        <v>472</v>
      </c>
      <c r="BJ243" t="s">
        <v>535</v>
      </c>
      <c r="BQ243" t="s">
        <v>600</v>
      </c>
      <c r="BR243" t="s">
        <v>346</v>
      </c>
      <c r="BS243" t="s">
        <v>595</v>
      </c>
      <c r="BT243" t="s">
        <v>596</v>
      </c>
      <c r="BU243" t="s">
        <v>407</v>
      </c>
      <c r="BV243" t="s">
        <v>157</v>
      </c>
      <c r="BW243" t="s">
        <v>407</v>
      </c>
      <c r="BX243" t="s">
        <v>408</v>
      </c>
      <c r="BY243" t="s">
        <v>407</v>
      </c>
      <c r="BZ243" t="s">
        <v>80</v>
      </c>
      <c r="CA243" t="s">
        <v>407</v>
      </c>
      <c r="CB243" t="s">
        <v>408</v>
      </c>
      <c r="CC243" t="s">
        <v>597</v>
      </c>
      <c r="CD243" t="s">
        <v>346</v>
      </c>
      <c r="CE243" t="s">
        <v>595</v>
      </c>
      <c r="CF243" t="s">
        <v>596</v>
      </c>
      <c r="CG243" s="32" t="s">
        <v>407</v>
      </c>
      <c r="CH243" t="s">
        <v>411</v>
      </c>
      <c r="CI243" t="s">
        <v>407</v>
      </c>
      <c r="CJ243" t="s">
        <v>408</v>
      </c>
      <c r="CK243" s="32" t="s">
        <v>407</v>
      </c>
      <c r="CL243" t="s">
        <v>29</v>
      </c>
      <c r="CM243" t="s">
        <v>407</v>
      </c>
      <c r="CN243" t="s">
        <v>408</v>
      </c>
      <c r="CO243" t="s">
        <v>597</v>
      </c>
      <c r="CP243" t="s">
        <v>346</v>
      </c>
      <c r="CQ243" t="s">
        <v>595</v>
      </c>
      <c r="CR243" t="s">
        <v>596</v>
      </c>
      <c r="CS243" s="32" t="s">
        <v>407</v>
      </c>
      <c r="CT243" t="s">
        <v>475</v>
      </c>
      <c r="CU243" t="s">
        <v>407</v>
      </c>
      <c r="CV243" t="s">
        <v>408</v>
      </c>
      <c r="CW243" s="32" t="s">
        <v>407</v>
      </c>
      <c r="CX243" t="s">
        <v>83</v>
      </c>
      <c r="CY243" t="s">
        <v>407</v>
      </c>
      <c r="CZ243" t="s">
        <v>408</v>
      </c>
      <c r="DA243" t="s">
        <v>407</v>
      </c>
      <c r="DB243" t="s">
        <v>598</v>
      </c>
      <c r="DC243" t="s">
        <v>407</v>
      </c>
      <c r="DD243" t="s">
        <v>599</v>
      </c>
      <c r="DE243" t="str">
        <f t="shared" si="7"/>
        <v>%IF(K78%"Poplar","PAINT",IF(K78%"Red Oak","SGO",IF(K78%"Maple","SM","SPPN")))</v>
      </c>
      <c r="DO243" t="s">
        <v>532</v>
      </c>
    </row>
    <row r="244" spans="4:119" x14ac:dyDescent="0.25">
      <c r="E244">
        <v>78</v>
      </c>
      <c r="F244" t="s">
        <v>218</v>
      </c>
      <c r="H244" t="s">
        <v>278</v>
      </c>
      <c r="M244" t="s">
        <v>340</v>
      </c>
      <c r="O244" t="s">
        <v>341</v>
      </c>
      <c r="T244" t="s">
        <v>344</v>
      </c>
      <c r="U244" t="s">
        <v>345</v>
      </c>
      <c r="V244" t="s">
        <v>346</v>
      </c>
      <c r="W244" t="s">
        <v>406</v>
      </c>
      <c r="X244" t="s">
        <v>344</v>
      </c>
      <c r="Y244" t="s">
        <v>407</v>
      </c>
      <c r="Z244" t="s">
        <v>27</v>
      </c>
      <c r="AA244" t="s">
        <v>407</v>
      </c>
      <c r="AB244" t="s">
        <v>408</v>
      </c>
      <c r="AC244" t="s">
        <v>407</v>
      </c>
      <c r="AD244" t="s">
        <v>27</v>
      </c>
      <c r="AE244" t="s">
        <v>407</v>
      </c>
      <c r="AF244" t="s">
        <v>408</v>
      </c>
      <c r="AG244" t="s">
        <v>345</v>
      </c>
      <c r="AH244" t="s">
        <v>346</v>
      </c>
      <c r="AI244" t="s">
        <v>406</v>
      </c>
      <c r="AJ244" t="s">
        <v>344</v>
      </c>
      <c r="AK244" t="s">
        <v>407</v>
      </c>
      <c r="AL244" t="s">
        <v>279</v>
      </c>
      <c r="AM244" t="s">
        <v>407</v>
      </c>
      <c r="AN244" t="s">
        <v>408</v>
      </c>
      <c r="AO244" t="s">
        <v>407</v>
      </c>
      <c r="AP244" t="s">
        <v>53</v>
      </c>
      <c r="AQ244" t="s">
        <v>407</v>
      </c>
      <c r="AR244" t="s">
        <v>408</v>
      </c>
      <c r="AS244" t="s">
        <v>407</v>
      </c>
      <c r="AT244" t="s">
        <v>407</v>
      </c>
      <c r="AU244" t="s">
        <v>409</v>
      </c>
      <c r="AV244" t="s">
        <v>409</v>
      </c>
      <c r="AW244" t="str">
        <f t="shared" si="6"/>
        <v>#if(J78#"JE","JE",if(J78#"Drilled","JC",""))</v>
      </c>
      <c r="BC244" t="s">
        <v>472</v>
      </c>
      <c r="BJ244" t="s">
        <v>535</v>
      </c>
      <c r="BQ244" t="s">
        <v>600</v>
      </c>
      <c r="BR244" t="s">
        <v>346</v>
      </c>
      <c r="BS244" t="s">
        <v>595</v>
      </c>
      <c r="BT244" t="s">
        <v>596</v>
      </c>
      <c r="BU244" t="s">
        <v>407</v>
      </c>
      <c r="BV244" t="s">
        <v>157</v>
      </c>
      <c r="BW244" t="s">
        <v>407</v>
      </c>
      <c r="BX244" t="s">
        <v>408</v>
      </c>
      <c r="BY244" t="s">
        <v>407</v>
      </c>
      <c r="BZ244" t="s">
        <v>80</v>
      </c>
      <c r="CA244" t="s">
        <v>407</v>
      </c>
      <c r="CB244" t="s">
        <v>408</v>
      </c>
      <c r="CC244" t="s">
        <v>597</v>
      </c>
      <c r="CD244" t="s">
        <v>346</v>
      </c>
      <c r="CE244" t="s">
        <v>595</v>
      </c>
      <c r="CF244" t="s">
        <v>596</v>
      </c>
      <c r="CG244" s="32" t="s">
        <v>407</v>
      </c>
      <c r="CH244" t="s">
        <v>411</v>
      </c>
      <c r="CI244" t="s">
        <v>407</v>
      </c>
      <c r="CJ244" t="s">
        <v>408</v>
      </c>
      <c r="CK244" s="32" t="s">
        <v>407</v>
      </c>
      <c r="CL244" t="s">
        <v>29</v>
      </c>
      <c r="CM244" t="s">
        <v>407</v>
      </c>
      <c r="CN244" t="s">
        <v>408</v>
      </c>
      <c r="CO244" t="s">
        <v>597</v>
      </c>
      <c r="CP244" t="s">
        <v>346</v>
      </c>
      <c r="CQ244" t="s">
        <v>595</v>
      </c>
      <c r="CR244" t="s">
        <v>596</v>
      </c>
      <c r="CS244" s="32" t="s">
        <v>407</v>
      </c>
      <c r="CT244" t="s">
        <v>475</v>
      </c>
      <c r="CU244" t="s">
        <v>407</v>
      </c>
      <c r="CV244" t="s">
        <v>408</v>
      </c>
      <c r="CW244" s="32" t="s">
        <v>407</v>
      </c>
      <c r="CX244" t="s">
        <v>83</v>
      </c>
      <c r="CY244" t="s">
        <v>407</v>
      </c>
      <c r="CZ244" t="s">
        <v>408</v>
      </c>
      <c r="DA244" t="s">
        <v>407</v>
      </c>
      <c r="DB244" t="s">
        <v>598</v>
      </c>
      <c r="DC244" t="s">
        <v>407</v>
      </c>
      <c r="DD244" t="s">
        <v>599</v>
      </c>
      <c r="DE244" t="str">
        <f t="shared" si="7"/>
        <v>%IF(K78%"Poplar","PAINT",IF(K78%"Red Oak","SGO",IF(K78%"Maple","SM","SPPN")))</v>
      </c>
      <c r="DO244" t="s">
        <v>532</v>
      </c>
    </row>
    <row r="245" spans="4:119" x14ac:dyDescent="0.25">
      <c r="D245">
        <v>1</v>
      </c>
      <c r="E245">
        <f>E244+D245</f>
        <v>79</v>
      </c>
      <c r="DO245" t="s">
        <v>532</v>
      </c>
    </row>
    <row r="246" spans="4:119" x14ac:dyDescent="0.25">
      <c r="E246">
        <f t="shared" ref="E246:E309" si="8">E245+D246</f>
        <v>79</v>
      </c>
      <c r="DO246" t="s">
        <v>532</v>
      </c>
    </row>
    <row r="247" spans="4:119" x14ac:dyDescent="0.25">
      <c r="E247">
        <f t="shared" si="8"/>
        <v>79</v>
      </c>
      <c r="DO247" t="s">
        <v>533</v>
      </c>
    </row>
    <row r="248" spans="4:119" x14ac:dyDescent="0.25">
      <c r="E248">
        <f t="shared" si="8"/>
        <v>79</v>
      </c>
      <c r="DO248" t="s">
        <v>533</v>
      </c>
    </row>
    <row r="249" spans="4:119" x14ac:dyDescent="0.25">
      <c r="D249">
        <v>1</v>
      </c>
      <c r="E249">
        <f t="shared" si="8"/>
        <v>80</v>
      </c>
      <c r="DO249" t="s">
        <v>533</v>
      </c>
    </row>
    <row r="250" spans="4:119" x14ac:dyDescent="0.25">
      <c r="E250">
        <f t="shared" si="8"/>
        <v>80</v>
      </c>
      <c r="DO250" t="s">
        <v>533</v>
      </c>
    </row>
    <row r="251" spans="4:119" x14ac:dyDescent="0.25">
      <c r="E251">
        <f t="shared" si="8"/>
        <v>80</v>
      </c>
      <c r="DO251" t="s">
        <v>534</v>
      </c>
    </row>
    <row r="252" spans="4:119" x14ac:dyDescent="0.25">
      <c r="E252">
        <f t="shared" si="8"/>
        <v>80</v>
      </c>
      <c r="DO252" t="s">
        <v>534</v>
      </c>
    </row>
    <row r="253" spans="4:119" x14ac:dyDescent="0.25">
      <c r="D253">
        <v>1</v>
      </c>
      <c r="E253">
        <f t="shared" si="8"/>
        <v>81</v>
      </c>
      <c r="DO253" t="s">
        <v>534</v>
      </c>
    </row>
    <row r="254" spans="4:119" x14ac:dyDescent="0.25">
      <c r="E254">
        <f t="shared" si="8"/>
        <v>81</v>
      </c>
      <c r="DO254" t="s">
        <v>534</v>
      </c>
    </row>
    <row r="255" spans="4:119" x14ac:dyDescent="0.25">
      <c r="E255">
        <f t="shared" si="8"/>
        <v>81</v>
      </c>
      <c r="DO255" t="s">
        <v>535</v>
      </c>
    </row>
    <row r="256" spans="4:119" x14ac:dyDescent="0.25">
      <c r="E256">
        <f t="shared" si="8"/>
        <v>81</v>
      </c>
      <c r="DO256" t="s">
        <v>535</v>
      </c>
    </row>
    <row r="257" spans="4:119" x14ac:dyDescent="0.25">
      <c r="D257">
        <v>1</v>
      </c>
      <c r="E257">
        <f t="shared" si="8"/>
        <v>82</v>
      </c>
      <c r="DO257" t="s">
        <v>535</v>
      </c>
    </row>
    <row r="258" spans="4:119" x14ac:dyDescent="0.25">
      <c r="E258">
        <f t="shared" si="8"/>
        <v>82</v>
      </c>
      <c r="DO258" t="s">
        <v>535</v>
      </c>
    </row>
    <row r="259" spans="4:119" x14ac:dyDescent="0.25">
      <c r="E259">
        <f t="shared" si="8"/>
        <v>82</v>
      </c>
    </row>
    <row r="260" spans="4:119" x14ac:dyDescent="0.25">
      <c r="E260">
        <f t="shared" si="8"/>
        <v>82</v>
      </c>
    </row>
    <row r="261" spans="4:119" x14ac:dyDescent="0.25">
      <c r="D261">
        <v>1</v>
      </c>
      <c r="E261">
        <f t="shared" si="8"/>
        <v>83</v>
      </c>
    </row>
    <row r="262" spans="4:119" x14ac:dyDescent="0.25">
      <c r="E262">
        <f t="shared" si="8"/>
        <v>83</v>
      </c>
    </row>
    <row r="263" spans="4:119" x14ac:dyDescent="0.25">
      <c r="E263">
        <f t="shared" si="8"/>
        <v>83</v>
      </c>
    </row>
    <row r="264" spans="4:119" x14ac:dyDescent="0.25">
      <c r="E264">
        <f t="shared" si="8"/>
        <v>83</v>
      </c>
    </row>
    <row r="265" spans="4:119" x14ac:dyDescent="0.25">
      <c r="D265">
        <v>1</v>
      </c>
      <c r="E265">
        <f t="shared" si="8"/>
        <v>84</v>
      </c>
    </row>
    <row r="266" spans="4:119" x14ac:dyDescent="0.25">
      <c r="E266">
        <f t="shared" si="8"/>
        <v>84</v>
      </c>
    </row>
    <row r="267" spans="4:119" x14ac:dyDescent="0.25">
      <c r="E267">
        <f t="shared" si="8"/>
        <v>84</v>
      </c>
    </row>
    <row r="268" spans="4:119" x14ac:dyDescent="0.25">
      <c r="E268">
        <f t="shared" si="8"/>
        <v>84</v>
      </c>
    </row>
    <row r="269" spans="4:119" x14ac:dyDescent="0.25">
      <c r="D269">
        <v>1</v>
      </c>
      <c r="E269">
        <f t="shared" si="8"/>
        <v>85</v>
      </c>
    </row>
    <row r="270" spans="4:119" x14ac:dyDescent="0.25">
      <c r="E270">
        <f t="shared" si="8"/>
        <v>85</v>
      </c>
    </row>
    <row r="271" spans="4:119" x14ac:dyDescent="0.25">
      <c r="E271">
        <f t="shared" si="8"/>
        <v>85</v>
      </c>
    </row>
    <row r="272" spans="4:119" x14ac:dyDescent="0.25">
      <c r="E272">
        <f t="shared" si="8"/>
        <v>85</v>
      </c>
    </row>
    <row r="273" spans="4:5" x14ac:dyDescent="0.25">
      <c r="D273">
        <v>1</v>
      </c>
      <c r="E273">
        <f t="shared" si="8"/>
        <v>86</v>
      </c>
    </row>
    <row r="274" spans="4:5" x14ac:dyDescent="0.25">
      <c r="E274">
        <f t="shared" si="8"/>
        <v>86</v>
      </c>
    </row>
    <row r="275" spans="4:5" x14ac:dyDescent="0.25">
      <c r="E275">
        <f t="shared" si="8"/>
        <v>86</v>
      </c>
    </row>
    <row r="276" spans="4:5" x14ac:dyDescent="0.25">
      <c r="E276">
        <f t="shared" si="8"/>
        <v>86</v>
      </c>
    </row>
    <row r="277" spans="4:5" x14ac:dyDescent="0.25">
      <c r="D277">
        <v>1</v>
      </c>
      <c r="E277">
        <f t="shared" si="8"/>
        <v>87</v>
      </c>
    </row>
    <row r="278" spans="4:5" x14ac:dyDescent="0.25">
      <c r="E278">
        <f t="shared" si="8"/>
        <v>87</v>
      </c>
    </row>
    <row r="279" spans="4:5" x14ac:dyDescent="0.25">
      <c r="E279">
        <f t="shared" si="8"/>
        <v>87</v>
      </c>
    </row>
    <row r="280" spans="4:5" x14ac:dyDescent="0.25">
      <c r="E280">
        <f t="shared" si="8"/>
        <v>87</v>
      </c>
    </row>
    <row r="281" spans="4:5" x14ac:dyDescent="0.25">
      <c r="D281">
        <v>1</v>
      </c>
      <c r="E281">
        <f t="shared" si="8"/>
        <v>88</v>
      </c>
    </row>
    <row r="282" spans="4:5" x14ac:dyDescent="0.25">
      <c r="E282">
        <f t="shared" si="8"/>
        <v>88</v>
      </c>
    </row>
    <row r="283" spans="4:5" x14ac:dyDescent="0.25">
      <c r="E283">
        <f t="shared" si="8"/>
        <v>88</v>
      </c>
    </row>
    <row r="284" spans="4:5" x14ac:dyDescent="0.25">
      <c r="E284">
        <f t="shared" si="8"/>
        <v>88</v>
      </c>
    </row>
    <row r="285" spans="4:5" x14ac:dyDescent="0.25">
      <c r="D285">
        <v>1</v>
      </c>
      <c r="E285">
        <f t="shared" si="8"/>
        <v>89</v>
      </c>
    </row>
    <row r="286" spans="4:5" x14ac:dyDescent="0.25">
      <c r="E286">
        <f t="shared" si="8"/>
        <v>89</v>
      </c>
    </row>
    <row r="287" spans="4:5" x14ac:dyDescent="0.25">
      <c r="E287">
        <f t="shared" si="8"/>
        <v>89</v>
      </c>
    </row>
    <row r="288" spans="4:5" x14ac:dyDescent="0.25">
      <c r="E288">
        <f t="shared" si="8"/>
        <v>89</v>
      </c>
    </row>
    <row r="289" spans="4:5" x14ac:dyDescent="0.25">
      <c r="D289">
        <v>1</v>
      </c>
      <c r="E289">
        <f t="shared" si="8"/>
        <v>90</v>
      </c>
    </row>
    <row r="290" spans="4:5" x14ac:dyDescent="0.25">
      <c r="E290">
        <f t="shared" si="8"/>
        <v>90</v>
      </c>
    </row>
    <row r="291" spans="4:5" x14ac:dyDescent="0.25">
      <c r="E291">
        <f t="shared" si="8"/>
        <v>90</v>
      </c>
    </row>
    <row r="292" spans="4:5" x14ac:dyDescent="0.25">
      <c r="E292">
        <f t="shared" si="8"/>
        <v>90</v>
      </c>
    </row>
    <row r="293" spans="4:5" x14ac:dyDescent="0.25">
      <c r="D293">
        <v>1</v>
      </c>
      <c r="E293">
        <f t="shared" si="8"/>
        <v>91</v>
      </c>
    </row>
    <row r="294" spans="4:5" x14ac:dyDescent="0.25">
      <c r="E294">
        <f t="shared" si="8"/>
        <v>91</v>
      </c>
    </row>
    <row r="295" spans="4:5" x14ac:dyDescent="0.25">
      <c r="E295">
        <f t="shared" si="8"/>
        <v>91</v>
      </c>
    </row>
    <row r="296" spans="4:5" x14ac:dyDescent="0.25">
      <c r="E296">
        <f t="shared" si="8"/>
        <v>91</v>
      </c>
    </row>
    <row r="297" spans="4:5" x14ac:dyDescent="0.25">
      <c r="D297">
        <v>1</v>
      </c>
      <c r="E297">
        <f t="shared" si="8"/>
        <v>92</v>
      </c>
    </row>
    <row r="298" spans="4:5" x14ac:dyDescent="0.25">
      <c r="E298">
        <f t="shared" si="8"/>
        <v>92</v>
      </c>
    </row>
    <row r="299" spans="4:5" x14ac:dyDescent="0.25">
      <c r="E299">
        <f t="shared" si="8"/>
        <v>92</v>
      </c>
    </row>
    <row r="300" spans="4:5" x14ac:dyDescent="0.25">
      <c r="E300">
        <f t="shared" si="8"/>
        <v>92</v>
      </c>
    </row>
    <row r="301" spans="4:5" x14ac:dyDescent="0.25">
      <c r="D301">
        <v>1</v>
      </c>
      <c r="E301">
        <f t="shared" si="8"/>
        <v>93</v>
      </c>
    </row>
    <row r="302" spans="4:5" x14ac:dyDescent="0.25">
      <c r="E302">
        <f t="shared" si="8"/>
        <v>93</v>
      </c>
    </row>
    <row r="303" spans="4:5" x14ac:dyDescent="0.25">
      <c r="E303">
        <f t="shared" si="8"/>
        <v>93</v>
      </c>
    </row>
    <row r="304" spans="4:5" x14ac:dyDescent="0.25">
      <c r="E304">
        <f t="shared" si="8"/>
        <v>93</v>
      </c>
    </row>
    <row r="305" spans="4:5" x14ac:dyDescent="0.25">
      <c r="D305">
        <v>1</v>
      </c>
      <c r="E305">
        <f t="shared" si="8"/>
        <v>94</v>
      </c>
    </row>
    <row r="306" spans="4:5" x14ac:dyDescent="0.25">
      <c r="E306">
        <f t="shared" si="8"/>
        <v>94</v>
      </c>
    </row>
    <row r="307" spans="4:5" x14ac:dyDescent="0.25">
      <c r="E307">
        <f t="shared" si="8"/>
        <v>94</v>
      </c>
    </row>
    <row r="308" spans="4:5" x14ac:dyDescent="0.25">
      <c r="E308">
        <f t="shared" si="8"/>
        <v>94</v>
      </c>
    </row>
    <row r="309" spans="4:5" x14ac:dyDescent="0.25">
      <c r="D309">
        <v>1</v>
      </c>
      <c r="E309">
        <f t="shared" si="8"/>
        <v>95</v>
      </c>
    </row>
    <row r="310" spans="4:5" x14ac:dyDescent="0.25">
      <c r="E310">
        <f t="shared" ref="E310:E373" si="9">E309+D310</f>
        <v>95</v>
      </c>
    </row>
    <row r="311" spans="4:5" x14ac:dyDescent="0.25">
      <c r="E311">
        <f t="shared" si="9"/>
        <v>95</v>
      </c>
    </row>
    <row r="312" spans="4:5" x14ac:dyDescent="0.25">
      <c r="E312">
        <f t="shared" si="9"/>
        <v>95</v>
      </c>
    </row>
    <row r="313" spans="4:5" x14ac:dyDescent="0.25">
      <c r="D313">
        <v>1</v>
      </c>
      <c r="E313">
        <f t="shared" si="9"/>
        <v>96</v>
      </c>
    </row>
    <row r="314" spans="4:5" x14ac:dyDescent="0.25">
      <c r="E314">
        <f t="shared" si="9"/>
        <v>96</v>
      </c>
    </row>
    <row r="315" spans="4:5" x14ac:dyDescent="0.25">
      <c r="E315">
        <f t="shared" si="9"/>
        <v>96</v>
      </c>
    </row>
    <row r="316" spans="4:5" x14ac:dyDescent="0.25">
      <c r="E316">
        <f t="shared" si="9"/>
        <v>96</v>
      </c>
    </row>
    <row r="317" spans="4:5" x14ac:dyDescent="0.25">
      <c r="D317">
        <v>1</v>
      </c>
      <c r="E317">
        <f t="shared" si="9"/>
        <v>97</v>
      </c>
    </row>
    <row r="318" spans="4:5" x14ac:dyDescent="0.25">
      <c r="E318">
        <f t="shared" si="9"/>
        <v>97</v>
      </c>
    </row>
    <row r="319" spans="4:5" x14ac:dyDescent="0.25">
      <c r="E319">
        <f t="shared" si="9"/>
        <v>97</v>
      </c>
    </row>
    <row r="320" spans="4:5" x14ac:dyDescent="0.25">
      <c r="E320">
        <f t="shared" si="9"/>
        <v>97</v>
      </c>
    </row>
    <row r="321" spans="4:5" x14ac:dyDescent="0.25">
      <c r="D321">
        <v>1</v>
      </c>
      <c r="E321">
        <f t="shared" si="9"/>
        <v>98</v>
      </c>
    </row>
    <row r="322" spans="4:5" x14ac:dyDescent="0.25">
      <c r="E322">
        <f t="shared" si="9"/>
        <v>98</v>
      </c>
    </row>
    <row r="323" spans="4:5" x14ac:dyDescent="0.25">
      <c r="E323">
        <f t="shared" si="9"/>
        <v>98</v>
      </c>
    </row>
    <row r="324" spans="4:5" x14ac:dyDescent="0.25">
      <c r="E324">
        <f t="shared" si="9"/>
        <v>98</v>
      </c>
    </row>
    <row r="325" spans="4:5" x14ac:dyDescent="0.25">
      <c r="D325">
        <v>1</v>
      </c>
      <c r="E325">
        <f t="shared" si="9"/>
        <v>99</v>
      </c>
    </row>
    <row r="326" spans="4:5" x14ac:dyDescent="0.25">
      <c r="E326">
        <f t="shared" si="9"/>
        <v>99</v>
      </c>
    </row>
    <row r="327" spans="4:5" x14ac:dyDescent="0.25">
      <c r="E327">
        <f t="shared" si="9"/>
        <v>99</v>
      </c>
    </row>
    <row r="328" spans="4:5" x14ac:dyDescent="0.25">
      <c r="E328">
        <f t="shared" si="9"/>
        <v>99</v>
      </c>
    </row>
    <row r="329" spans="4:5" x14ac:dyDescent="0.25">
      <c r="D329">
        <v>1</v>
      </c>
      <c r="E329">
        <f t="shared" si="9"/>
        <v>100</v>
      </c>
    </row>
    <row r="330" spans="4:5" x14ac:dyDescent="0.25">
      <c r="E330">
        <f t="shared" si="9"/>
        <v>100</v>
      </c>
    </row>
    <row r="331" spans="4:5" x14ac:dyDescent="0.25">
      <c r="E331">
        <f t="shared" si="9"/>
        <v>100</v>
      </c>
    </row>
    <row r="332" spans="4:5" x14ac:dyDescent="0.25">
      <c r="E332">
        <f t="shared" si="9"/>
        <v>100</v>
      </c>
    </row>
    <row r="333" spans="4:5" x14ac:dyDescent="0.25">
      <c r="D333">
        <v>1</v>
      </c>
      <c r="E333">
        <f t="shared" si="9"/>
        <v>101</v>
      </c>
    </row>
    <row r="334" spans="4:5" x14ac:dyDescent="0.25">
      <c r="E334">
        <f t="shared" si="9"/>
        <v>101</v>
      </c>
    </row>
    <row r="335" spans="4:5" x14ac:dyDescent="0.25">
      <c r="E335">
        <f t="shared" si="9"/>
        <v>101</v>
      </c>
    </row>
    <row r="336" spans="4:5" x14ac:dyDescent="0.25">
      <c r="E336">
        <f t="shared" si="9"/>
        <v>101</v>
      </c>
    </row>
    <row r="337" spans="4:5" x14ac:dyDescent="0.25">
      <c r="D337">
        <v>1</v>
      </c>
      <c r="E337">
        <f t="shared" si="9"/>
        <v>102</v>
      </c>
    </row>
    <row r="338" spans="4:5" x14ac:dyDescent="0.25">
      <c r="E338">
        <f t="shared" si="9"/>
        <v>102</v>
      </c>
    </row>
    <row r="339" spans="4:5" x14ac:dyDescent="0.25">
      <c r="E339">
        <f t="shared" si="9"/>
        <v>102</v>
      </c>
    </row>
    <row r="340" spans="4:5" x14ac:dyDescent="0.25">
      <c r="E340">
        <f t="shared" si="9"/>
        <v>102</v>
      </c>
    </row>
    <row r="341" spans="4:5" x14ac:dyDescent="0.25">
      <c r="D341">
        <v>1</v>
      </c>
      <c r="E341">
        <f t="shared" si="9"/>
        <v>103</v>
      </c>
    </row>
    <row r="342" spans="4:5" x14ac:dyDescent="0.25">
      <c r="E342">
        <f t="shared" si="9"/>
        <v>103</v>
      </c>
    </row>
    <row r="343" spans="4:5" x14ac:dyDescent="0.25">
      <c r="E343">
        <f t="shared" si="9"/>
        <v>103</v>
      </c>
    </row>
    <row r="344" spans="4:5" x14ac:dyDescent="0.25">
      <c r="E344">
        <f t="shared" si="9"/>
        <v>103</v>
      </c>
    </row>
    <row r="345" spans="4:5" x14ac:dyDescent="0.25">
      <c r="D345">
        <v>1</v>
      </c>
      <c r="E345">
        <f t="shared" si="9"/>
        <v>104</v>
      </c>
    </row>
    <row r="346" spans="4:5" x14ac:dyDescent="0.25">
      <c r="E346">
        <f t="shared" si="9"/>
        <v>104</v>
      </c>
    </row>
    <row r="347" spans="4:5" x14ac:dyDescent="0.25">
      <c r="E347">
        <f t="shared" si="9"/>
        <v>104</v>
      </c>
    </row>
    <row r="348" spans="4:5" x14ac:dyDescent="0.25">
      <c r="E348">
        <f t="shared" si="9"/>
        <v>104</v>
      </c>
    </row>
    <row r="349" spans="4:5" x14ac:dyDescent="0.25">
      <c r="D349">
        <v>1</v>
      </c>
      <c r="E349">
        <f t="shared" si="9"/>
        <v>105</v>
      </c>
    </row>
    <row r="350" spans="4:5" x14ac:dyDescent="0.25">
      <c r="E350">
        <f t="shared" si="9"/>
        <v>105</v>
      </c>
    </row>
    <row r="351" spans="4:5" x14ac:dyDescent="0.25">
      <c r="E351">
        <f t="shared" si="9"/>
        <v>105</v>
      </c>
    </row>
    <row r="352" spans="4:5" x14ac:dyDescent="0.25">
      <c r="E352">
        <f t="shared" si="9"/>
        <v>105</v>
      </c>
    </row>
    <row r="353" spans="4:5" x14ac:dyDescent="0.25">
      <c r="D353">
        <v>1</v>
      </c>
      <c r="E353">
        <f t="shared" si="9"/>
        <v>106</v>
      </c>
    </row>
    <row r="354" spans="4:5" x14ac:dyDescent="0.25">
      <c r="E354">
        <f t="shared" si="9"/>
        <v>106</v>
      </c>
    </row>
    <row r="355" spans="4:5" x14ac:dyDescent="0.25">
      <c r="E355">
        <f t="shared" si="9"/>
        <v>106</v>
      </c>
    </row>
    <row r="356" spans="4:5" x14ac:dyDescent="0.25">
      <c r="E356">
        <f t="shared" si="9"/>
        <v>106</v>
      </c>
    </row>
    <row r="357" spans="4:5" x14ac:dyDescent="0.25">
      <c r="D357">
        <v>1</v>
      </c>
      <c r="E357">
        <f t="shared" si="9"/>
        <v>107</v>
      </c>
    </row>
    <row r="358" spans="4:5" x14ac:dyDescent="0.25">
      <c r="E358">
        <f t="shared" si="9"/>
        <v>107</v>
      </c>
    </row>
    <row r="359" spans="4:5" x14ac:dyDescent="0.25">
      <c r="E359">
        <f t="shared" si="9"/>
        <v>107</v>
      </c>
    </row>
    <row r="360" spans="4:5" x14ac:dyDescent="0.25">
      <c r="E360">
        <f t="shared" si="9"/>
        <v>107</v>
      </c>
    </row>
    <row r="361" spans="4:5" x14ac:dyDescent="0.25">
      <c r="D361">
        <v>1</v>
      </c>
      <c r="E361">
        <f t="shared" si="9"/>
        <v>108</v>
      </c>
    </row>
    <row r="362" spans="4:5" x14ac:dyDescent="0.25">
      <c r="E362">
        <f t="shared" si="9"/>
        <v>108</v>
      </c>
    </row>
    <row r="363" spans="4:5" x14ac:dyDescent="0.25">
      <c r="E363">
        <f t="shared" si="9"/>
        <v>108</v>
      </c>
    </row>
    <row r="364" spans="4:5" x14ac:dyDescent="0.25">
      <c r="E364">
        <f t="shared" si="9"/>
        <v>108</v>
      </c>
    </row>
    <row r="365" spans="4:5" x14ac:dyDescent="0.25">
      <c r="D365">
        <v>1</v>
      </c>
      <c r="E365">
        <f t="shared" si="9"/>
        <v>109</v>
      </c>
    </row>
    <row r="366" spans="4:5" x14ac:dyDescent="0.25">
      <c r="E366">
        <f t="shared" si="9"/>
        <v>109</v>
      </c>
    </row>
    <row r="367" spans="4:5" x14ac:dyDescent="0.25">
      <c r="E367">
        <f t="shared" si="9"/>
        <v>109</v>
      </c>
    </row>
    <row r="368" spans="4:5" x14ac:dyDescent="0.25">
      <c r="E368">
        <f t="shared" si="9"/>
        <v>109</v>
      </c>
    </row>
    <row r="369" spans="4:5" x14ac:dyDescent="0.25">
      <c r="D369">
        <v>1</v>
      </c>
      <c r="E369">
        <f t="shared" si="9"/>
        <v>110</v>
      </c>
    </row>
    <row r="370" spans="4:5" x14ac:dyDescent="0.25">
      <c r="E370">
        <f t="shared" si="9"/>
        <v>110</v>
      </c>
    </row>
    <row r="371" spans="4:5" x14ac:dyDescent="0.25">
      <c r="E371">
        <f t="shared" si="9"/>
        <v>110</v>
      </c>
    </row>
    <row r="372" spans="4:5" x14ac:dyDescent="0.25">
      <c r="E372">
        <f t="shared" si="9"/>
        <v>110</v>
      </c>
    </row>
    <row r="373" spans="4:5" x14ac:dyDescent="0.25">
      <c r="D373">
        <v>1</v>
      </c>
      <c r="E373">
        <f t="shared" si="9"/>
        <v>111</v>
      </c>
    </row>
    <row r="374" spans="4:5" x14ac:dyDescent="0.25">
      <c r="E374">
        <f t="shared" ref="E374:E437" si="10">E373+D374</f>
        <v>111</v>
      </c>
    </row>
    <row r="375" spans="4:5" x14ac:dyDescent="0.25">
      <c r="E375">
        <f t="shared" si="10"/>
        <v>111</v>
      </c>
    </row>
    <row r="376" spans="4:5" x14ac:dyDescent="0.25">
      <c r="E376">
        <f t="shared" si="10"/>
        <v>111</v>
      </c>
    </row>
    <row r="377" spans="4:5" x14ac:dyDescent="0.25">
      <c r="D377">
        <v>1</v>
      </c>
      <c r="E377">
        <f t="shared" si="10"/>
        <v>112</v>
      </c>
    </row>
    <row r="378" spans="4:5" x14ac:dyDescent="0.25">
      <c r="E378">
        <f t="shared" si="10"/>
        <v>112</v>
      </c>
    </row>
    <row r="379" spans="4:5" x14ac:dyDescent="0.25">
      <c r="E379">
        <f t="shared" si="10"/>
        <v>112</v>
      </c>
    </row>
    <row r="380" spans="4:5" x14ac:dyDescent="0.25">
      <c r="E380">
        <f t="shared" si="10"/>
        <v>112</v>
      </c>
    </row>
    <row r="381" spans="4:5" x14ac:dyDescent="0.25">
      <c r="D381">
        <v>1</v>
      </c>
      <c r="E381">
        <f t="shared" si="10"/>
        <v>113</v>
      </c>
    </row>
    <row r="382" spans="4:5" x14ac:dyDescent="0.25">
      <c r="E382">
        <f t="shared" si="10"/>
        <v>113</v>
      </c>
    </row>
    <row r="383" spans="4:5" x14ac:dyDescent="0.25">
      <c r="E383">
        <f t="shared" si="10"/>
        <v>113</v>
      </c>
    </row>
    <row r="384" spans="4:5" x14ac:dyDescent="0.25">
      <c r="E384">
        <f t="shared" si="10"/>
        <v>113</v>
      </c>
    </row>
    <row r="385" spans="4:5" x14ac:dyDescent="0.25">
      <c r="D385">
        <v>1</v>
      </c>
      <c r="E385">
        <f t="shared" si="10"/>
        <v>114</v>
      </c>
    </row>
    <row r="386" spans="4:5" x14ac:dyDescent="0.25">
      <c r="E386">
        <f t="shared" si="10"/>
        <v>114</v>
      </c>
    </row>
    <row r="387" spans="4:5" x14ac:dyDescent="0.25">
      <c r="E387">
        <f t="shared" si="10"/>
        <v>114</v>
      </c>
    </row>
    <row r="388" spans="4:5" x14ac:dyDescent="0.25">
      <c r="E388">
        <f t="shared" si="10"/>
        <v>114</v>
      </c>
    </row>
    <row r="389" spans="4:5" x14ac:dyDescent="0.25">
      <c r="D389">
        <v>1</v>
      </c>
      <c r="E389">
        <f t="shared" si="10"/>
        <v>115</v>
      </c>
    </row>
    <row r="390" spans="4:5" x14ac:dyDescent="0.25">
      <c r="E390">
        <f t="shared" si="10"/>
        <v>115</v>
      </c>
    </row>
    <row r="391" spans="4:5" x14ac:dyDescent="0.25">
      <c r="E391">
        <f t="shared" si="10"/>
        <v>115</v>
      </c>
    </row>
    <row r="392" spans="4:5" x14ac:dyDescent="0.25">
      <c r="E392">
        <f t="shared" si="10"/>
        <v>115</v>
      </c>
    </row>
    <row r="393" spans="4:5" x14ac:dyDescent="0.25">
      <c r="D393">
        <v>1</v>
      </c>
      <c r="E393">
        <f t="shared" si="10"/>
        <v>116</v>
      </c>
    </row>
    <row r="394" spans="4:5" x14ac:dyDescent="0.25">
      <c r="E394">
        <f t="shared" si="10"/>
        <v>116</v>
      </c>
    </row>
    <row r="395" spans="4:5" x14ac:dyDescent="0.25">
      <c r="E395">
        <f t="shared" si="10"/>
        <v>116</v>
      </c>
    </row>
    <row r="396" spans="4:5" x14ac:dyDescent="0.25">
      <c r="E396">
        <f t="shared" si="10"/>
        <v>116</v>
      </c>
    </row>
    <row r="397" spans="4:5" x14ac:dyDescent="0.25">
      <c r="D397">
        <v>1</v>
      </c>
      <c r="E397">
        <f t="shared" si="10"/>
        <v>117</v>
      </c>
    </row>
    <row r="398" spans="4:5" x14ac:dyDescent="0.25">
      <c r="E398">
        <f t="shared" si="10"/>
        <v>117</v>
      </c>
    </row>
    <row r="399" spans="4:5" x14ac:dyDescent="0.25">
      <c r="E399">
        <f t="shared" si="10"/>
        <v>117</v>
      </c>
    </row>
    <row r="400" spans="4:5" x14ac:dyDescent="0.25">
      <c r="E400">
        <f t="shared" si="10"/>
        <v>117</v>
      </c>
    </row>
    <row r="401" spans="4:5" x14ac:dyDescent="0.25">
      <c r="D401">
        <v>1</v>
      </c>
      <c r="E401">
        <f t="shared" si="10"/>
        <v>118</v>
      </c>
    </row>
    <row r="402" spans="4:5" x14ac:dyDescent="0.25">
      <c r="E402">
        <f t="shared" si="10"/>
        <v>118</v>
      </c>
    </row>
    <row r="403" spans="4:5" x14ac:dyDescent="0.25">
      <c r="E403">
        <f t="shared" si="10"/>
        <v>118</v>
      </c>
    </row>
    <row r="404" spans="4:5" x14ac:dyDescent="0.25">
      <c r="E404">
        <f t="shared" si="10"/>
        <v>118</v>
      </c>
    </row>
    <row r="405" spans="4:5" x14ac:dyDescent="0.25">
      <c r="D405">
        <v>1</v>
      </c>
      <c r="E405">
        <f t="shared" si="10"/>
        <v>119</v>
      </c>
    </row>
    <row r="406" spans="4:5" x14ac:dyDescent="0.25">
      <c r="E406">
        <f t="shared" si="10"/>
        <v>119</v>
      </c>
    </row>
    <row r="407" spans="4:5" x14ac:dyDescent="0.25">
      <c r="E407">
        <f t="shared" si="10"/>
        <v>119</v>
      </c>
    </row>
    <row r="408" spans="4:5" x14ac:dyDescent="0.25">
      <c r="E408">
        <f t="shared" si="10"/>
        <v>119</v>
      </c>
    </row>
    <row r="409" spans="4:5" x14ac:dyDescent="0.25">
      <c r="D409">
        <v>1</v>
      </c>
      <c r="E409">
        <f t="shared" si="10"/>
        <v>120</v>
      </c>
    </row>
    <row r="410" spans="4:5" x14ac:dyDescent="0.25">
      <c r="E410">
        <f t="shared" si="10"/>
        <v>120</v>
      </c>
    </row>
    <row r="411" spans="4:5" x14ac:dyDescent="0.25">
      <c r="E411">
        <f t="shared" si="10"/>
        <v>120</v>
      </c>
    </row>
    <row r="412" spans="4:5" x14ac:dyDescent="0.25">
      <c r="E412">
        <f t="shared" si="10"/>
        <v>120</v>
      </c>
    </row>
    <row r="413" spans="4:5" x14ac:dyDescent="0.25">
      <c r="D413">
        <v>1</v>
      </c>
      <c r="E413">
        <f t="shared" si="10"/>
        <v>121</v>
      </c>
    </row>
    <row r="414" spans="4:5" x14ac:dyDescent="0.25">
      <c r="E414">
        <f t="shared" si="10"/>
        <v>121</v>
      </c>
    </row>
    <row r="415" spans="4:5" x14ac:dyDescent="0.25">
      <c r="E415">
        <f t="shared" si="10"/>
        <v>121</v>
      </c>
    </row>
    <row r="416" spans="4:5" x14ac:dyDescent="0.25">
      <c r="E416">
        <f t="shared" si="10"/>
        <v>121</v>
      </c>
    </row>
    <row r="417" spans="4:5" x14ac:dyDescent="0.25">
      <c r="D417">
        <v>1</v>
      </c>
      <c r="E417">
        <f t="shared" si="10"/>
        <v>122</v>
      </c>
    </row>
    <row r="418" spans="4:5" x14ac:dyDescent="0.25">
      <c r="E418">
        <f t="shared" si="10"/>
        <v>122</v>
      </c>
    </row>
    <row r="419" spans="4:5" x14ac:dyDescent="0.25">
      <c r="E419">
        <f t="shared" si="10"/>
        <v>122</v>
      </c>
    </row>
    <row r="420" spans="4:5" x14ac:dyDescent="0.25">
      <c r="E420">
        <f t="shared" si="10"/>
        <v>122</v>
      </c>
    </row>
    <row r="421" spans="4:5" x14ac:dyDescent="0.25">
      <c r="D421">
        <v>1</v>
      </c>
      <c r="E421">
        <f t="shared" si="10"/>
        <v>123</v>
      </c>
    </row>
    <row r="422" spans="4:5" x14ac:dyDescent="0.25">
      <c r="E422">
        <f t="shared" si="10"/>
        <v>123</v>
      </c>
    </row>
    <row r="423" spans="4:5" x14ac:dyDescent="0.25">
      <c r="E423">
        <f t="shared" si="10"/>
        <v>123</v>
      </c>
    </row>
    <row r="424" spans="4:5" x14ac:dyDescent="0.25">
      <c r="E424">
        <f t="shared" si="10"/>
        <v>123</v>
      </c>
    </row>
    <row r="425" spans="4:5" x14ac:dyDescent="0.25">
      <c r="D425">
        <v>1</v>
      </c>
      <c r="E425">
        <f t="shared" si="10"/>
        <v>124</v>
      </c>
    </row>
    <row r="426" spans="4:5" x14ac:dyDescent="0.25">
      <c r="E426">
        <f t="shared" si="10"/>
        <v>124</v>
      </c>
    </row>
    <row r="427" spans="4:5" x14ac:dyDescent="0.25">
      <c r="E427">
        <f t="shared" si="10"/>
        <v>124</v>
      </c>
    </row>
    <row r="428" spans="4:5" x14ac:dyDescent="0.25">
      <c r="E428">
        <f t="shared" si="10"/>
        <v>124</v>
      </c>
    </row>
    <row r="429" spans="4:5" x14ac:dyDescent="0.25">
      <c r="D429">
        <v>1</v>
      </c>
      <c r="E429">
        <f t="shared" si="10"/>
        <v>125</v>
      </c>
    </row>
    <row r="430" spans="4:5" x14ac:dyDescent="0.25">
      <c r="E430">
        <f t="shared" si="10"/>
        <v>125</v>
      </c>
    </row>
    <row r="431" spans="4:5" x14ac:dyDescent="0.25">
      <c r="E431">
        <f t="shared" si="10"/>
        <v>125</v>
      </c>
    </row>
    <row r="432" spans="4:5" x14ac:dyDescent="0.25">
      <c r="E432">
        <f t="shared" si="10"/>
        <v>125</v>
      </c>
    </row>
    <row r="433" spans="4:5" x14ac:dyDescent="0.25">
      <c r="D433">
        <v>1</v>
      </c>
      <c r="E433">
        <f t="shared" si="10"/>
        <v>126</v>
      </c>
    </row>
    <row r="434" spans="4:5" x14ac:dyDescent="0.25">
      <c r="E434">
        <f t="shared" si="10"/>
        <v>126</v>
      </c>
    </row>
    <row r="435" spans="4:5" x14ac:dyDescent="0.25">
      <c r="E435">
        <f t="shared" si="10"/>
        <v>126</v>
      </c>
    </row>
    <row r="436" spans="4:5" x14ac:dyDescent="0.25">
      <c r="E436">
        <f t="shared" si="10"/>
        <v>126</v>
      </c>
    </row>
    <row r="437" spans="4:5" x14ac:dyDescent="0.25">
      <c r="D437">
        <v>1</v>
      </c>
      <c r="E437">
        <f t="shared" si="10"/>
        <v>127</v>
      </c>
    </row>
    <row r="438" spans="4:5" x14ac:dyDescent="0.25">
      <c r="E438">
        <f t="shared" ref="E438:E501" si="11">E437+D438</f>
        <v>127</v>
      </c>
    </row>
    <row r="439" spans="4:5" x14ac:dyDescent="0.25">
      <c r="E439">
        <f t="shared" si="11"/>
        <v>127</v>
      </c>
    </row>
    <row r="440" spans="4:5" x14ac:dyDescent="0.25">
      <c r="E440">
        <f t="shared" si="11"/>
        <v>127</v>
      </c>
    </row>
    <row r="441" spans="4:5" x14ac:dyDescent="0.25">
      <c r="D441">
        <v>1</v>
      </c>
      <c r="E441">
        <f t="shared" si="11"/>
        <v>128</v>
      </c>
    </row>
    <row r="442" spans="4:5" x14ac:dyDescent="0.25">
      <c r="E442">
        <f t="shared" si="11"/>
        <v>128</v>
      </c>
    </row>
    <row r="443" spans="4:5" x14ac:dyDescent="0.25">
      <c r="E443">
        <f t="shared" si="11"/>
        <v>128</v>
      </c>
    </row>
    <row r="444" spans="4:5" x14ac:dyDescent="0.25">
      <c r="E444">
        <f t="shared" si="11"/>
        <v>128</v>
      </c>
    </row>
    <row r="445" spans="4:5" x14ac:dyDescent="0.25">
      <c r="D445">
        <v>1</v>
      </c>
      <c r="E445">
        <f t="shared" si="11"/>
        <v>129</v>
      </c>
    </row>
    <row r="446" spans="4:5" x14ac:dyDescent="0.25">
      <c r="E446">
        <f t="shared" si="11"/>
        <v>129</v>
      </c>
    </row>
    <row r="447" spans="4:5" x14ac:dyDescent="0.25">
      <c r="E447">
        <f t="shared" si="11"/>
        <v>129</v>
      </c>
    </row>
    <row r="448" spans="4:5" x14ac:dyDescent="0.25">
      <c r="E448">
        <f t="shared" si="11"/>
        <v>129</v>
      </c>
    </row>
    <row r="449" spans="4:5" x14ac:dyDescent="0.25">
      <c r="D449">
        <v>1</v>
      </c>
      <c r="E449">
        <f t="shared" si="11"/>
        <v>130</v>
      </c>
    </row>
    <row r="450" spans="4:5" x14ac:dyDescent="0.25">
      <c r="E450">
        <f t="shared" si="11"/>
        <v>130</v>
      </c>
    </row>
    <row r="451" spans="4:5" x14ac:dyDescent="0.25">
      <c r="E451">
        <f t="shared" si="11"/>
        <v>130</v>
      </c>
    </row>
    <row r="452" spans="4:5" x14ac:dyDescent="0.25">
      <c r="E452">
        <f t="shared" si="11"/>
        <v>130</v>
      </c>
    </row>
    <row r="453" spans="4:5" x14ac:dyDescent="0.25">
      <c r="D453">
        <v>1</v>
      </c>
      <c r="E453">
        <f t="shared" si="11"/>
        <v>131</v>
      </c>
    </row>
    <row r="454" spans="4:5" x14ac:dyDescent="0.25">
      <c r="E454">
        <f t="shared" si="11"/>
        <v>131</v>
      </c>
    </row>
    <row r="455" spans="4:5" x14ac:dyDescent="0.25">
      <c r="E455">
        <f t="shared" si="11"/>
        <v>131</v>
      </c>
    </row>
    <row r="456" spans="4:5" x14ac:dyDescent="0.25">
      <c r="E456">
        <f t="shared" si="11"/>
        <v>131</v>
      </c>
    </row>
    <row r="457" spans="4:5" x14ac:dyDescent="0.25">
      <c r="D457">
        <v>1</v>
      </c>
      <c r="E457">
        <f t="shared" si="11"/>
        <v>132</v>
      </c>
    </row>
    <row r="458" spans="4:5" x14ac:dyDescent="0.25">
      <c r="E458">
        <f t="shared" si="11"/>
        <v>132</v>
      </c>
    </row>
    <row r="459" spans="4:5" x14ac:dyDescent="0.25">
      <c r="E459">
        <f t="shared" si="11"/>
        <v>132</v>
      </c>
    </row>
    <row r="460" spans="4:5" x14ac:dyDescent="0.25">
      <c r="E460">
        <f t="shared" si="11"/>
        <v>132</v>
      </c>
    </row>
    <row r="461" spans="4:5" x14ac:dyDescent="0.25">
      <c r="D461">
        <v>1</v>
      </c>
      <c r="E461">
        <f t="shared" si="11"/>
        <v>133</v>
      </c>
    </row>
    <row r="462" spans="4:5" x14ac:dyDescent="0.25">
      <c r="E462">
        <f t="shared" si="11"/>
        <v>133</v>
      </c>
    </row>
    <row r="463" spans="4:5" x14ac:dyDescent="0.25">
      <c r="E463">
        <f t="shared" si="11"/>
        <v>133</v>
      </c>
    </row>
    <row r="464" spans="4:5" x14ac:dyDescent="0.25">
      <c r="E464">
        <f t="shared" si="11"/>
        <v>133</v>
      </c>
    </row>
    <row r="465" spans="4:5" x14ac:dyDescent="0.25">
      <c r="D465">
        <v>1</v>
      </c>
      <c r="E465">
        <f t="shared" si="11"/>
        <v>134</v>
      </c>
    </row>
    <row r="466" spans="4:5" x14ac:dyDescent="0.25">
      <c r="E466">
        <f t="shared" si="11"/>
        <v>134</v>
      </c>
    </row>
    <row r="467" spans="4:5" x14ac:dyDescent="0.25">
      <c r="E467">
        <f t="shared" si="11"/>
        <v>134</v>
      </c>
    </row>
    <row r="468" spans="4:5" x14ac:dyDescent="0.25">
      <c r="E468">
        <f t="shared" si="11"/>
        <v>134</v>
      </c>
    </row>
    <row r="469" spans="4:5" x14ac:dyDescent="0.25">
      <c r="D469">
        <v>1</v>
      </c>
      <c r="E469">
        <f t="shared" si="11"/>
        <v>135</v>
      </c>
    </row>
    <row r="470" spans="4:5" x14ac:dyDescent="0.25">
      <c r="E470">
        <f t="shared" si="11"/>
        <v>135</v>
      </c>
    </row>
    <row r="471" spans="4:5" x14ac:dyDescent="0.25">
      <c r="E471">
        <f t="shared" si="11"/>
        <v>135</v>
      </c>
    </row>
    <row r="472" spans="4:5" x14ac:dyDescent="0.25">
      <c r="E472">
        <f t="shared" si="11"/>
        <v>135</v>
      </c>
    </row>
    <row r="473" spans="4:5" x14ac:dyDescent="0.25">
      <c r="D473">
        <v>1</v>
      </c>
      <c r="E473">
        <f t="shared" si="11"/>
        <v>136</v>
      </c>
    </row>
    <row r="474" spans="4:5" x14ac:dyDescent="0.25">
      <c r="E474">
        <f t="shared" si="11"/>
        <v>136</v>
      </c>
    </row>
    <row r="475" spans="4:5" x14ac:dyDescent="0.25">
      <c r="E475">
        <f t="shared" si="11"/>
        <v>136</v>
      </c>
    </row>
    <row r="476" spans="4:5" x14ac:dyDescent="0.25">
      <c r="E476">
        <f t="shared" si="11"/>
        <v>136</v>
      </c>
    </row>
    <row r="477" spans="4:5" x14ac:dyDescent="0.25">
      <c r="D477">
        <v>1</v>
      </c>
      <c r="E477">
        <f t="shared" si="11"/>
        <v>137</v>
      </c>
    </row>
    <row r="478" spans="4:5" x14ac:dyDescent="0.25">
      <c r="E478">
        <f t="shared" si="11"/>
        <v>137</v>
      </c>
    </row>
    <row r="479" spans="4:5" x14ac:dyDescent="0.25">
      <c r="E479">
        <f t="shared" si="11"/>
        <v>137</v>
      </c>
    </row>
    <row r="480" spans="4:5" x14ac:dyDescent="0.25">
      <c r="E480">
        <f t="shared" si="11"/>
        <v>137</v>
      </c>
    </row>
    <row r="481" spans="4:5" x14ac:dyDescent="0.25">
      <c r="D481">
        <v>1</v>
      </c>
      <c r="E481">
        <f t="shared" si="11"/>
        <v>138</v>
      </c>
    </row>
    <row r="482" spans="4:5" x14ac:dyDescent="0.25">
      <c r="E482">
        <f t="shared" si="11"/>
        <v>138</v>
      </c>
    </row>
    <row r="483" spans="4:5" x14ac:dyDescent="0.25">
      <c r="E483">
        <f t="shared" si="11"/>
        <v>138</v>
      </c>
    </row>
    <row r="484" spans="4:5" x14ac:dyDescent="0.25">
      <c r="E484">
        <f t="shared" si="11"/>
        <v>138</v>
      </c>
    </row>
    <row r="485" spans="4:5" x14ac:dyDescent="0.25">
      <c r="D485">
        <v>1</v>
      </c>
      <c r="E485">
        <f t="shared" si="11"/>
        <v>139</v>
      </c>
    </row>
    <row r="486" spans="4:5" x14ac:dyDescent="0.25">
      <c r="E486">
        <f t="shared" si="11"/>
        <v>139</v>
      </c>
    </row>
    <row r="487" spans="4:5" x14ac:dyDescent="0.25">
      <c r="E487">
        <f t="shared" si="11"/>
        <v>139</v>
      </c>
    </row>
    <row r="488" spans="4:5" x14ac:dyDescent="0.25">
      <c r="E488">
        <f t="shared" si="11"/>
        <v>139</v>
      </c>
    </row>
    <row r="489" spans="4:5" x14ac:dyDescent="0.25">
      <c r="D489">
        <v>1</v>
      </c>
      <c r="E489">
        <f t="shared" si="11"/>
        <v>140</v>
      </c>
    </row>
    <row r="490" spans="4:5" x14ac:dyDescent="0.25">
      <c r="E490">
        <f t="shared" si="11"/>
        <v>140</v>
      </c>
    </row>
    <row r="491" spans="4:5" x14ac:dyDescent="0.25">
      <c r="E491">
        <f t="shared" si="11"/>
        <v>140</v>
      </c>
    </row>
    <row r="492" spans="4:5" x14ac:dyDescent="0.25">
      <c r="E492">
        <f t="shared" si="11"/>
        <v>140</v>
      </c>
    </row>
    <row r="493" spans="4:5" x14ac:dyDescent="0.25">
      <c r="D493">
        <v>1</v>
      </c>
      <c r="E493">
        <f t="shared" si="11"/>
        <v>141</v>
      </c>
    </row>
    <row r="494" spans="4:5" x14ac:dyDescent="0.25">
      <c r="E494">
        <f t="shared" si="11"/>
        <v>141</v>
      </c>
    </row>
    <row r="495" spans="4:5" x14ac:dyDescent="0.25">
      <c r="E495">
        <f t="shared" si="11"/>
        <v>141</v>
      </c>
    </row>
    <row r="496" spans="4:5" x14ac:dyDescent="0.25">
      <c r="E496">
        <f t="shared" si="11"/>
        <v>141</v>
      </c>
    </row>
    <row r="497" spans="4:5" x14ac:dyDescent="0.25">
      <c r="D497">
        <v>1</v>
      </c>
      <c r="E497">
        <f t="shared" si="11"/>
        <v>142</v>
      </c>
    </row>
    <row r="498" spans="4:5" x14ac:dyDescent="0.25">
      <c r="E498">
        <f t="shared" si="11"/>
        <v>142</v>
      </c>
    </row>
    <row r="499" spans="4:5" x14ac:dyDescent="0.25">
      <c r="E499">
        <f t="shared" si="11"/>
        <v>142</v>
      </c>
    </row>
    <row r="500" spans="4:5" x14ac:dyDescent="0.25">
      <c r="E500">
        <f t="shared" si="11"/>
        <v>142</v>
      </c>
    </row>
    <row r="501" spans="4:5" x14ac:dyDescent="0.25">
      <c r="D501">
        <v>1</v>
      </c>
      <c r="E501">
        <f t="shared" si="11"/>
        <v>143</v>
      </c>
    </row>
    <row r="502" spans="4:5" x14ac:dyDescent="0.25">
      <c r="E502">
        <f t="shared" ref="E502:E565" si="12">E501+D502</f>
        <v>143</v>
      </c>
    </row>
    <row r="503" spans="4:5" x14ac:dyDescent="0.25">
      <c r="E503">
        <f t="shared" si="12"/>
        <v>143</v>
      </c>
    </row>
    <row r="504" spans="4:5" x14ac:dyDescent="0.25">
      <c r="E504">
        <f t="shared" si="12"/>
        <v>143</v>
      </c>
    </row>
    <row r="505" spans="4:5" x14ac:dyDescent="0.25">
      <c r="D505">
        <v>1</v>
      </c>
      <c r="E505">
        <f t="shared" si="12"/>
        <v>144</v>
      </c>
    </row>
    <row r="506" spans="4:5" x14ac:dyDescent="0.25">
      <c r="E506">
        <f t="shared" si="12"/>
        <v>144</v>
      </c>
    </row>
    <row r="507" spans="4:5" x14ac:dyDescent="0.25">
      <c r="E507">
        <f t="shared" si="12"/>
        <v>144</v>
      </c>
    </row>
    <row r="508" spans="4:5" x14ac:dyDescent="0.25">
      <c r="E508">
        <f t="shared" si="12"/>
        <v>144</v>
      </c>
    </row>
    <row r="509" spans="4:5" x14ac:dyDescent="0.25">
      <c r="D509">
        <v>1</v>
      </c>
      <c r="E509">
        <f t="shared" si="12"/>
        <v>145</v>
      </c>
    </row>
    <row r="510" spans="4:5" x14ac:dyDescent="0.25">
      <c r="E510">
        <f t="shared" si="12"/>
        <v>145</v>
      </c>
    </row>
    <row r="511" spans="4:5" x14ac:dyDescent="0.25">
      <c r="E511">
        <f t="shared" si="12"/>
        <v>145</v>
      </c>
    </row>
    <row r="512" spans="4:5" x14ac:dyDescent="0.25">
      <c r="E512">
        <f t="shared" si="12"/>
        <v>145</v>
      </c>
    </row>
    <row r="513" spans="4:5" x14ac:dyDescent="0.25">
      <c r="D513">
        <v>1</v>
      </c>
      <c r="E513">
        <f t="shared" si="12"/>
        <v>146</v>
      </c>
    </row>
    <row r="514" spans="4:5" x14ac:dyDescent="0.25">
      <c r="E514">
        <f t="shared" si="12"/>
        <v>146</v>
      </c>
    </row>
    <row r="515" spans="4:5" x14ac:dyDescent="0.25">
      <c r="E515">
        <f t="shared" si="12"/>
        <v>146</v>
      </c>
    </row>
    <row r="516" spans="4:5" x14ac:dyDescent="0.25">
      <c r="E516">
        <f t="shared" si="12"/>
        <v>146</v>
      </c>
    </row>
    <row r="517" spans="4:5" x14ac:dyDescent="0.25">
      <c r="D517">
        <v>1</v>
      </c>
      <c r="E517">
        <f t="shared" si="12"/>
        <v>147</v>
      </c>
    </row>
    <row r="518" spans="4:5" x14ac:dyDescent="0.25">
      <c r="E518">
        <f t="shared" si="12"/>
        <v>147</v>
      </c>
    </row>
    <row r="519" spans="4:5" x14ac:dyDescent="0.25">
      <c r="E519">
        <f t="shared" si="12"/>
        <v>147</v>
      </c>
    </row>
    <row r="520" spans="4:5" x14ac:dyDescent="0.25">
      <c r="E520">
        <f t="shared" si="12"/>
        <v>147</v>
      </c>
    </row>
    <row r="521" spans="4:5" x14ac:dyDescent="0.25">
      <c r="D521">
        <v>1</v>
      </c>
      <c r="E521">
        <f t="shared" si="12"/>
        <v>148</v>
      </c>
    </row>
    <row r="522" spans="4:5" x14ac:dyDescent="0.25">
      <c r="E522">
        <f t="shared" si="12"/>
        <v>148</v>
      </c>
    </row>
    <row r="523" spans="4:5" x14ac:dyDescent="0.25">
      <c r="E523">
        <f t="shared" si="12"/>
        <v>148</v>
      </c>
    </row>
    <row r="524" spans="4:5" x14ac:dyDescent="0.25">
      <c r="E524">
        <f t="shared" si="12"/>
        <v>148</v>
      </c>
    </row>
    <row r="525" spans="4:5" x14ac:dyDescent="0.25">
      <c r="D525">
        <v>1</v>
      </c>
      <c r="E525">
        <f t="shared" si="12"/>
        <v>149</v>
      </c>
    </row>
    <row r="526" spans="4:5" x14ac:dyDescent="0.25">
      <c r="E526">
        <f t="shared" si="12"/>
        <v>149</v>
      </c>
    </row>
    <row r="527" spans="4:5" x14ac:dyDescent="0.25">
      <c r="E527">
        <f t="shared" si="12"/>
        <v>149</v>
      </c>
    </row>
    <row r="528" spans="4:5" x14ac:dyDescent="0.25">
      <c r="E528">
        <f t="shared" si="12"/>
        <v>149</v>
      </c>
    </row>
    <row r="529" spans="4:5" x14ac:dyDescent="0.25">
      <c r="D529">
        <v>1</v>
      </c>
      <c r="E529">
        <f t="shared" si="12"/>
        <v>150</v>
      </c>
    </row>
    <row r="530" spans="4:5" x14ac:dyDescent="0.25">
      <c r="E530">
        <f t="shared" si="12"/>
        <v>150</v>
      </c>
    </row>
    <row r="531" spans="4:5" x14ac:dyDescent="0.25">
      <c r="E531">
        <f t="shared" si="12"/>
        <v>150</v>
      </c>
    </row>
    <row r="532" spans="4:5" x14ac:dyDescent="0.25">
      <c r="E532">
        <f t="shared" si="12"/>
        <v>150</v>
      </c>
    </row>
    <row r="533" spans="4:5" x14ac:dyDescent="0.25">
      <c r="D533">
        <v>1</v>
      </c>
      <c r="E533">
        <f t="shared" si="12"/>
        <v>151</v>
      </c>
    </row>
    <row r="534" spans="4:5" x14ac:dyDescent="0.25">
      <c r="E534">
        <f t="shared" si="12"/>
        <v>151</v>
      </c>
    </row>
    <row r="535" spans="4:5" x14ac:dyDescent="0.25">
      <c r="E535">
        <f t="shared" si="12"/>
        <v>151</v>
      </c>
    </row>
    <row r="536" spans="4:5" x14ac:dyDescent="0.25">
      <c r="E536">
        <f t="shared" si="12"/>
        <v>151</v>
      </c>
    </row>
    <row r="537" spans="4:5" x14ac:dyDescent="0.25">
      <c r="D537">
        <v>1</v>
      </c>
      <c r="E537">
        <f t="shared" si="12"/>
        <v>152</v>
      </c>
    </row>
    <row r="538" spans="4:5" x14ac:dyDescent="0.25">
      <c r="E538">
        <f t="shared" si="12"/>
        <v>152</v>
      </c>
    </row>
    <row r="539" spans="4:5" x14ac:dyDescent="0.25">
      <c r="E539">
        <f t="shared" si="12"/>
        <v>152</v>
      </c>
    </row>
    <row r="540" spans="4:5" x14ac:dyDescent="0.25">
      <c r="E540">
        <f t="shared" si="12"/>
        <v>152</v>
      </c>
    </row>
    <row r="541" spans="4:5" x14ac:dyDescent="0.25">
      <c r="D541">
        <v>1</v>
      </c>
      <c r="E541">
        <f t="shared" si="12"/>
        <v>153</v>
      </c>
    </row>
    <row r="542" spans="4:5" x14ac:dyDescent="0.25">
      <c r="E542">
        <f t="shared" si="12"/>
        <v>153</v>
      </c>
    </row>
    <row r="543" spans="4:5" x14ac:dyDescent="0.25">
      <c r="E543">
        <f t="shared" si="12"/>
        <v>153</v>
      </c>
    </row>
    <row r="544" spans="4:5" x14ac:dyDescent="0.25">
      <c r="E544">
        <f t="shared" si="12"/>
        <v>153</v>
      </c>
    </row>
    <row r="545" spans="4:5" x14ac:dyDescent="0.25">
      <c r="D545">
        <v>1</v>
      </c>
      <c r="E545">
        <f t="shared" si="12"/>
        <v>154</v>
      </c>
    </row>
    <row r="546" spans="4:5" x14ac:dyDescent="0.25">
      <c r="E546">
        <f t="shared" si="12"/>
        <v>154</v>
      </c>
    </row>
    <row r="547" spans="4:5" x14ac:dyDescent="0.25">
      <c r="E547">
        <f t="shared" si="12"/>
        <v>154</v>
      </c>
    </row>
    <row r="548" spans="4:5" x14ac:dyDescent="0.25">
      <c r="E548">
        <f t="shared" si="12"/>
        <v>154</v>
      </c>
    </row>
    <row r="549" spans="4:5" x14ac:dyDescent="0.25">
      <c r="D549">
        <v>1</v>
      </c>
      <c r="E549">
        <f t="shared" si="12"/>
        <v>155</v>
      </c>
    </row>
    <row r="550" spans="4:5" x14ac:dyDescent="0.25">
      <c r="E550">
        <f t="shared" si="12"/>
        <v>155</v>
      </c>
    </row>
    <row r="551" spans="4:5" x14ac:dyDescent="0.25">
      <c r="E551">
        <f t="shared" si="12"/>
        <v>155</v>
      </c>
    </row>
    <row r="552" spans="4:5" x14ac:dyDescent="0.25">
      <c r="E552">
        <f t="shared" si="12"/>
        <v>155</v>
      </c>
    </row>
    <row r="553" spans="4:5" x14ac:dyDescent="0.25">
      <c r="D553">
        <v>1</v>
      </c>
      <c r="E553">
        <f t="shared" si="12"/>
        <v>156</v>
      </c>
    </row>
    <row r="554" spans="4:5" x14ac:dyDescent="0.25">
      <c r="E554">
        <f t="shared" si="12"/>
        <v>156</v>
      </c>
    </row>
    <row r="555" spans="4:5" x14ac:dyDescent="0.25">
      <c r="E555">
        <f t="shared" si="12"/>
        <v>156</v>
      </c>
    </row>
    <row r="556" spans="4:5" x14ac:dyDescent="0.25">
      <c r="E556">
        <f t="shared" si="12"/>
        <v>156</v>
      </c>
    </row>
    <row r="557" spans="4:5" x14ac:dyDescent="0.25">
      <c r="D557">
        <v>1</v>
      </c>
      <c r="E557">
        <f t="shared" si="12"/>
        <v>157</v>
      </c>
    </row>
    <row r="558" spans="4:5" x14ac:dyDescent="0.25">
      <c r="E558">
        <f t="shared" si="12"/>
        <v>157</v>
      </c>
    </row>
    <row r="559" spans="4:5" x14ac:dyDescent="0.25">
      <c r="E559">
        <f t="shared" si="12"/>
        <v>157</v>
      </c>
    </row>
    <row r="560" spans="4:5" x14ac:dyDescent="0.25">
      <c r="E560">
        <f t="shared" si="12"/>
        <v>157</v>
      </c>
    </row>
    <row r="561" spans="4:5" x14ac:dyDescent="0.25">
      <c r="D561">
        <v>1</v>
      </c>
      <c r="E561">
        <f t="shared" si="12"/>
        <v>158</v>
      </c>
    </row>
    <row r="562" spans="4:5" x14ac:dyDescent="0.25">
      <c r="E562">
        <f t="shared" si="12"/>
        <v>158</v>
      </c>
    </row>
    <row r="563" spans="4:5" x14ac:dyDescent="0.25">
      <c r="E563">
        <f t="shared" si="12"/>
        <v>158</v>
      </c>
    </row>
    <row r="564" spans="4:5" x14ac:dyDescent="0.25">
      <c r="E564">
        <f t="shared" si="12"/>
        <v>158</v>
      </c>
    </row>
    <row r="565" spans="4:5" x14ac:dyDescent="0.25">
      <c r="D565">
        <v>1</v>
      </c>
      <c r="E565">
        <f t="shared" si="12"/>
        <v>159</v>
      </c>
    </row>
    <row r="566" spans="4:5" x14ac:dyDescent="0.25">
      <c r="E566">
        <f t="shared" ref="E566:E629" si="13">E565+D566</f>
        <v>159</v>
      </c>
    </row>
    <row r="567" spans="4:5" x14ac:dyDescent="0.25">
      <c r="E567">
        <f t="shared" si="13"/>
        <v>159</v>
      </c>
    </row>
    <row r="568" spans="4:5" x14ac:dyDescent="0.25">
      <c r="E568">
        <f t="shared" si="13"/>
        <v>159</v>
      </c>
    </row>
    <row r="569" spans="4:5" x14ac:dyDescent="0.25">
      <c r="D569">
        <v>1</v>
      </c>
      <c r="E569">
        <f t="shared" si="13"/>
        <v>160</v>
      </c>
    </row>
    <row r="570" spans="4:5" x14ac:dyDescent="0.25">
      <c r="E570">
        <f t="shared" si="13"/>
        <v>160</v>
      </c>
    </row>
    <row r="571" spans="4:5" x14ac:dyDescent="0.25">
      <c r="E571">
        <f t="shared" si="13"/>
        <v>160</v>
      </c>
    </row>
    <row r="572" spans="4:5" x14ac:dyDescent="0.25">
      <c r="E572">
        <f t="shared" si="13"/>
        <v>160</v>
      </c>
    </row>
    <row r="573" spans="4:5" x14ac:dyDescent="0.25">
      <c r="D573">
        <v>1</v>
      </c>
      <c r="E573">
        <f t="shared" si="13"/>
        <v>161</v>
      </c>
    </row>
    <row r="574" spans="4:5" x14ac:dyDescent="0.25">
      <c r="E574">
        <f t="shared" si="13"/>
        <v>161</v>
      </c>
    </row>
    <row r="575" spans="4:5" x14ac:dyDescent="0.25">
      <c r="E575">
        <f t="shared" si="13"/>
        <v>161</v>
      </c>
    </row>
    <row r="576" spans="4:5" x14ac:dyDescent="0.25">
      <c r="E576">
        <f t="shared" si="13"/>
        <v>161</v>
      </c>
    </row>
    <row r="577" spans="4:5" x14ac:dyDescent="0.25">
      <c r="D577">
        <v>1</v>
      </c>
      <c r="E577">
        <f t="shared" si="13"/>
        <v>162</v>
      </c>
    </row>
    <row r="578" spans="4:5" x14ac:dyDescent="0.25">
      <c r="E578">
        <f t="shared" si="13"/>
        <v>162</v>
      </c>
    </row>
    <row r="579" spans="4:5" x14ac:dyDescent="0.25">
      <c r="E579">
        <f t="shared" si="13"/>
        <v>162</v>
      </c>
    </row>
    <row r="580" spans="4:5" x14ac:dyDescent="0.25">
      <c r="E580">
        <f t="shared" si="13"/>
        <v>162</v>
      </c>
    </row>
    <row r="581" spans="4:5" x14ac:dyDescent="0.25">
      <c r="D581">
        <v>1</v>
      </c>
      <c r="E581">
        <f t="shared" si="13"/>
        <v>163</v>
      </c>
    </row>
    <row r="582" spans="4:5" x14ac:dyDescent="0.25">
      <c r="E582">
        <f t="shared" si="13"/>
        <v>163</v>
      </c>
    </row>
    <row r="583" spans="4:5" x14ac:dyDescent="0.25">
      <c r="E583">
        <f t="shared" si="13"/>
        <v>163</v>
      </c>
    </row>
    <row r="584" spans="4:5" x14ac:dyDescent="0.25">
      <c r="E584">
        <f t="shared" si="13"/>
        <v>163</v>
      </c>
    </row>
    <row r="585" spans="4:5" x14ac:dyDescent="0.25">
      <c r="D585">
        <v>1</v>
      </c>
      <c r="E585">
        <f t="shared" si="13"/>
        <v>164</v>
      </c>
    </row>
    <row r="586" spans="4:5" x14ac:dyDescent="0.25">
      <c r="E586">
        <f t="shared" si="13"/>
        <v>164</v>
      </c>
    </row>
    <row r="587" spans="4:5" x14ac:dyDescent="0.25">
      <c r="E587">
        <f t="shared" si="13"/>
        <v>164</v>
      </c>
    </row>
    <row r="588" spans="4:5" x14ac:dyDescent="0.25">
      <c r="E588">
        <f t="shared" si="13"/>
        <v>164</v>
      </c>
    </row>
    <row r="589" spans="4:5" x14ac:dyDescent="0.25">
      <c r="D589">
        <v>1</v>
      </c>
      <c r="E589">
        <f t="shared" si="13"/>
        <v>165</v>
      </c>
    </row>
    <row r="590" spans="4:5" x14ac:dyDescent="0.25">
      <c r="E590">
        <f t="shared" si="13"/>
        <v>165</v>
      </c>
    </row>
    <row r="591" spans="4:5" x14ac:dyDescent="0.25">
      <c r="E591">
        <f t="shared" si="13"/>
        <v>165</v>
      </c>
    </row>
    <row r="592" spans="4:5" x14ac:dyDescent="0.25">
      <c r="E592">
        <f t="shared" si="13"/>
        <v>165</v>
      </c>
    </row>
    <row r="593" spans="4:5" x14ac:dyDescent="0.25">
      <c r="D593">
        <v>1</v>
      </c>
      <c r="E593">
        <f t="shared" si="13"/>
        <v>166</v>
      </c>
    </row>
    <row r="594" spans="4:5" x14ac:dyDescent="0.25">
      <c r="E594">
        <f t="shared" si="13"/>
        <v>166</v>
      </c>
    </row>
    <row r="595" spans="4:5" x14ac:dyDescent="0.25">
      <c r="E595">
        <f t="shared" si="13"/>
        <v>166</v>
      </c>
    </row>
    <row r="596" spans="4:5" x14ac:dyDescent="0.25">
      <c r="E596">
        <f t="shared" si="13"/>
        <v>166</v>
      </c>
    </row>
    <row r="597" spans="4:5" x14ac:dyDescent="0.25">
      <c r="D597">
        <v>1</v>
      </c>
      <c r="E597">
        <f t="shared" si="13"/>
        <v>167</v>
      </c>
    </row>
    <row r="598" spans="4:5" x14ac:dyDescent="0.25">
      <c r="E598">
        <f t="shared" si="13"/>
        <v>167</v>
      </c>
    </row>
    <row r="599" spans="4:5" x14ac:dyDescent="0.25">
      <c r="E599">
        <f t="shared" si="13"/>
        <v>167</v>
      </c>
    </row>
    <row r="600" spans="4:5" x14ac:dyDescent="0.25">
      <c r="E600">
        <f t="shared" si="13"/>
        <v>167</v>
      </c>
    </row>
    <row r="601" spans="4:5" x14ac:dyDescent="0.25">
      <c r="D601">
        <v>1</v>
      </c>
      <c r="E601">
        <f t="shared" si="13"/>
        <v>168</v>
      </c>
    </row>
    <row r="602" spans="4:5" x14ac:dyDescent="0.25">
      <c r="E602">
        <f t="shared" si="13"/>
        <v>168</v>
      </c>
    </row>
    <row r="603" spans="4:5" x14ac:dyDescent="0.25">
      <c r="E603">
        <f t="shared" si="13"/>
        <v>168</v>
      </c>
    </row>
    <row r="604" spans="4:5" x14ac:dyDescent="0.25">
      <c r="E604">
        <f t="shared" si="13"/>
        <v>168</v>
      </c>
    </row>
    <row r="605" spans="4:5" x14ac:dyDescent="0.25">
      <c r="D605">
        <v>1</v>
      </c>
      <c r="E605">
        <f t="shared" si="13"/>
        <v>169</v>
      </c>
    </row>
    <row r="606" spans="4:5" x14ac:dyDescent="0.25">
      <c r="E606">
        <f t="shared" si="13"/>
        <v>169</v>
      </c>
    </row>
    <row r="607" spans="4:5" x14ac:dyDescent="0.25">
      <c r="E607">
        <f t="shared" si="13"/>
        <v>169</v>
      </c>
    </row>
    <row r="608" spans="4:5" x14ac:dyDescent="0.25">
      <c r="E608">
        <f t="shared" si="13"/>
        <v>169</v>
      </c>
    </row>
    <row r="609" spans="4:5" x14ac:dyDescent="0.25">
      <c r="D609">
        <v>1</v>
      </c>
      <c r="E609">
        <f t="shared" si="13"/>
        <v>170</v>
      </c>
    </row>
    <row r="610" spans="4:5" x14ac:dyDescent="0.25">
      <c r="E610">
        <f t="shared" si="13"/>
        <v>170</v>
      </c>
    </row>
    <row r="611" spans="4:5" x14ac:dyDescent="0.25">
      <c r="E611">
        <f t="shared" si="13"/>
        <v>170</v>
      </c>
    </row>
    <row r="612" spans="4:5" x14ac:dyDescent="0.25">
      <c r="E612">
        <f t="shared" si="13"/>
        <v>170</v>
      </c>
    </row>
    <row r="613" spans="4:5" x14ac:dyDescent="0.25">
      <c r="D613">
        <v>1</v>
      </c>
      <c r="E613">
        <f t="shared" si="13"/>
        <v>171</v>
      </c>
    </row>
    <row r="614" spans="4:5" x14ac:dyDescent="0.25">
      <c r="E614">
        <f t="shared" si="13"/>
        <v>171</v>
      </c>
    </row>
    <row r="615" spans="4:5" x14ac:dyDescent="0.25">
      <c r="E615">
        <f t="shared" si="13"/>
        <v>171</v>
      </c>
    </row>
    <row r="616" spans="4:5" x14ac:dyDescent="0.25">
      <c r="E616">
        <f t="shared" si="13"/>
        <v>171</v>
      </c>
    </row>
    <row r="617" spans="4:5" x14ac:dyDescent="0.25">
      <c r="D617">
        <v>1</v>
      </c>
      <c r="E617">
        <f t="shared" si="13"/>
        <v>172</v>
      </c>
    </row>
    <row r="618" spans="4:5" x14ac:dyDescent="0.25">
      <c r="E618">
        <f t="shared" si="13"/>
        <v>172</v>
      </c>
    </row>
    <row r="619" spans="4:5" x14ac:dyDescent="0.25">
      <c r="E619">
        <f t="shared" si="13"/>
        <v>172</v>
      </c>
    </row>
    <row r="620" spans="4:5" x14ac:dyDescent="0.25">
      <c r="E620">
        <f t="shared" si="13"/>
        <v>172</v>
      </c>
    </row>
    <row r="621" spans="4:5" x14ac:dyDescent="0.25">
      <c r="D621">
        <v>1</v>
      </c>
      <c r="E621">
        <f t="shared" si="13"/>
        <v>173</v>
      </c>
    </row>
    <row r="622" spans="4:5" x14ac:dyDescent="0.25">
      <c r="E622">
        <f t="shared" si="13"/>
        <v>173</v>
      </c>
    </row>
    <row r="623" spans="4:5" x14ac:dyDescent="0.25">
      <c r="E623">
        <f t="shared" si="13"/>
        <v>173</v>
      </c>
    </row>
    <row r="624" spans="4:5" x14ac:dyDescent="0.25">
      <c r="E624">
        <f t="shared" si="13"/>
        <v>173</v>
      </c>
    </row>
    <row r="625" spans="4:5" x14ac:dyDescent="0.25">
      <c r="D625">
        <v>1</v>
      </c>
      <c r="E625">
        <f t="shared" si="13"/>
        <v>174</v>
      </c>
    </row>
    <row r="626" spans="4:5" x14ac:dyDescent="0.25">
      <c r="E626">
        <f t="shared" si="13"/>
        <v>174</v>
      </c>
    </row>
    <row r="627" spans="4:5" x14ac:dyDescent="0.25">
      <c r="E627">
        <f t="shared" si="13"/>
        <v>174</v>
      </c>
    </row>
    <row r="628" spans="4:5" x14ac:dyDescent="0.25">
      <c r="E628">
        <f t="shared" si="13"/>
        <v>174</v>
      </c>
    </row>
    <row r="629" spans="4:5" x14ac:dyDescent="0.25">
      <c r="D629">
        <v>1</v>
      </c>
      <c r="E629">
        <f t="shared" si="13"/>
        <v>175</v>
      </c>
    </row>
    <row r="630" spans="4:5" x14ac:dyDescent="0.25">
      <c r="E630">
        <f t="shared" ref="E630:E693" si="14">E629+D630</f>
        <v>175</v>
      </c>
    </row>
    <row r="631" spans="4:5" x14ac:dyDescent="0.25">
      <c r="E631">
        <f t="shared" si="14"/>
        <v>175</v>
      </c>
    </row>
    <row r="632" spans="4:5" x14ac:dyDescent="0.25">
      <c r="E632">
        <f t="shared" si="14"/>
        <v>175</v>
      </c>
    </row>
    <row r="633" spans="4:5" x14ac:dyDescent="0.25">
      <c r="D633">
        <v>1</v>
      </c>
      <c r="E633">
        <f t="shared" si="14"/>
        <v>176</v>
      </c>
    </row>
    <row r="634" spans="4:5" x14ac:dyDescent="0.25">
      <c r="E634">
        <f t="shared" si="14"/>
        <v>176</v>
      </c>
    </row>
    <row r="635" spans="4:5" x14ac:dyDescent="0.25">
      <c r="E635">
        <f t="shared" si="14"/>
        <v>176</v>
      </c>
    </row>
    <row r="636" spans="4:5" x14ac:dyDescent="0.25">
      <c r="E636">
        <f t="shared" si="14"/>
        <v>176</v>
      </c>
    </row>
    <row r="637" spans="4:5" x14ac:dyDescent="0.25">
      <c r="D637">
        <v>1</v>
      </c>
      <c r="E637">
        <f t="shared" si="14"/>
        <v>177</v>
      </c>
    </row>
    <row r="638" spans="4:5" x14ac:dyDescent="0.25">
      <c r="E638">
        <f t="shared" si="14"/>
        <v>177</v>
      </c>
    </row>
    <row r="639" spans="4:5" x14ac:dyDescent="0.25">
      <c r="E639">
        <f t="shared" si="14"/>
        <v>177</v>
      </c>
    </row>
    <row r="640" spans="4:5" x14ac:dyDescent="0.25">
      <c r="E640">
        <f t="shared" si="14"/>
        <v>177</v>
      </c>
    </row>
    <row r="641" spans="4:5" x14ac:dyDescent="0.25">
      <c r="D641">
        <v>1</v>
      </c>
      <c r="E641">
        <f t="shared" si="14"/>
        <v>178</v>
      </c>
    </row>
    <row r="642" spans="4:5" x14ac:dyDescent="0.25">
      <c r="E642">
        <f t="shared" si="14"/>
        <v>178</v>
      </c>
    </row>
    <row r="643" spans="4:5" x14ac:dyDescent="0.25">
      <c r="E643">
        <f t="shared" si="14"/>
        <v>178</v>
      </c>
    </row>
    <row r="644" spans="4:5" x14ac:dyDescent="0.25">
      <c r="E644">
        <f t="shared" si="14"/>
        <v>178</v>
      </c>
    </row>
    <row r="645" spans="4:5" x14ac:dyDescent="0.25">
      <c r="D645">
        <v>1</v>
      </c>
      <c r="E645">
        <f t="shared" si="14"/>
        <v>179</v>
      </c>
    </row>
    <row r="646" spans="4:5" x14ac:dyDescent="0.25">
      <c r="E646">
        <f t="shared" si="14"/>
        <v>179</v>
      </c>
    </row>
    <row r="647" spans="4:5" x14ac:dyDescent="0.25">
      <c r="E647">
        <f t="shared" si="14"/>
        <v>179</v>
      </c>
    </row>
    <row r="648" spans="4:5" x14ac:dyDescent="0.25">
      <c r="E648">
        <f t="shared" si="14"/>
        <v>179</v>
      </c>
    </row>
    <row r="649" spans="4:5" x14ac:dyDescent="0.25">
      <c r="D649">
        <v>1</v>
      </c>
      <c r="E649">
        <f t="shared" si="14"/>
        <v>180</v>
      </c>
    </row>
    <row r="650" spans="4:5" x14ac:dyDescent="0.25">
      <c r="E650">
        <f t="shared" si="14"/>
        <v>180</v>
      </c>
    </row>
    <row r="651" spans="4:5" x14ac:dyDescent="0.25">
      <c r="E651">
        <f t="shared" si="14"/>
        <v>180</v>
      </c>
    </row>
    <row r="652" spans="4:5" x14ac:dyDescent="0.25">
      <c r="E652">
        <f t="shared" si="14"/>
        <v>180</v>
      </c>
    </row>
    <row r="653" spans="4:5" x14ac:dyDescent="0.25">
      <c r="D653">
        <v>1</v>
      </c>
      <c r="E653">
        <f t="shared" si="14"/>
        <v>181</v>
      </c>
    </row>
    <row r="654" spans="4:5" x14ac:dyDescent="0.25">
      <c r="E654">
        <f t="shared" si="14"/>
        <v>181</v>
      </c>
    </row>
    <row r="655" spans="4:5" x14ac:dyDescent="0.25">
      <c r="E655">
        <f t="shared" si="14"/>
        <v>181</v>
      </c>
    </row>
    <row r="656" spans="4:5" x14ac:dyDescent="0.25">
      <c r="E656">
        <f t="shared" si="14"/>
        <v>181</v>
      </c>
    </row>
    <row r="657" spans="4:5" x14ac:dyDescent="0.25">
      <c r="D657">
        <v>1</v>
      </c>
      <c r="E657">
        <f t="shared" si="14"/>
        <v>182</v>
      </c>
    </row>
    <row r="658" spans="4:5" x14ac:dyDescent="0.25">
      <c r="E658">
        <f t="shared" si="14"/>
        <v>182</v>
      </c>
    </row>
    <row r="659" spans="4:5" x14ac:dyDescent="0.25">
      <c r="E659">
        <f t="shared" si="14"/>
        <v>182</v>
      </c>
    </row>
    <row r="660" spans="4:5" x14ac:dyDescent="0.25">
      <c r="E660">
        <f t="shared" si="14"/>
        <v>182</v>
      </c>
    </row>
    <row r="661" spans="4:5" x14ac:dyDescent="0.25">
      <c r="D661">
        <v>1</v>
      </c>
      <c r="E661">
        <f t="shared" si="14"/>
        <v>183</v>
      </c>
    </row>
    <row r="662" spans="4:5" x14ac:dyDescent="0.25">
      <c r="E662">
        <f t="shared" si="14"/>
        <v>183</v>
      </c>
    </row>
    <row r="663" spans="4:5" x14ac:dyDescent="0.25">
      <c r="E663">
        <f t="shared" si="14"/>
        <v>183</v>
      </c>
    </row>
    <row r="664" spans="4:5" x14ac:dyDescent="0.25">
      <c r="E664">
        <f t="shared" si="14"/>
        <v>183</v>
      </c>
    </row>
    <row r="665" spans="4:5" x14ac:dyDescent="0.25">
      <c r="D665">
        <v>1</v>
      </c>
      <c r="E665">
        <f t="shared" si="14"/>
        <v>184</v>
      </c>
    </row>
    <row r="666" spans="4:5" x14ac:dyDescent="0.25">
      <c r="E666">
        <f t="shared" si="14"/>
        <v>184</v>
      </c>
    </row>
    <row r="667" spans="4:5" x14ac:dyDescent="0.25">
      <c r="E667">
        <f t="shared" si="14"/>
        <v>184</v>
      </c>
    </row>
    <row r="668" spans="4:5" x14ac:dyDescent="0.25">
      <c r="E668">
        <f t="shared" si="14"/>
        <v>184</v>
      </c>
    </row>
    <row r="669" spans="4:5" x14ac:dyDescent="0.25">
      <c r="D669">
        <v>1</v>
      </c>
      <c r="E669">
        <f t="shared" si="14"/>
        <v>185</v>
      </c>
    </row>
    <row r="670" spans="4:5" x14ac:dyDescent="0.25">
      <c r="E670">
        <f t="shared" si="14"/>
        <v>185</v>
      </c>
    </row>
    <row r="671" spans="4:5" x14ac:dyDescent="0.25">
      <c r="E671">
        <f t="shared" si="14"/>
        <v>185</v>
      </c>
    </row>
    <row r="672" spans="4:5" x14ac:dyDescent="0.25">
      <c r="E672">
        <f t="shared" si="14"/>
        <v>185</v>
      </c>
    </row>
    <row r="673" spans="4:5" x14ac:dyDescent="0.25">
      <c r="D673">
        <v>1</v>
      </c>
      <c r="E673">
        <f t="shared" si="14"/>
        <v>186</v>
      </c>
    </row>
    <row r="674" spans="4:5" x14ac:dyDescent="0.25">
      <c r="E674">
        <f t="shared" si="14"/>
        <v>186</v>
      </c>
    </row>
    <row r="675" spans="4:5" x14ac:dyDescent="0.25">
      <c r="E675">
        <f t="shared" si="14"/>
        <v>186</v>
      </c>
    </row>
    <row r="676" spans="4:5" x14ac:dyDescent="0.25">
      <c r="E676">
        <f t="shared" si="14"/>
        <v>186</v>
      </c>
    </row>
    <row r="677" spans="4:5" x14ac:dyDescent="0.25">
      <c r="D677">
        <v>1</v>
      </c>
      <c r="E677">
        <f t="shared" si="14"/>
        <v>187</v>
      </c>
    </row>
    <row r="678" spans="4:5" x14ac:dyDescent="0.25">
      <c r="E678">
        <f t="shared" si="14"/>
        <v>187</v>
      </c>
    </row>
    <row r="679" spans="4:5" x14ac:dyDescent="0.25">
      <c r="E679">
        <f t="shared" si="14"/>
        <v>187</v>
      </c>
    </row>
    <row r="680" spans="4:5" x14ac:dyDescent="0.25">
      <c r="E680">
        <f t="shared" si="14"/>
        <v>187</v>
      </c>
    </row>
    <row r="681" spans="4:5" x14ac:dyDescent="0.25">
      <c r="D681">
        <v>1</v>
      </c>
      <c r="E681">
        <f t="shared" si="14"/>
        <v>188</v>
      </c>
    </row>
    <row r="682" spans="4:5" x14ac:dyDescent="0.25">
      <c r="E682">
        <f t="shared" si="14"/>
        <v>188</v>
      </c>
    </row>
    <row r="683" spans="4:5" x14ac:dyDescent="0.25">
      <c r="E683">
        <f t="shared" si="14"/>
        <v>188</v>
      </c>
    </row>
    <row r="684" spans="4:5" x14ac:dyDescent="0.25">
      <c r="E684">
        <f t="shared" si="14"/>
        <v>188</v>
      </c>
    </row>
    <row r="685" spans="4:5" x14ac:dyDescent="0.25">
      <c r="D685">
        <v>1</v>
      </c>
      <c r="E685">
        <f t="shared" si="14"/>
        <v>189</v>
      </c>
    </row>
    <row r="686" spans="4:5" x14ac:dyDescent="0.25">
      <c r="E686">
        <f t="shared" si="14"/>
        <v>189</v>
      </c>
    </row>
    <row r="687" spans="4:5" x14ac:dyDescent="0.25">
      <c r="E687">
        <f t="shared" si="14"/>
        <v>189</v>
      </c>
    </row>
    <row r="688" spans="4:5" x14ac:dyDescent="0.25">
      <c r="E688">
        <f t="shared" si="14"/>
        <v>189</v>
      </c>
    </row>
    <row r="689" spans="4:5" x14ac:dyDescent="0.25">
      <c r="D689">
        <v>1</v>
      </c>
      <c r="E689">
        <f t="shared" si="14"/>
        <v>190</v>
      </c>
    </row>
    <row r="690" spans="4:5" x14ac:dyDescent="0.25">
      <c r="E690">
        <f t="shared" si="14"/>
        <v>190</v>
      </c>
    </row>
    <row r="691" spans="4:5" x14ac:dyDescent="0.25">
      <c r="E691">
        <f t="shared" si="14"/>
        <v>190</v>
      </c>
    </row>
    <row r="692" spans="4:5" x14ac:dyDescent="0.25">
      <c r="E692">
        <f t="shared" si="14"/>
        <v>190</v>
      </c>
    </row>
    <row r="693" spans="4:5" x14ac:dyDescent="0.25">
      <c r="D693">
        <v>1</v>
      </c>
      <c r="E693">
        <f t="shared" si="14"/>
        <v>191</v>
      </c>
    </row>
    <row r="694" spans="4:5" x14ac:dyDescent="0.25">
      <c r="E694">
        <f t="shared" ref="E694:E757" si="15">E693+D694</f>
        <v>191</v>
      </c>
    </row>
    <row r="695" spans="4:5" x14ac:dyDescent="0.25">
      <c r="E695">
        <f t="shared" si="15"/>
        <v>191</v>
      </c>
    </row>
    <row r="696" spans="4:5" x14ac:dyDescent="0.25">
      <c r="E696">
        <f t="shared" si="15"/>
        <v>191</v>
      </c>
    </row>
    <row r="697" spans="4:5" x14ac:dyDescent="0.25">
      <c r="D697">
        <v>1</v>
      </c>
      <c r="E697">
        <f t="shared" si="15"/>
        <v>192</v>
      </c>
    </row>
    <row r="698" spans="4:5" x14ac:dyDescent="0.25">
      <c r="E698">
        <f t="shared" si="15"/>
        <v>192</v>
      </c>
    </row>
    <row r="699" spans="4:5" x14ac:dyDescent="0.25">
      <c r="E699">
        <f t="shared" si="15"/>
        <v>192</v>
      </c>
    </row>
    <row r="700" spans="4:5" x14ac:dyDescent="0.25">
      <c r="E700">
        <f t="shared" si="15"/>
        <v>192</v>
      </c>
    </row>
    <row r="701" spans="4:5" x14ac:dyDescent="0.25">
      <c r="D701">
        <v>1</v>
      </c>
      <c r="E701">
        <f t="shared" si="15"/>
        <v>193</v>
      </c>
    </row>
    <row r="702" spans="4:5" x14ac:dyDescent="0.25">
      <c r="E702">
        <f t="shared" si="15"/>
        <v>193</v>
      </c>
    </row>
    <row r="703" spans="4:5" x14ac:dyDescent="0.25">
      <c r="E703">
        <f t="shared" si="15"/>
        <v>193</v>
      </c>
    </row>
    <row r="704" spans="4:5" x14ac:dyDescent="0.25">
      <c r="E704">
        <f t="shared" si="15"/>
        <v>193</v>
      </c>
    </row>
    <row r="705" spans="4:5" x14ac:dyDescent="0.25">
      <c r="D705">
        <v>1</v>
      </c>
      <c r="E705">
        <f t="shared" si="15"/>
        <v>194</v>
      </c>
    </row>
    <row r="706" spans="4:5" x14ac:dyDescent="0.25">
      <c r="E706">
        <f t="shared" si="15"/>
        <v>194</v>
      </c>
    </row>
    <row r="707" spans="4:5" x14ac:dyDescent="0.25">
      <c r="E707">
        <f t="shared" si="15"/>
        <v>194</v>
      </c>
    </row>
    <row r="708" spans="4:5" x14ac:dyDescent="0.25">
      <c r="E708">
        <f t="shared" si="15"/>
        <v>194</v>
      </c>
    </row>
    <row r="709" spans="4:5" x14ac:dyDescent="0.25">
      <c r="D709">
        <v>1</v>
      </c>
      <c r="E709">
        <f t="shared" si="15"/>
        <v>195</v>
      </c>
    </row>
    <row r="710" spans="4:5" x14ac:dyDescent="0.25">
      <c r="E710">
        <f t="shared" si="15"/>
        <v>195</v>
      </c>
    </row>
    <row r="711" spans="4:5" x14ac:dyDescent="0.25">
      <c r="E711">
        <f t="shared" si="15"/>
        <v>195</v>
      </c>
    </row>
    <row r="712" spans="4:5" x14ac:dyDescent="0.25">
      <c r="E712">
        <f t="shared" si="15"/>
        <v>195</v>
      </c>
    </row>
    <row r="713" spans="4:5" x14ac:dyDescent="0.25">
      <c r="D713">
        <v>1</v>
      </c>
      <c r="E713">
        <f t="shared" si="15"/>
        <v>196</v>
      </c>
    </row>
    <row r="714" spans="4:5" x14ac:dyDescent="0.25">
      <c r="E714">
        <f t="shared" si="15"/>
        <v>196</v>
      </c>
    </row>
    <row r="715" spans="4:5" x14ac:dyDescent="0.25">
      <c r="E715">
        <f t="shared" si="15"/>
        <v>196</v>
      </c>
    </row>
    <row r="716" spans="4:5" x14ac:dyDescent="0.25">
      <c r="E716">
        <f t="shared" si="15"/>
        <v>196</v>
      </c>
    </row>
    <row r="717" spans="4:5" x14ac:dyDescent="0.25">
      <c r="D717">
        <v>1</v>
      </c>
      <c r="E717">
        <f t="shared" si="15"/>
        <v>197</v>
      </c>
    </row>
    <row r="718" spans="4:5" x14ac:dyDescent="0.25">
      <c r="E718">
        <f t="shared" si="15"/>
        <v>197</v>
      </c>
    </row>
    <row r="719" spans="4:5" x14ac:dyDescent="0.25">
      <c r="E719">
        <f t="shared" si="15"/>
        <v>197</v>
      </c>
    </row>
    <row r="720" spans="4:5" x14ac:dyDescent="0.25">
      <c r="E720">
        <f t="shared" si="15"/>
        <v>197</v>
      </c>
    </row>
    <row r="721" spans="4:5" x14ac:dyDescent="0.25">
      <c r="D721">
        <v>1</v>
      </c>
      <c r="E721">
        <f t="shared" si="15"/>
        <v>198</v>
      </c>
    </row>
    <row r="722" spans="4:5" x14ac:dyDescent="0.25">
      <c r="E722">
        <f t="shared" si="15"/>
        <v>198</v>
      </c>
    </row>
    <row r="723" spans="4:5" x14ac:dyDescent="0.25">
      <c r="E723">
        <f t="shared" si="15"/>
        <v>198</v>
      </c>
    </row>
    <row r="724" spans="4:5" x14ac:dyDescent="0.25">
      <c r="E724">
        <f t="shared" si="15"/>
        <v>198</v>
      </c>
    </row>
    <row r="725" spans="4:5" x14ac:dyDescent="0.25">
      <c r="D725">
        <v>1</v>
      </c>
      <c r="E725">
        <f t="shared" si="15"/>
        <v>199</v>
      </c>
    </row>
    <row r="726" spans="4:5" x14ac:dyDescent="0.25">
      <c r="E726">
        <f t="shared" si="15"/>
        <v>199</v>
      </c>
    </row>
    <row r="727" spans="4:5" x14ac:dyDescent="0.25">
      <c r="E727">
        <f t="shared" si="15"/>
        <v>199</v>
      </c>
    </row>
    <row r="728" spans="4:5" x14ac:dyDescent="0.25">
      <c r="E728">
        <f t="shared" si="15"/>
        <v>199</v>
      </c>
    </row>
    <row r="729" spans="4:5" x14ac:dyDescent="0.25">
      <c r="D729">
        <v>1</v>
      </c>
      <c r="E729">
        <f t="shared" si="15"/>
        <v>200</v>
      </c>
    </row>
    <row r="730" spans="4:5" x14ac:dyDescent="0.25">
      <c r="E730">
        <f t="shared" si="15"/>
        <v>200</v>
      </c>
    </row>
    <row r="731" spans="4:5" x14ac:dyDescent="0.25">
      <c r="E731">
        <f t="shared" si="15"/>
        <v>200</v>
      </c>
    </row>
    <row r="732" spans="4:5" x14ac:dyDescent="0.25">
      <c r="E732">
        <f t="shared" si="15"/>
        <v>200</v>
      </c>
    </row>
    <row r="733" spans="4:5" x14ac:dyDescent="0.25">
      <c r="D733">
        <v>1</v>
      </c>
      <c r="E733">
        <f t="shared" si="15"/>
        <v>201</v>
      </c>
    </row>
    <row r="734" spans="4:5" x14ac:dyDescent="0.25">
      <c r="E734">
        <f t="shared" si="15"/>
        <v>201</v>
      </c>
    </row>
    <row r="735" spans="4:5" x14ac:dyDescent="0.25">
      <c r="E735">
        <f t="shared" si="15"/>
        <v>201</v>
      </c>
    </row>
    <row r="736" spans="4:5" x14ac:dyDescent="0.25">
      <c r="E736">
        <f t="shared" si="15"/>
        <v>201</v>
      </c>
    </row>
    <row r="737" spans="4:5" x14ac:dyDescent="0.25">
      <c r="D737">
        <v>1</v>
      </c>
      <c r="E737">
        <f t="shared" si="15"/>
        <v>202</v>
      </c>
    </row>
    <row r="738" spans="4:5" x14ac:dyDescent="0.25">
      <c r="E738">
        <f t="shared" si="15"/>
        <v>202</v>
      </c>
    </row>
    <row r="739" spans="4:5" x14ac:dyDescent="0.25">
      <c r="E739">
        <f t="shared" si="15"/>
        <v>202</v>
      </c>
    </row>
    <row r="740" spans="4:5" x14ac:dyDescent="0.25">
      <c r="E740">
        <f t="shared" si="15"/>
        <v>202</v>
      </c>
    </row>
    <row r="741" spans="4:5" x14ac:dyDescent="0.25">
      <c r="D741">
        <v>1</v>
      </c>
      <c r="E741">
        <f t="shared" si="15"/>
        <v>203</v>
      </c>
    </row>
    <row r="742" spans="4:5" x14ac:dyDescent="0.25">
      <c r="E742">
        <f t="shared" si="15"/>
        <v>203</v>
      </c>
    </row>
    <row r="743" spans="4:5" x14ac:dyDescent="0.25">
      <c r="E743">
        <f t="shared" si="15"/>
        <v>203</v>
      </c>
    </row>
    <row r="744" spans="4:5" x14ac:dyDescent="0.25">
      <c r="E744">
        <f t="shared" si="15"/>
        <v>203</v>
      </c>
    </row>
    <row r="745" spans="4:5" x14ac:dyDescent="0.25">
      <c r="D745">
        <v>1</v>
      </c>
      <c r="E745">
        <f t="shared" si="15"/>
        <v>204</v>
      </c>
    </row>
    <row r="746" spans="4:5" x14ac:dyDescent="0.25">
      <c r="E746">
        <f t="shared" si="15"/>
        <v>204</v>
      </c>
    </row>
    <row r="747" spans="4:5" x14ac:dyDescent="0.25">
      <c r="E747">
        <f t="shared" si="15"/>
        <v>204</v>
      </c>
    </row>
    <row r="748" spans="4:5" x14ac:dyDescent="0.25">
      <c r="E748">
        <f t="shared" si="15"/>
        <v>204</v>
      </c>
    </row>
    <row r="749" spans="4:5" x14ac:dyDescent="0.25">
      <c r="D749">
        <v>1</v>
      </c>
      <c r="E749">
        <f t="shared" si="15"/>
        <v>205</v>
      </c>
    </row>
    <row r="750" spans="4:5" x14ac:dyDescent="0.25">
      <c r="E750">
        <f t="shared" si="15"/>
        <v>205</v>
      </c>
    </row>
    <row r="751" spans="4:5" x14ac:dyDescent="0.25">
      <c r="E751">
        <f t="shared" si="15"/>
        <v>205</v>
      </c>
    </row>
    <row r="752" spans="4:5" x14ac:dyDescent="0.25">
      <c r="E752">
        <f t="shared" si="15"/>
        <v>205</v>
      </c>
    </row>
    <row r="753" spans="4:5" x14ac:dyDescent="0.25">
      <c r="D753">
        <v>1</v>
      </c>
      <c r="E753">
        <f t="shared" si="15"/>
        <v>206</v>
      </c>
    </row>
    <row r="754" spans="4:5" x14ac:dyDescent="0.25">
      <c r="E754">
        <f t="shared" si="15"/>
        <v>206</v>
      </c>
    </row>
    <row r="755" spans="4:5" x14ac:dyDescent="0.25">
      <c r="E755">
        <f t="shared" si="15"/>
        <v>206</v>
      </c>
    </row>
    <row r="756" spans="4:5" x14ac:dyDescent="0.25">
      <c r="E756">
        <f t="shared" si="15"/>
        <v>206</v>
      </c>
    </row>
    <row r="757" spans="4:5" x14ac:dyDescent="0.25">
      <c r="D757">
        <v>1</v>
      </c>
      <c r="E757">
        <f t="shared" si="15"/>
        <v>207</v>
      </c>
    </row>
    <row r="758" spans="4:5" x14ac:dyDescent="0.25">
      <c r="E758">
        <f t="shared" ref="E758:E821" si="16">E757+D758</f>
        <v>207</v>
      </c>
    </row>
    <row r="759" spans="4:5" x14ac:dyDescent="0.25">
      <c r="E759">
        <f t="shared" si="16"/>
        <v>207</v>
      </c>
    </row>
    <row r="760" spans="4:5" x14ac:dyDescent="0.25">
      <c r="E760">
        <f t="shared" si="16"/>
        <v>207</v>
      </c>
    </row>
    <row r="761" spans="4:5" x14ac:dyDescent="0.25">
      <c r="D761">
        <v>1</v>
      </c>
      <c r="E761">
        <f t="shared" si="16"/>
        <v>208</v>
      </c>
    </row>
    <row r="762" spans="4:5" x14ac:dyDescent="0.25">
      <c r="E762">
        <f t="shared" si="16"/>
        <v>208</v>
      </c>
    </row>
    <row r="763" spans="4:5" x14ac:dyDescent="0.25">
      <c r="E763">
        <f t="shared" si="16"/>
        <v>208</v>
      </c>
    </row>
    <row r="764" spans="4:5" x14ac:dyDescent="0.25">
      <c r="E764">
        <f t="shared" si="16"/>
        <v>208</v>
      </c>
    </row>
    <row r="765" spans="4:5" x14ac:dyDescent="0.25">
      <c r="D765">
        <v>1</v>
      </c>
      <c r="E765">
        <f t="shared" si="16"/>
        <v>209</v>
      </c>
    </row>
    <row r="766" spans="4:5" x14ac:dyDescent="0.25">
      <c r="E766">
        <f t="shared" si="16"/>
        <v>209</v>
      </c>
    </row>
    <row r="767" spans="4:5" x14ac:dyDescent="0.25">
      <c r="E767">
        <f t="shared" si="16"/>
        <v>209</v>
      </c>
    </row>
    <row r="768" spans="4:5" x14ac:dyDescent="0.25">
      <c r="E768">
        <f t="shared" si="16"/>
        <v>209</v>
      </c>
    </row>
    <row r="769" spans="4:5" x14ac:dyDescent="0.25">
      <c r="D769">
        <v>1</v>
      </c>
      <c r="E769">
        <f t="shared" si="16"/>
        <v>210</v>
      </c>
    </row>
    <row r="770" spans="4:5" x14ac:dyDescent="0.25">
      <c r="E770">
        <f t="shared" si="16"/>
        <v>210</v>
      </c>
    </row>
    <row r="771" spans="4:5" x14ac:dyDescent="0.25">
      <c r="E771">
        <f t="shared" si="16"/>
        <v>210</v>
      </c>
    </row>
    <row r="772" spans="4:5" x14ac:dyDescent="0.25">
      <c r="E772">
        <f t="shared" si="16"/>
        <v>210</v>
      </c>
    </row>
    <row r="773" spans="4:5" x14ac:dyDescent="0.25">
      <c r="D773">
        <v>1</v>
      </c>
      <c r="E773">
        <f t="shared" si="16"/>
        <v>211</v>
      </c>
    </row>
    <row r="774" spans="4:5" x14ac:dyDescent="0.25">
      <c r="E774">
        <f t="shared" si="16"/>
        <v>211</v>
      </c>
    </row>
    <row r="775" spans="4:5" x14ac:dyDescent="0.25">
      <c r="E775">
        <f t="shared" si="16"/>
        <v>211</v>
      </c>
    </row>
    <row r="776" spans="4:5" x14ac:dyDescent="0.25">
      <c r="E776">
        <f t="shared" si="16"/>
        <v>211</v>
      </c>
    </row>
    <row r="777" spans="4:5" x14ac:dyDescent="0.25">
      <c r="D777">
        <v>1</v>
      </c>
      <c r="E777">
        <f t="shared" si="16"/>
        <v>212</v>
      </c>
    </row>
    <row r="778" spans="4:5" x14ac:dyDescent="0.25">
      <c r="E778">
        <f t="shared" si="16"/>
        <v>212</v>
      </c>
    </row>
    <row r="779" spans="4:5" x14ac:dyDescent="0.25">
      <c r="E779">
        <f t="shared" si="16"/>
        <v>212</v>
      </c>
    </row>
    <row r="780" spans="4:5" x14ac:dyDescent="0.25">
      <c r="E780">
        <f t="shared" si="16"/>
        <v>212</v>
      </c>
    </row>
    <row r="781" spans="4:5" x14ac:dyDescent="0.25">
      <c r="D781">
        <v>1</v>
      </c>
      <c r="E781">
        <f t="shared" si="16"/>
        <v>213</v>
      </c>
    </row>
    <row r="782" spans="4:5" x14ac:dyDescent="0.25">
      <c r="E782">
        <f t="shared" si="16"/>
        <v>213</v>
      </c>
    </row>
    <row r="783" spans="4:5" x14ac:dyDescent="0.25">
      <c r="E783">
        <f t="shared" si="16"/>
        <v>213</v>
      </c>
    </row>
    <row r="784" spans="4:5" x14ac:dyDescent="0.25">
      <c r="E784">
        <f t="shared" si="16"/>
        <v>213</v>
      </c>
    </row>
    <row r="785" spans="4:5" x14ac:dyDescent="0.25">
      <c r="D785">
        <v>1</v>
      </c>
      <c r="E785">
        <f t="shared" si="16"/>
        <v>214</v>
      </c>
    </row>
    <row r="786" spans="4:5" x14ac:dyDescent="0.25">
      <c r="E786">
        <f t="shared" si="16"/>
        <v>214</v>
      </c>
    </row>
    <row r="787" spans="4:5" x14ac:dyDescent="0.25">
      <c r="E787">
        <f t="shared" si="16"/>
        <v>214</v>
      </c>
    </row>
    <row r="788" spans="4:5" x14ac:dyDescent="0.25">
      <c r="E788">
        <f t="shared" si="16"/>
        <v>214</v>
      </c>
    </row>
    <row r="789" spans="4:5" x14ac:dyDescent="0.25">
      <c r="D789">
        <v>1</v>
      </c>
      <c r="E789">
        <f t="shared" si="16"/>
        <v>215</v>
      </c>
    </row>
    <row r="790" spans="4:5" x14ac:dyDescent="0.25">
      <c r="E790">
        <f t="shared" si="16"/>
        <v>215</v>
      </c>
    </row>
    <row r="791" spans="4:5" x14ac:dyDescent="0.25">
      <c r="E791">
        <f t="shared" si="16"/>
        <v>215</v>
      </c>
    </row>
    <row r="792" spans="4:5" x14ac:dyDescent="0.25">
      <c r="E792">
        <f t="shared" si="16"/>
        <v>215</v>
      </c>
    </row>
    <row r="793" spans="4:5" x14ac:dyDescent="0.25">
      <c r="D793">
        <v>1</v>
      </c>
      <c r="E793">
        <f t="shared" si="16"/>
        <v>216</v>
      </c>
    </row>
    <row r="794" spans="4:5" x14ac:dyDescent="0.25">
      <c r="E794">
        <f t="shared" si="16"/>
        <v>216</v>
      </c>
    </row>
    <row r="795" spans="4:5" x14ac:dyDescent="0.25">
      <c r="E795">
        <f t="shared" si="16"/>
        <v>216</v>
      </c>
    </row>
    <row r="796" spans="4:5" x14ac:dyDescent="0.25">
      <c r="E796">
        <f t="shared" si="16"/>
        <v>216</v>
      </c>
    </row>
    <row r="797" spans="4:5" x14ac:dyDescent="0.25">
      <c r="D797">
        <v>1</v>
      </c>
      <c r="E797">
        <f t="shared" si="16"/>
        <v>217</v>
      </c>
    </row>
    <row r="798" spans="4:5" x14ac:dyDescent="0.25">
      <c r="E798">
        <f t="shared" si="16"/>
        <v>217</v>
      </c>
    </row>
    <row r="799" spans="4:5" x14ac:dyDescent="0.25">
      <c r="E799">
        <f t="shared" si="16"/>
        <v>217</v>
      </c>
    </row>
    <row r="800" spans="4:5" x14ac:dyDescent="0.25">
      <c r="E800">
        <f t="shared" si="16"/>
        <v>217</v>
      </c>
    </row>
    <row r="801" spans="4:5" x14ac:dyDescent="0.25">
      <c r="D801">
        <v>1</v>
      </c>
      <c r="E801">
        <f t="shared" si="16"/>
        <v>218</v>
      </c>
    </row>
    <row r="802" spans="4:5" x14ac:dyDescent="0.25">
      <c r="E802">
        <f t="shared" si="16"/>
        <v>218</v>
      </c>
    </row>
    <row r="803" spans="4:5" x14ac:dyDescent="0.25">
      <c r="E803">
        <f t="shared" si="16"/>
        <v>218</v>
      </c>
    </row>
    <row r="804" spans="4:5" x14ac:dyDescent="0.25">
      <c r="E804">
        <f t="shared" si="16"/>
        <v>218</v>
      </c>
    </row>
    <row r="805" spans="4:5" x14ac:dyDescent="0.25">
      <c r="D805">
        <v>1</v>
      </c>
      <c r="E805">
        <f t="shared" si="16"/>
        <v>219</v>
      </c>
    </row>
    <row r="806" spans="4:5" x14ac:dyDescent="0.25">
      <c r="E806">
        <f t="shared" si="16"/>
        <v>219</v>
      </c>
    </row>
    <row r="807" spans="4:5" x14ac:dyDescent="0.25">
      <c r="E807">
        <f t="shared" si="16"/>
        <v>219</v>
      </c>
    </row>
    <row r="808" spans="4:5" x14ac:dyDescent="0.25">
      <c r="E808">
        <f t="shared" si="16"/>
        <v>219</v>
      </c>
    </row>
    <row r="809" spans="4:5" x14ac:dyDescent="0.25">
      <c r="D809">
        <v>1</v>
      </c>
      <c r="E809">
        <f t="shared" si="16"/>
        <v>220</v>
      </c>
    </row>
    <row r="810" spans="4:5" x14ac:dyDescent="0.25">
      <c r="E810">
        <f t="shared" si="16"/>
        <v>220</v>
      </c>
    </row>
    <row r="811" spans="4:5" x14ac:dyDescent="0.25">
      <c r="E811">
        <f t="shared" si="16"/>
        <v>220</v>
      </c>
    </row>
    <row r="812" spans="4:5" x14ac:dyDescent="0.25">
      <c r="E812">
        <f t="shared" si="16"/>
        <v>220</v>
      </c>
    </row>
    <row r="813" spans="4:5" x14ac:dyDescent="0.25">
      <c r="D813">
        <v>1</v>
      </c>
      <c r="E813">
        <f t="shared" si="16"/>
        <v>221</v>
      </c>
    </row>
    <row r="814" spans="4:5" x14ac:dyDescent="0.25">
      <c r="E814">
        <f t="shared" si="16"/>
        <v>221</v>
      </c>
    </row>
    <row r="815" spans="4:5" x14ac:dyDescent="0.25">
      <c r="E815">
        <f t="shared" si="16"/>
        <v>221</v>
      </c>
    </row>
    <row r="816" spans="4:5" x14ac:dyDescent="0.25">
      <c r="E816">
        <f t="shared" si="16"/>
        <v>221</v>
      </c>
    </row>
    <row r="817" spans="4:5" x14ac:dyDescent="0.25">
      <c r="D817">
        <v>1</v>
      </c>
      <c r="E817">
        <f t="shared" si="16"/>
        <v>222</v>
      </c>
    </row>
    <row r="818" spans="4:5" x14ac:dyDescent="0.25">
      <c r="E818">
        <f t="shared" si="16"/>
        <v>222</v>
      </c>
    </row>
    <row r="819" spans="4:5" x14ac:dyDescent="0.25">
      <c r="E819">
        <f t="shared" si="16"/>
        <v>222</v>
      </c>
    </row>
    <row r="820" spans="4:5" x14ac:dyDescent="0.25">
      <c r="E820">
        <f t="shared" si="16"/>
        <v>222</v>
      </c>
    </row>
    <row r="821" spans="4:5" x14ac:dyDescent="0.25">
      <c r="D821">
        <v>1</v>
      </c>
      <c r="E821">
        <f t="shared" si="16"/>
        <v>223</v>
      </c>
    </row>
    <row r="822" spans="4:5" x14ac:dyDescent="0.25">
      <c r="E822">
        <f t="shared" ref="E822:E885" si="17">E821+D822</f>
        <v>223</v>
      </c>
    </row>
    <row r="823" spans="4:5" x14ac:dyDescent="0.25">
      <c r="E823">
        <f t="shared" si="17"/>
        <v>223</v>
      </c>
    </row>
    <row r="824" spans="4:5" x14ac:dyDescent="0.25">
      <c r="E824">
        <f t="shared" si="17"/>
        <v>223</v>
      </c>
    </row>
    <row r="825" spans="4:5" x14ac:dyDescent="0.25">
      <c r="D825">
        <v>1</v>
      </c>
      <c r="E825">
        <f t="shared" si="17"/>
        <v>224</v>
      </c>
    </row>
    <row r="826" spans="4:5" x14ac:dyDescent="0.25">
      <c r="E826">
        <f t="shared" si="17"/>
        <v>224</v>
      </c>
    </row>
    <row r="827" spans="4:5" x14ac:dyDescent="0.25">
      <c r="E827">
        <f t="shared" si="17"/>
        <v>224</v>
      </c>
    </row>
    <row r="828" spans="4:5" x14ac:dyDescent="0.25">
      <c r="E828">
        <f t="shared" si="17"/>
        <v>224</v>
      </c>
    </row>
    <row r="829" spans="4:5" x14ac:dyDescent="0.25">
      <c r="D829">
        <v>1</v>
      </c>
      <c r="E829">
        <f t="shared" si="17"/>
        <v>225</v>
      </c>
    </row>
    <row r="830" spans="4:5" x14ac:dyDescent="0.25">
      <c r="E830">
        <f t="shared" si="17"/>
        <v>225</v>
      </c>
    </row>
    <row r="831" spans="4:5" x14ac:dyDescent="0.25">
      <c r="E831">
        <f t="shared" si="17"/>
        <v>225</v>
      </c>
    </row>
    <row r="832" spans="4:5" x14ac:dyDescent="0.25">
      <c r="E832">
        <f t="shared" si="17"/>
        <v>225</v>
      </c>
    </row>
    <row r="833" spans="4:5" x14ac:dyDescent="0.25">
      <c r="D833">
        <v>1</v>
      </c>
      <c r="E833">
        <f t="shared" si="17"/>
        <v>226</v>
      </c>
    </row>
    <row r="834" spans="4:5" x14ac:dyDescent="0.25">
      <c r="E834">
        <f t="shared" si="17"/>
        <v>226</v>
      </c>
    </row>
    <row r="835" spans="4:5" x14ac:dyDescent="0.25">
      <c r="E835">
        <f t="shared" si="17"/>
        <v>226</v>
      </c>
    </row>
    <row r="836" spans="4:5" x14ac:dyDescent="0.25">
      <c r="E836">
        <f t="shared" si="17"/>
        <v>226</v>
      </c>
    </row>
    <row r="837" spans="4:5" x14ac:dyDescent="0.25">
      <c r="D837">
        <v>1</v>
      </c>
      <c r="E837">
        <f t="shared" si="17"/>
        <v>227</v>
      </c>
    </row>
    <row r="838" spans="4:5" x14ac:dyDescent="0.25">
      <c r="E838">
        <f t="shared" si="17"/>
        <v>227</v>
      </c>
    </row>
    <row r="839" spans="4:5" x14ac:dyDescent="0.25">
      <c r="E839">
        <f t="shared" si="17"/>
        <v>227</v>
      </c>
    </row>
    <row r="840" spans="4:5" x14ac:dyDescent="0.25">
      <c r="E840">
        <f t="shared" si="17"/>
        <v>227</v>
      </c>
    </row>
    <row r="841" spans="4:5" x14ac:dyDescent="0.25">
      <c r="D841">
        <v>1</v>
      </c>
      <c r="E841">
        <f t="shared" si="17"/>
        <v>228</v>
      </c>
    </row>
    <row r="842" spans="4:5" x14ac:dyDescent="0.25">
      <c r="E842">
        <f t="shared" si="17"/>
        <v>228</v>
      </c>
    </row>
    <row r="843" spans="4:5" x14ac:dyDescent="0.25">
      <c r="E843">
        <f t="shared" si="17"/>
        <v>228</v>
      </c>
    </row>
    <row r="844" spans="4:5" x14ac:dyDescent="0.25">
      <c r="E844">
        <f t="shared" si="17"/>
        <v>228</v>
      </c>
    </row>
    <row r="845" spans="4:5" x14ac:dyDescent="0.25">
      <c r="D845">
        <v>1</v>
      </c>
      <c r="E845">
        <f t="shared" si="17"/>
        <v>229</v>
      </c>
    </row>
    <row r="846" spans="4:5" x14ac:dyDescent="0.25">
      <c r="E846">
        <f t="shared" si="17"/>
        <v>229</v>
      </c>
    </row>
    <row r="847" spans="4:5" x14ac:dyDescent="0.25">
      <c r="E847">
        <f t="shared" si="17"/>
        <v>229</v>
      </c>
    </row>
    <row r="848" spans="4:5" x14ac:dyDescent="0.25">
      <c r="E848">
        <f t="shared" si="17"/>
        <v>229</v>
      </c>
    </row>
    <row r="849" spans="4:5" x14ac:dyDescent="0.25">
      <c r="D849">
        <v>1</v>
      </c>
      <c r="E849">
        <f t="shared" si="17"/>
        <v>230</v>
      </c>
    </row>
    <row r="850" spans="4:5" x14ac:dyDescent="0.25">
      <c r="E850">
        <f t="shared" si="17"/>
        <v>230</v>
      </c>
    </row>
    <row r="851" spans="4:5" x14ac:dyDescent="0.25">
      <c r="E851">
        <f t="shared" si="17"/>
        <v>230</v>
      </c>
    </row>
    <row r="852" spans="4:5" x14ac:dyDescent="0.25">
      <c r="E852">
        <f t="shared" si="17"/>
        <v>230</v>
      </c>
    </row>
    <row r="853" spans="4:5" x14ac:dyDescent="0.25">
      <c r="D853">
        <v>1</v>
      </c>
      <c r="E853">
        <f t="shared" si="17"/>
        <v>231</v>
      </c>
    </row>
    <row r="854" spans="4:5" x14ac:dyDescent="0.25">
      <c r="E854">
        <f t="shared" si="17"/>
        <v>231</v>
      </c>
    </row>
    <row r="855" spans="4:5" x14ac:dyDescent="0.25">
      <c r="E855">
        <f t="shared" si="17"/>
        <v>231</v>
      </c>
    </row>
    <row r="856" spans="4:5" x14ac:dyDescent="0.25">
      <c r="E856">
        <f t="shared" si="17"/>
        <v>231</v>
      </c>
    </row>
    <row r="857" spans="4:5" x14ac:dyDescent="0.25">
      <c r="D857">
        <v>1</v>
      </c>
      <c r="E857">
        <f t="shared" si="17"/>
        <v>232</v>
      </c>
    </row>
    <row r="858" spans="4:5" x14ac:dyDescent="0.25">
      <c r="E858">
        <f t="shared" si="17"/>
        <v>232</v>
      </c>
    </row>
    <row r="859" spans="4:5" x14ac:dyDescent="0.25">
      <c r="E859">
        <f t="shared" si="17"/>
        <v>232</v>
      </c>
    </row>
    <row r="860" spans="4:5" x14ac:dyDescent="0.25">
      <c r="E860">
        <f t="shared" si="17"/>
        <v>232</v>
      </c>
    </row>
    <row r="861" spans="4:5" x14ac:dyDescent="0.25">
      <c r="D861">
        <v>1</v>
      </c>
      <c r="E861">
        <f t="shared" si="17"/>
        <v>233</v>
      </c>
    </row>
    <row r="862" spans="4:5" x14ac:dyDescent="0.25">
      <c r="E862">
        <f t="shared" si="17"/>
        <v>233</v>
      </c>
    </row>
    <row r="863" spans="4:5" x14ac:dyDescent="0.25">
      <c r="E863">
        <f t="shared" si="17"/>
        <v>233</v>
      </c>
    </row>
    <row r="864" spans="4:5" x14ac:dyDescent="0.25">
      <c r="E864">
        <f t="shared" si="17"/>
        <v>233</v>
      </c>
    </row>
    <row r="865" spans="4:5" x14ac:dyDescent="0.25">
      <c r="D865">
        <v>1</v>
      </c>
      <c r="E865">
        <f t="shared" si="17"/>
        <v>234</v>
      </c>
    </row>
    <row r="866" spans="4:5" x14ac:dyDescent="0.25">
      <c r="E866">
        <f t="shared" si="17"/>
        <v>234</v>
      </c>
    </row>
    <row r="867" spans="4:5" x14ac:dyDescent="0.25">
      <c r="E867">
        <f t="shared" si="17"/>
        <v>234</v>
      </c>
    </row>
    <row r="868" spans="4:5" x14ac:dyDescent="0.25">
      <c r="E868">
        <f t="shared" si="17"/>
        <v>234</v>
      </c>
    </row>
    <row r="869" spans="4:5" x14ac:dyDescent="0.25">
      <c r="D869">
        <v>1</v>
      </c>
      <c r="E869">
        <f t="shared" si="17"/>
        <v>235</v>
      </c>
    </row>
    <row r="870" spans="4:5" x14ac:dyDescent="0.25">
      <c r="E870">
        <f t="shared" si="17"/>
        <v>235</v>
      </c>
    </row>
    <row r="871" spans="4:5" x14ac:dyDescent="0.25">
      <c r="E871">
        <f t="shared" si="17"/>
        <v>235</v>
      </c>
    </row>
    <row r="872" spans="4:5" x14ac:dyDescent="0.25">
      <c r="E872">
        <f t="shared" si="17"/>
        <v>235</v>
      </c>
    </row>
    <row r="873" spans="4:5" x14ac:dyDescent="0.25">
      <c r="D873">
        <v>1</v>
      </c>
      <c r="E873">
        <f t="shared" si="17"/>
        <v>236</v>
      </c>
    </row>
    <row r="874" spans="4:5" x14ac:dyDescent="0.25">
      <c r="E874">
        <f t="shared" si="17"/>
        <v>236</v>
      </c>
    </row>
    <row r="875" spans="4:5" x14ac:dyDescent="0.25">
      <c r="E875">
        <f t="shared" si="17"/>
        <v>236</v>
      </c>
    </row>
    <row r="876" spans="4:5" x14ac:dyDescent="0.25">
      <c r="E876">
        <f t="shared" si="17"/>
        <v>236</v>
      </c>
    </row>
    <row r="877" spans="4:5" x14ac:dyDescent="0.25">
      <c r="D877">
        <v>1</v>
      </c>
      <c r="E877">
        <f t="shared" si="17"/>
        <v>237</v>
      </c>
    </row>
    <row r="878" spans="4:5" x14ac:dyDescent="0.25">
      <c r="E878">
        <f t="shared" si="17"/>
        <v>237</v>
      </c>
    </row>
    <row r="879" spans="4:5" x14ac:dyDescent="0.25">
      <c r="E879">
        <f t="shared" si="17"/>
        <v>237</v>
      </c>
    </row>
    <row r="880" spans="4:5" x14ac:dyDescent="0.25">
      <c r="E880">
        <f t="shared" si="17"/>
        <v>237</v>
      </c>
    </row>
    <row r="881" spans="4:5" x14ac:dyDescent="0.25">
      <c r="D881">
        <v>1</v>
      </c>
      <c r="E881">
        <f t="shared" si="17"/>
        <v>238</v>
      </c>
    </row>
    <row r="882" spans="4:5" x14ac:dyDescent="0.25">
      <c r="E882">
        <f t="shared" si="17"/>
        <v>238</v>
      </c>
    </row>
    <row r="883" spans="4:5" x14ac:dyDescent="0.25">
      <c r="E883">
        <f t="shared" si="17"/>
        <v>238</v>
      </c>
    </row>
    <row r="884" spans="4:5" x14ac:dyDescent="0.25">
      <c r="E884">
        <f t="shared" si="17"/>
        <v>238</v>
      </c>
    </row>
    <row r="885" spans="4:5" x14ac:dyDescent="0.25">
      <c r="D885">
        <v>1</v>
      </c>
      <c r="E885">
        <f t="shared" si="17"/>
        <v>239</v>
      </c>
    </row>
    <row r="886" spans="4:5" x14ac:dyDescent="0.25">
      <c r="E886">
        <f t="shared" ref="E886:E949" si="18">E885+D886</f>
        <v>239</v>
      </c>
    </row>
    <row r="887" spans="4:5" x14ac:dyDescent="0.25">
      <c r="E887">
        <f t="shared" si="18"/>
        <v>239</v>
      </c>
    </row>
    <row r="888" spans="4:5" x14ac:dyDescent="0.25">
      <c r="E888">
        <f t="shared" si="18"/>
        <v>239</v>
      </c>
    </row>
    <row r="889" spans="4:5" x14ac:dyDescent="0.25">
      <c r="D889">
        <v>1</v>
      </c>
      <c r="E889">
        <f t="shared" si="18"/>
        <v>240</v>
      </c>
    </row>
    <row r="890" spans="4:5" x14ac:dyDescent="0.25">
      <c r="E890">
        <f t="shared" si="18"/>
        <v>240</v>
      </c>
    </row>
    <row r="891" spans="4:5" x14ac:dyDescent="0.25">
      <c r="E891">
        <f t="shared" si="18"/>
        <v>240</v>
      </c>
    </row>
    <row r="892" spans="4:5" x14ac:dyDescent="0.25">
      <c r="E892">
        <f t="shared" si="18"/>
        <v>240</v>
      </c>
    </row>
    <row r="893" spans="4:5" x14ac:dyDescent="0.25">
      <c r="D893">
        <v>1</v>
      </c>
      <c r="E893">
        <f t="shared" si="18"/>
        <v>241</v>
      </c>
    </row>
    <row r="894" spans="4:5" x14ac:dyDescent="0.25">
      <c r="E894">
        <f t="shared" si="18"/>
        <v>241</v>
      </c>
    </row>
    <row r="895" spans="4:5" x14ac:dyDescent="0.25">
      <c r="E895">
        <f t="shared" si="18"/>
        <v>241</v>
      </c>
    </row>
    <row r="896" spans="4:5" x14ac:dyDescent="0.25">
      <c r="E896">
        <f t="shared" si="18"/>
        <v>241</v>
      </c>
    </row>
    <row r="897" spans="4:5" x14ac:dyDescent="0.25">
      <c r="D897">
        <v>1</v>
      </c>
      <c r="E897">
        <f t="shared" si="18"/>
        <v>242</v>
      </c>
    </row>
    <row r="898" spans="4:5" x14ac:dyDescent="0.25">
      <c r="E898">
        <f t="shared" si="18"/>
        <v>242</v>
      </c>
    </row>
    <row r="899" spans="4:5" x14ac:dyDescent="0.25">
      <c r="E899">
        <f t="shared" si="18"/>
        <v>242</v>
      </c>
    </row>
    <row r="900" spans="4:5" x14ac:dyDescent="0.25">
      <c r="E900">
        <f t="shared" si="18"/>
        <v>242</v>
      </c>
    </row>
    <row r="901" spans="4:5" x14ac:dyDescent="0.25">
      <c r="D901">
        <v>1</v>
      </c>
      <c r="E901">
        <f t="shared" si="18"/>
        <v>243</v>
      </c>
    </row>
    <row r="902" spans="4:5" x14ac:dyDescent="0.25">
      <c r="E902">
        <f t="shared" si="18"/>
        <v>243</v>
      </c>
    </row>
    <row r="903" spans="4:5" x14ac:dyDescent="0.25">
      <c r="E903">
        <f t="shared" si="18"/>
        <v>243</v>
      </c>
    </row>
    <row r="904" spans="4:5" x14ac:dyDescent="0.25">
      <c r="E904">
        <f t="shared" si="18"/>
        <v>243</v>
      </c>
    </row>
    <row r="905" spans="4:5" x14ac:dyDescent="0.25">
      <c r="D905">
        <v>1</v>
      </c>
      <c r="E905">
        <f t="shared" si="18"/>
        <v>244</v>
      </c>
    </row>
    <row r="906" spans="4:5" x14ac:dyDescent="0.25">
      <c r="E906">
        <f t="shared" si="18"/>
        <v>244</v>
      </c>
    </row>
    <row r="907" spans="4:5" x14ac:dyDescent="0.25">
      <c r="E907">
        <f t="shared" si="18"/>
        <v>244</v>
      </c>
    </row>
    <row r="908" spans="4:5" x14ac:dyDescent="0.25">
      <c r="E908">
        <f t="shared" si="18"/>
        <v>244</v>
      </c>
    </row>
    <row r="909" spans="4:5" x14ac:dyDescent="0.25">
      <c r="D909">
        <v>1</v>
      </c>
      <c r="E909">
        <f t="shared" si="18"/>
        <v>245</v>
      </c>
    </row>
    <row r="910" spans="4:5" x14ac:dyDescent="0.25">
      <c r="E910">
        <f t="shared" si="18"/>
        <v>245</v>
      </c>
    </row>
    <row r="911" spans="4:5" x14ac:dyDescent="0.25">
      <c r="E911">
        <f t="shared" si="18"/>
        <v>245</v>
      </c>
    </row>
    <row r="912" spans="4:5" x14ac:dyDescent="0.25">
      <c r="E912">
        <f t="shared" si="18"/>
        <v>245</v>
      </c>
    </row>
    <row r="913" spans="4:5" x14ac:dyDescent="0.25">
      <c r="D913">
        <v>1</v>
      </c>
      <c r="E913">
        <f t="shared" si="18"/>
        <v>246</v>
      </c>
    </row>
    <row r="914" spans="4:5" x14ac:dyDescent="0.25">
      <c r="E914">
        <f t="shared" si="18"/>
        <v>246</v>
      </c>
    </row>
    <row r="915" spans="4:5" x14ac:dyDescent="0.25">
      <c r="E915">
        <f t="shared" si="18"/>
        <v>246</v>
      </c>
    </row>
    <row r="916" spans="4:5" x14ac:dyDescent="0.25">
      <c r="E916">
        <f t="shared" si="18"/>
        <v>246</v>
      </c>
    </row>
    <row r="917" spans="4:5" x14ac:dyDescent="0.25">
      <c r="D917">
        <v>1</v>
      </c>
      <c r="E917">
        <f t="shared" si="18"/>
        <v>247</v>
      </c>
    </row>
    <row r="918" spans="4:5" x14ac:dyDescent="0.25">
      <c r="E918">
        <f t="shared" si="18"/>
        <v>247</v>
      </c>
    </row>
    <row r="919" spans="4:5" x14ac:dyDescent="0.25">
      <c r="E919">
        <f t="shared" si="18"/>
        <v>247</v>
      </c>
    </row>
    <row r="920" spans="4:5" x14ac:dyDescent="0.25">
      <c r="E920">
        <f t="shared" si="18"/>
        <v>247</v>
      </c>
    </row>
    <row r="921" spans="4:5" x14ac:dyDescent="0.25">
      <c r="D921">
        <v>1</v>
      </c>
      <c r="E921">
        <f t="shared" si="18"/>
        <v>248</v>
      </c>
    </row>
    <row r="922" spans="4:5" x14ac:dyDescent="0.25">
      <c r="E922">
        <f t="shared" si="18"/>
        <v>248</v>
      </c>
    </row>
    <row r="923" spans="4:5" x14ac:dyDescent="0.25">
      <c r="E923">
        <f t="shared" si="18"/>
        <v>248</v>
      </c>
    </row>
    <row r="924" spans="4:5" x14ac:dyDescent="0.25">
      <c r="E924">
        <f t="shared" si="18"/>
        <v>248</v>
      </c>
    </row>
    <row r="925" spans="4:5" x14ac:dyDescent="0.25">
      <c r="D925">
        <v>1</v>
      </c>
      <c r="E925">
        <f t="shared" si="18"/>
        <v>249</v>
      </c>
    </row>
    <row r="926" spans="4:5" x14ac:dyDescent="0.25">
      <c r="E926">
        <f t="shared" si="18"/>
        <v>249</v>
      </c>
    </row>
    <row r="927" spans="4:5" x14ac:dyDescent="0.25">
      <c r="E927">
        <f t="shared" si="18"/>
        <v>249</v>
      </c>
    </row>
    <row r="928" spans="4:5" x14ac:dyDescent="0.25">
      <c r="E928">
        <f t="shared" si="18"/>
        <v>249</v>
      </c>
    </row>
    <row r="929" spans="4:5" x14ac:dyDescent="0.25">
      <c r="D929">
        <v>1</v>
      </c>
      <c r="E929">
        <f t="shared" si="18"/>
        <v>250</v>
      </c>
    </row>
    <row r="930" spans="4:5" x14ac:dyDescent="0.25">
      <c r="E930">
        <f t="shared" si="18"/>
        <v>250</v>
      </c>
    </row>
    <row r="931" spans="4:5" x14ac:dyDescent="0.25">
      <c r="E931">
        <f t="shared" si="18"/>
        <v>250</v>
      </c>
    </row>
    <row r="932" spans="4:5" x14ac:dyDescent="0.25">
      <c r="E932">
        <f t="shared" si="18"/>
        <v>250</v>
      </c>
    </row>
    <row r="933" spans="4:5" x14ac:dyDescent="0.25">
      <c r="D933">
        <v>1</v>
      </c>
      <c r="E933">
        <f t="shared" si="18"/>
        <v>251</v>
      </c>
    </row>
    <row r="934" spans="4:5" x14ac:dyDescent="0.25">
      <c r="E934">
        <f t="shared" si="18"/>
        <v>251</v>
      </c>
    </row>
    <row r="935" spans="4:5" x14ac:dyDescent="0.25">
      <c r="E935">
        <f t="shared" si="18"/>
        <v>251</v>
      </c>
    </row>
    <row r="936" spans="4:5" x14ac:dyDescent="0.25">
      <c r="E936">
        <f t="shared" si="18"/>
        <v>251</v>
      </c>
    </row>
    <row r="937" spans="4:5" x14ac:dyDescent="0.25">
      <c r="D937">
        <v>1</v>
      </c>
      <c r="E937">
        <f t="shared" si="18"/>
        <v>252</v>
      </c>
    </row>
    <row r="938" spans="4:5" x14ac:dyDescent="0.25">
      <c r="E938">
        <f t="shared" si="18"/>
        <v>252</v>
      </c>
    </row>
    <row r="939" spans="4:5" x14ac:dyDescent="0.25">
      <c r="E939">
        <f t="shared" si="18"/>
        <v>252</v>
      </c>
    </row>
    <row r="940" spans="4:5" x14ac:dyDescent="0.25">
      <c r="E940">
        <f t="shared" si="18"/>
        <v>252</v>
      </c>
    </row>
    <row r="941" spans="4:5" x14ac:dyDescent="0.25">
      <c r="D941">
        <v>1</v>
      </c>
      <c r="E941">
        <f t="shared" si="18"/>
        <v>253</v>
      </c>
    </row>
    <row r="942" spans="4:5" x14ac:dyDescent="0.25">
      <c r="E942">
        <f t="shared" si="18"/>
        <v>253</v>
      </c>
    </row>
    <row r="943" spans="4:5" x14ac:dyDescent="0.25">
      <c r="E943">
        <f t="shared" si="18"/>
        <v>253</v>
      </c>
    </row>
    <row r="944" spans="4:5" x14ac:dyDescent="0.25">
      <c r="E944">
        <f t="shared" si="18"/>
        <v>253</v>
      </c>
    </row>
    <row r="945" spans="4:5" x14ac:dyDescent="0.25">
      <c r="D945">
        <v>1</v>
      </c>
      <c r="E945">
        <f t="shared" si="18"/>
        <v>254</v>
      </c>
    </row>
    <row r="946" spans="4:5" x14ac:dyDescent="0.25">
      <c r="E946">
        <f t="shared" si="18"/>
        <v>254</v>
      </c>
    </row>
    <row r="947" spans="4:5" x14ac:dyDescent="0.25">
      <c r="E947">
        <f t="shared" si="18"/>
        <v>254</v>
      </c>
    </row>
    <row r="948" spans="4:5" x14ac:dyDescent="0.25">
      <c r="E948">
        <f t="shared" si="18"/>
        <v>254</v>
      </c>
    </row>
    <row r="949" spans="4:5" x14ac:dyDescent="0.25">
      <c r="D949">
        <v>1</v>
      </c>
      <c r="E949">
        <f t="shared" si="18"/>
        <v>255</v>
      </c>
    </row>
    <row r="950" spans="4:5" x14ac:dyDescent="0.25">
      <c r="E950">
        <f t="shared" ref="E950:E964" si="19">E949+D950</f>
        <v>255</v>
      </c>
    </row>
    <row r="951" spans="4:5" x14ac:dyDescent="0.25">
      <c r="E951">
        <f t="shared" si="19"/>
        <v>255</v>
      </c>
    </row>
    <row r="952" spans="4:5" x14ac:dyDescent="0.25">
      <c r="E952">
        <f t="shared" si="19"/>
        <v>255</v>
      </c>
    </row>
    <row r="953" spans="4:5" x14ac:dyDescent="0.25">
      <c r="D953">
        <v>1</v>
      </c>
      <c r="E953">
        <f t="shared" si="19"/>
        <v>256</v>
      </c>
    </row>
    <row r="954" spans="4:5" x14ac:dyDescent="0.25">
      <c r="E954">
        <f t="shared" si="19"/>
        <v>256</v>
      </c>
    </row>
    <row r="955" spans="4:5" x14ac:dyDescent="0.25">
      <c r="E955">
        <f t="shared" si="19"/>
        <v>256</v>
      </c>
    </row>
    <row r="956" spans="4:5" x14ac:dyDescent="0.25">
      <c r="E956">
        <f t="shared" si="19"/>
        <v>256</v>
      </c>
    </row>
    <row r="957" spans="4:5" x14ac:dyDescent="0.25">
      <c r="D957">
        <v>1</v>
      </c>
      <c r="E957">
        <f t="shared" si="19"/>
        <v>257</v>
      </c>
    </row>
    <row r="958" spans="4:5" x14ac:dyDescent="0.25">
      <c r="E958">
        <f t="shared" si="19"/>
        <v>257</v>
      </c>
    </row>
    <row r="959" spans="4:5" x14ac:dyDescent="0.25">
      <c r="E959">
        <f t="shared" si="19"/>
        <v>257</v>
      </c>
    </row>
    <row r="960" spans="4:5" x14ac:dyDescent="0.25">
      <c r="E960">
        <f t="shared" si="19"/>
        <v>257</v>
      </c>
    </row>
    <row r="961" spans="4:5" x14ac:dyDescent="0.25">
      <c r="D961">
        <v>1</v>
      </c>
      <c r="E961">
        <f t="shared" si="19"/>
        <v>258</v>
      </c>
    </row>
    <row r="962" spans="4:5" x14ac:dyDescent="0.25">
      <c r="E962">
        <f t="shared" si="19"/>
        <v>258</v>
      </c>
    </row>
    <row r="963" spans="4:5" x14ac:dyDescent="0.25">
      <c r="E963">
        <f t="shared" si="19"/>
        <v>258</v>
      </c>
    </row>
    <row r="964" spans="4:5" x14ac:dyDescent="0.25">
      <c r="E964">
        <f t="shared" si="19"/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R62"/>
  <sheetViews>
    <sheetView topLeftCell="A7" workbookViewId="0">
      <selection activeCell="W33" sqref="W33"/>
    </sheetView>
  </sheetViews>
  <sheetFormatPr defaultRowHeight="15" x14ac:dyDescent="0.25"/>
  <cols>
    <col min="1" max="1" width="9.7109375" bestFit="1" customWidth="1"/>
    <col min="2" max="2" width="13.7109375" customWidth="1"/>
    <col min="3" max="3" width="12" bestFit="1" customWidth="1"/>
    <col min="4" max="4" width="14.140625" customWidth="1"/>
    <col min="5" max="5" width="13.5703125" customWidth="1"/>
    <col min="13" max="13" width="18.42578125" customWidth="1"/>
    <col min="14" max="14" width="16" customWidth="1"/>
    <col min="15" max="15" width="15.42578125" customWidth="1"/>
    <col min="17" max="17" width="14.140625" customWidth="1"/>
    <col min="18" max="18" width="14" customWidth="1"/>
    <col min="19" max="19" width="20.5703125" bestFit="1" customWidth="1"/>
    <col min="20" max="20" width="13.140625" bestFit="1" customWidth="1"/>
    <col min="21" max="21" width="20" customWidth="1"/>
    <col min="22" max="22" width="14.7109375" customWidth="1"/>
    <col min="23" max="23" width="15.85546875" customWidth="1"/>
    <col min="25" max="25" width="10.7109375" bestFit="1" customWidth="1"/>
    <col min="38" max="38" width="16.42578125" customWidth="1"/>
    <col min="59" max="59" width="12.5703125" customWidth="1"/>
    <col min="61" max="61" width="23.5703125" customWidth="1"/>
    <col min="62" max="62" width="9.7109375" customWidth="1"/>
    <col min="65" max="65" width="24.42578125" bestFit="1" customWidth="1"/>
    <col min="69" max="69" width="21.7109375" bestFit="1" customWidth="1"/>
    <col min="70" max="70" width="15.5703125" customWidth="1"/>
  </cols>
  <sheetData>
    <row r="1" spans="2:67" x14ac:dyDescent="0.25">
      <c r="B1" t="s">
        <v>121</v>
      </c>
      <c r="E1" s="34" t="s">
        <v>37</v>
      </c>
      <c r="F1" s="34"/>
      <c r="AE1" t="s">
        <v>0</v>
      </c>
      <c r="AF1" t="s">
        <v>1</v>
      </c>
      <c r="AG1" t="s">
        <v>2</v>
      </c>
      <c r="AH1" t="s">
        <v>3</v>
      </c>
      <c r="AI1" t="s">
        <v>4</v>
      </c>
      <c r="AJ1" t="s">
        <v>5</v>
      </c>
      <c r="AK1" t="s">
        <v>6</v>
      </c>
      <c r="AL1" t="s">
        <v>93</v>
      </c>
      <c r="AM1" t="s">
        <v>43</v>
      </c>
      <c r="AN1" t="s">
        <v>8</v>
      </c>
      <c r="AO1" t="s">
        <v>9</v>
      </c>
      <c r="AP1" t="s">
        <v>10</v>
      </c>
      <c r="AQ1" t="s">
        <v>11</v>
      </c>
      <c r="AR1" t="s">
        <v>12</v>
      </c>
      <c r="AS1" t="s">
        <v>13</v>
      </c>
      <c r="AT1" t="s">
        <v>14</v>
      </c>
      <c r="AU1" t="s">
        <v>15</v>
      </c>
      <c r="AV1" t="s">
        <v>16</v>
      </c>
      <c r="AW1" t="s">
        <v>17</v>
      </c>
      <c r="AX1" t="s">
        <v>18</v>
      </c>
      <c r="AY1" t="s">
        <v>19</v>
      </c>
      <c r="AZ1" t="s">
        <v>20</v>
      </c>
      <c r="BA1" t="s">
        <v>21</v>
      </c>
      <c r="BB1" t="s">
        <v>22</v>
      </c>
      <c r="BC1" t="s">
        <v>23</v>
      </c>
      <c r="BD1" t="s">
        <v>24</v>
      </c>
      <c r="BE1" t="s">
        <v>25</v>
      </c>
      <c r="BF1" t="s">
        <v>26</v>
      </c>
      <c r="BG1" t="s">
        <v>75</v>
      </c>
      <c r="BH1" t="s">
        <v>35</v>
      </c>
      <c r="BI1" t="s">
        <v>43</v>
      </c>
      <c r="BJ1" t="s">
        <v>36</v>
      </c>
      <c r="BM1" s="3" t="s">
        <v>48</v>
      </c>
      <c r="BN1" s="3" t="s">
        <v>49</v>
      </c>
      <c r="BO1" s="3" t="s">
        <v>50</v>
      </c>
    </row>
    <row r="2" spans="2:67" x14ac:dyDescent="0.25">
      <c r="AG2">
        <v>1</v>
      </c>
      <c r="AH2">
        <v>1</v>
      </c>
      <c r="AI2" t="s">
        <v>27</v>
      </c>
      <c r="AL2" t="s">
        <v>81</v>
      </c>
      <c r="AM2" t="s">
        <v>96</v>
      </c>
      <c r="AO2">
        <v>96</v>
      </c>
      <c r="AP2" t="s">
        <v>91</v>
      </c>
      <c r="BG2">
        <v>2.25</v>
      </c>
      <c r="BH2" t="s">
        <v>31</v>
      </c>
      <c r="BI2" t="s">
        <v>44</v>
      </c>
      <c r="BJ2" s="2" t="s">
        <v>27</v>
      </c>
      <c r="BM2" t="s">
        <v>44</v>
      </c>
      <c r="BN2" t="s">
        <v>31</v>
      </c>
      <c r="BO2" s="2" t="s">
        <v>35</v>
      </c>
    </row>
    <row r="3" spans="2:67" x14ac:dyDescent="0.25">
      <c r="E3" s="6" t="s">
        <v>78</v>
      </c>
      <c r="F3" s="6" t="s">
        <v>79</v>
      </c>
      <c r="G3" s="6" t="s">
        <v>38</v>
      </c>
      <c r="AG3">
        <v>2</v>
      </c>
      <c r="AI3" t="s">
        <v>31</v>
      </c>
      <c r="AL3" t="s">
        <v>29</v>
      </c>
      <c r="AM3" t="s">
        <v>97</v>
      </c>
      <c r="AO3">
        <v>144</v>
      </c>
      <c r="AP3" t="s">
        <v>92</v>
      </c>
      <c r="BG3">
        <v>2.875</v>
      </c>
      <c r="BH3" t="s">
        <v>40</v>
      </c>
      <c r="BI3" t="s">
        <v>45</v>
      </c>
      <c r="BJ3" s="2"/>
      <c r="BM3" t="s">
        <v>45</v>
      </c>
      <c r="BN3" t="s">
        <v>40</v>
      </c>
      <c r="BO3" s="2" t="s">
        <v>35</v>
      </c>
    </row>
    <row r="4" spans="2:67" x14ac:dyDescent="0.25">
      <c r="D4" t="s">
        <v>113</v>
      </c>
      <c r="E4" s="9"/>
      <c r="F4" s="8">
        <v>2.75</v>
      </c>
      <c r="G4" s="7" t="s">
        <v>31</v>
      </c>
      <c r="H4" s="15">
        <f>IF(E4=0,1,0)</f>
        <v>1</v>
      </c>
      <c r="I4" s="7">
        <f>IF(F4=0,1,0)</f>
        <v>0</v>
      </c>
      <c r="J4" s="7">
        <f>IF(H4+I4=1,0,"Error")</f>
        <v>0</v>
      </c>
      <c r="M4" t="s">
        <v>39</v>
      </c>
      <c r="AG4">
        <v>3</v>
      </c>
      <c r="AL4" t="s">
        <v>82</v>
      </c>
      <c r="AM4" t="s">
        <v>98</v>
      </c>
      <c r="BG4">
        <v>3.25</v>
      </c>
      <c r="BH4" t="s">
        <v>41</v>
      </c>
      <c r="BI4" t="s">
        <v>46</v>
      </c>
      <c r="BJ4" s="2"/>
      <c r="BM4" t="s">
        <v>46</v>
      </c>
      <c r="BN4" t="s">
        <v>41</v>
      </c>
      <c r="BO4" s="2" t="s">
        <v>35</v>
      </c>
    </row>
    <row r="5" spans="2:67" x14ac:dyDescent="0.25">
      <c r="D5" s="5"/>
      <c r="E5" s="14"/>
      <c r="M5" t="s">
        <v>31</v>
      </c>
      <c r="N5" t="s">
        <v>44</v>
      </c>
      <c r="AG5">
        <v>4</v>
      </c>
      <c r="AL5" t="s">
        <v>83</v>
      </c>
      <c r="AM5" t="s">
        <v>99</v>
      </c>
      <c r="BG5">
        <v>3.5</v>
      </c>
      <c r="BH5" t="s">
        <v>42</v>
      </c>
      <c r="BI5" t="s">
        <v>47</v>
      </c>
      <c r="BJ5" s="2"/>
      <c r="BM5" t="s">
        <v>47</v>
      </c>
      <c r="BN5" t="s">
        <v>42</v>
      </c>
      <c r="BO5" s="2" t="s">
        <v>35</v>
      </c>
    </row>
    <row r="6" spans="2:67" x14ac:dyDescent="0.25">
      <c r="D6" s="5"/>
      <c r="E6" s="14"/>
      <c r="M6" t="s">
        <v>40</v>
      </c>
      <c r="N6" t="s">
        <v>45</v>
      </c>
      <c r="AG6">
        <v>5</v>
      </c>
      <c r="AL6" t="s">
        <v>72</v>
      </c>
      <c r="AM6" t="s">
        <v>100</v>
      </c>
      <c r="BG6">
        <v>4</v>
      </c>
      <c r="BM6" t="s">
        <v>51</v>
      </c>
      <c r="BN6" t="s">
        <v>27</v>
      </c>
      <c r="BO6" s="2" t="s">
        <v>36</v>
      </c>
    </row>
    <row r="7" spans="2:67" x14ac:dyDescent="0.25">
      <c r="D7" s="5"/>
      <c r="E7" s="13"/>
      <c r="M7" t="s">
        <v>41</v>
      </c>
      <c r="N7" t="s">
        <v>77</v>
      </c>
      <c r="AG7">
        <v>6</v>
      </c>
      <c r="AL7" t="s">
        <v>84</v>
      </c>
      <c r="AM7" t="s">
        <v>101</v>
      </c>
      <c r="BM7" t="s">
        <v>52</v>
      </c>
      <c r="BN7" t="s">
        <v>53</v>
      </c>
      <c r="BO7" s="2" t="s">
        <v>36</v>
      </c>
    </row>
    <row r="8" spans="2:67" x14ac:dyDescent="0.25">
      <c r="D8" s="5" t="s">
        <v>89</v>
      </c>
      <c r="E8" s="9" t="s">
        <v>80</v>
      </c>
      <c r="F8" t="str">
        <f>VLOOKUP(E8,AL2:AM10,2,FALSE)</f>
        <v>White Paint</v>
      </c>
      <c r="M8" t="s">
        <v>42</v>
      </c>
      <c r="N8" t="s">
        <v>76</v>
      </c>
      <c r="AG8">
        <v>7</v>
      </c>
      <c r="AL8" t="s">
        <v>86</v>
      </c>
      <c r="AM8" t="s">
        <v>85</v>
      </c>
      <c r="BM8" t="s">
        <v>54</v>
      </c>
      <c r="BN8" t="s">
        <v>55</v>
      </c>
      <c r="BO8" s="2" t="s">
        <v>36</v>
      </c>
    </row>
    <row r="9" spans="2:67" x14ac:dyDescent="0.25">
      <c r="D9" s="5" t="s">
        <v>125</v>
      </c>
      <c r="E9" s="9">
        <v>1</v>
      </c>
      <c r="AG9">
        <v>8</v>
      </c>
      <c r="AL9" t="s">
        <v>88</v>
      </c>
      <c r="AM9" t="s">
        <v>87</v>
      </c>
      <c r="BM9" t="s">
        <v>56</v>
      </c>
      <c r="BN9" t="s">
        <v>57</v>
      </c>
      <c r="BO9" s="2" t="s">
        <v>58</v>
      </c>
    </row>
    <row r="10" spans="2:67" x14ac:dyDescent="0.25">
      <c r="D10" s="5" t="s">
        <v>103</v>
      </c>
      <c r="E10" s="9" t="e">
        <f>'Jamb-BOM'!#REF!</f>
        <v>#REF!</v>
      </c>
      <c r="AG10">
        <v>9</v>
      </c>
      <c r="AL10" t="s">
        <v>80</v>
      </c>
      <c r="AM10" t="s">
        <v>102</v>
      </c>
      <c r="BM10" t="s">
        <v>59</v>
      </c>
      <c r="BN10" t="s">
        <v>60</v>
      </c>
      <c r="BO10" s="2" t="s">
        <v>58</v>
      </c>
    </row>
    <row r="11" spans="2:67" x14ac:dyDescent="0.25">
      <c r="D11" s="5" t="s">
        <v>95</v>
      </c>
      <c r="E11" s="9" t="str">
        <f>'Jamb-BOM'!H5</f>
        <v>4093RN153</v>
      </c>
      <c r="AG11">
        <v>10</v>
      </c>
      <c r="BM11" t="s">
        <v>61</v>
      </c>
      <c r="BN11" t="s">
        <v>62</v>
      </c>
      <c r="BO11" s="2" t="s">
        <v>58</v>
      </c>
    </row>
    <row r="12" spans="2:67" x14ac:dyDescent="0.25">
      <c r="D12" s="5" t="s">
        <v>15</v>
      </c>
      <c r="E12" s="9" t="str">
        <f>'Jamb-BOM'!H6</f>
        <v>Lutheran Home 25</v>
      </c>
      <c r="AG12">
        <v>11</v>
      </c>
      <c r="BM12" t="s">
        <v>63</v>
      </c>
      <c r="BN12" t="s">
        <v>64</v>
      </c>
      <c r="BO12" s="2" t="s">
        <v>65</v>
      </c>
    </row>
    <row r="13" spans="2:67" x14ac:dyDescent="0.25">
      <c r="D13" s="5" t="s">
        <v>104</v>
      </c>
      <c r="E13" s="9" t="str">
        <f>'Jamb-BOM'!H7</f>
        <v>Green Bay</v>
      </c>
      <c r="AG13">
        <v>12</v>
      </c>
      <c r="BM13" t="s">
        <v>63</v>
      </c>
      <c r="BN13" t="s">
        <v>66</v>
      </c>
      <c r="BO13" s="2" t="s">
        <v>65</v>
      </c>
    </row>
    <row r="14" spans="2:67" x14ac:dyDescent="0.25">
      <c r="D14" s="5" t="s">
        <v>105</v>
      </c>
      <c r="E14" s="9" t="str">
        <f>'Jamb-BOM'!H8</f>
        <v>WI</v>
      </c>
      <c r="AG14">
        <v>13</v>
      </c>
      <c r="BM14" t="s">
        <v>63</v>
      </c>
      <c r="BN14" t="s">
        <v>67</v>
      </c>
      <c r="BO14" s="2" t="s">
        <v>65</v>
      </c>
    </row>
    <row r="15" spans="2:67" x14ac:dyDescent="0.25">
      <c r="D15" s="5" t="s">
        <v>107</v>
      </c>
      <c r="E15" s="9">
        <f>'Jamb-BOM'!H9</f>
        <v>4091142613</v>
      </c>
      <c r="BM15" t="s">
        <v>63</v>
      </c>
      <c r="BN15" t="s">
        <v>68</v>
      </c>
      <c r="BO15" s="2" t="s">
        <v>65</v>
      </c>
    </row>
    <row r="16" spans="2:67" x14ac:dyDescent="0.25">
      <c r="D16" s="5" t="s">
        <v>115</v>
      </c>
      <c r="E16" s="11">
        <f>F4</f>
        <v>2.75</v>
      </c>
      <c r="BM16" t="s">
        <v>63</v>
      </c>
      <c r="BN16" t="s">
        <v>69</v>
      </c>
      <c r="BO16" s="2" t="s">
        <v>65</v>
      </c>
    </row>
    <row r="17" spans="1:70" x14ac:dyDescent="0.25">
      <c r="D17" s="5" t="s">
        <v>20</v>
      </c>
      <c r="E17" s="9" t="s">
        <v>109</v>
      </c>
      <c r="BM17" t="s">
        <v>63</v>
      </c>
      <c r="BN17" t="s">
        <v>70</v>
      </c>
      <c r="BO17" s="2" t="s">
        <v>65</v>
      </c>
    </row>
    <row r="18" spans="1:70" x14ac:dyDescent="0.25">
      <c r="D18" s="5" t="s">
        <v>110</v>
      </c>
      <c r="E18" s="9" t="str">
        <f>'Jamb-BOM'!H11</f>
        <v>Pella</v>
      </c>
      <c r="BM18" t="s">
        <v>71</v>
      </c>
      <c r="BN18" t="s">
        <v>72</v>
      </c>
    </row>
    <row r="19" spans="1:70" x14ac:dyDescent="0.25">
      <c r="D19" s="5" t="s">
        <v>111</v>
      </c>
      <c r="E19" s="9">
        <f>'Jamb-BOM'!H12</f>
        <v>54201</v>
      </c>
      <c r="BM19" t="s">
        <v>73</v>
      </c>
      <c r="BN19" t="s">
        <v>74</v>
      </c>
    </row>
    <row r="20" spans="1:70" x14ac:dyDescent="0.25">
      <c r="D20" s="5" t="s">
        <v>112</v>
      </c>
      <c r="E20" s="10">
        <f>'Jamb-BOM'!H13</f>
        <v>46135</v>
      </c>
    </row>
    <row r="21" spans="1:70" x14ac:dyDescent="0.25">
      <c r="D21" s="5" t="s">
        <v>0</v>
      </c>
      <c r="E21" s="9">
        <f>'Jamb-BOM'!H14</f>
        <v>129</v>
      </c>
    </row>
    <row r="22" spans="1:70" x14ac:dyDescent="0.25">
      <c r="D22" s="5" t="s">
        <v>122</v>
      </c>
      <c r="E22" s="9">
        <v>3</v>
      </c>
    </row>
    <row r="23" spans="1:70" x14ac:dyDescent="0.25">
      <c r="D23" s="5" t="s">
        <v>123</v>
      </c>
      <c r="E23" s="9">
        <v>144</v>
      </c>
    </row>
    <row r="24" spans="1:70" x14ac:dyDescent="0.25">
      <c r="D24" s="5"/>
      <c r="E24" s="13"/>
    </row>
    <row r="26" spans="1:70" x14ac:dyDescent="0.25">
      <c r="A26" t="s">
        <v>0</v>
      </c>
      <c r="B26" t="s">
        <v>1</v>
      </c>
      <c r="C26" t="s">
        <v>34</v>
      </c>
      <c r="D26" t="s">
        <v>3</v>
      </c>
      <c r="E26" t="s">
        <v>4</v>
      </c>
      <c r="F26" t="s">
        <v>5</v>
      </c>
      <c r="G26" t="s">
        <v>6</v>
      </c>
      <c r="H26" t="s">
        <v>7</v>
      </c>
      <c r="I26" t="s">
        <v>8</v>
      </c>
      <c r="J26" t="s">
        <v>9</v>
      </c>
      <c r="K26" t="s">
        <v>10</v>
      </c>
      <c r="L26" t="s">
        <v>14</v>
      </c>
      <c r="M26" t="s">
        <v>15</v>
      </c>
      <c r="N26" t="s">
        <v>16</v>
      </c>
      <c r="O26" t="s">
        <v>17</v>
      </c>
      <c r="P26" t="s">
        <v>18</v>
      </c>
      <c r="Q26" t="s">
        <v>19</v>
      </c>
      <c r="R26" t="s">
        <v>20</v>
      </c>
      <c r="S26" t="s">
        <v>116</v>
      </c>
      <c r="T26" t="s">
        <v>117</v>
      </c>
      <c r="U26" t="s">
        <v>11</v>
      </c>
      <c r="V26" t="s">
        <v>118</v>
      </c>
      <c r="W26" t="s">
        <v>24</v>
      </c>
      <c r="X26" t="s">
        <v>25</v>
      </c>
      <c r="BM26" s="2"/>
      <c r="BN26" s="2"/>
      <c r="BR26" s="2"/>
    </row>
    <row r="27" spans="1:70" x14ac:dyDescent="0.25">
      <c r="A27" s="4">
        <f t="shared" ref="A27" si="0">$E$21</f>
        <v>129</v>
      </c>
      <c r="B27" s="4" t="e">
        <f>IF($E$10&gt;0,$E$10,"")</f>
        <v>#REF!</v>
      </c>
      <c r="C27" s="4">
        <f t="shared" ref="C27" si="1">$E$9</f>
        <v>1</v>
      </c>
      <c r="D27" s="4">
        <v>1</v>
      </c>
      <c r="E27" s="4" t="s">
        <v>31</v>
      </c>
      <c r="F27" s="4" t="s">
        <v>119</v>
      </c>
      <c r="G27" s="4">
        <f>IF($E$4&gt;0,$E$4,3.5)</f>
        <v>3.5</v>
      </c>
      <c r="H27" s="4" t="str">
        <f t="shared" ref="H27" si="2">$E$8</f>
        <v>PAINT</v>
      </c>
      <c r="I27" s="4">
        <f>$E$22</f>
        <v>3</v>
      </c>
      <c r="J27" s="4">
        <f>$E$23</f>
        <v>144</v>
      </c>
      <c r="K27" s="4" t="s">
        <v>120</v>
      </c>
      <c r="L27" s="4" t="s">
        <v>124</v>
      </c>
      <c r="M27" s="4" t="str">
        <f t="shared" ref="M27" si="3">$E$12</f>
        <v>Lutheran Home 25</v>
      </c>
      <c r="N27" s="4" t="str">
        <f t="shared" ref="N27" si="4">$E$13</f>
        <v>Green Bay</v>
      </c>
      <c r="O27" s="4" t="str">
        <f t="shared" ref="O27" si="5">$E$14</f>
        <v>WI</v>
      </c>
      <c r="P27" s="4">
        <f t="shared" ref="P27" si="6">$E$15</f>
        <v>4091142613</v>
      </c>
      <c r="Q27" s="4">
        <f t="shared" ref="Q27" si="7">IF($E$16=0,"",$E$16)</f>
        <v>2.75</v>
      </c>
      <c r="R27" s="4" t="str">
        <f t="shared" ref="R27" si="8">IF($E$17=0,"",$E$17)</f>
        <v>comment</v>
      </c>
      <c r="S27" s="4" t="str">
        <f t="shared" ref="S27" si="9">IF($E$18=0,"",$E$18)</f>
        <v>Pella</v>
      </c>
      <c r="T27" s="4">
        <f t="shared" ref="T27" si="10">IF($E$19=0,"",$E$19)</f>
        <v>54201</v>
      </c>
      <c r="U27" s="4" t="str">
        <f>$E$11</f>
        <v>4093RN153</v>
      </c>
      <c r="V27" s="4"/>
      <c r="W27" s="12">
        <f t="shared" ref="W27" si="11">IF($E$20=0,"",$E$20)</f>
        <v>46135</v>
      </c>
      <c r="X27" s="4"/>
      <c r="BR27" s="2"/>
    </row>
    <row r="28" spans="1:70" x14ac:dyDescent="0.25">
      <c r="BR28" s="2"/>
    </row>
    <row r="29" spans="1:70" x14ac:dyDescent="0.25">
      <c r="BR29" s="2"/>
    </row>
    <row r="31" spans="1:70" x14ac:dyDescent="0.25">
      <c r="Y31" s="1"/>
    </row>
    <row r="32" spans="1:70" x14ac:dyDescent="0.25">
      <c r="A32" t="s">
        <v>0</v>
      </c>
      <c r="B32" t="s">
        <v>1</v>
      </c>
      <c r="C32" t="s">
        <v>2</v>
      </c>
      <c r="D32" s="5" t="s">
        <v>3</v>
      </c>
      <c r="E32" s="13" t="s">
        <v>4</v>
      </c>
      <c r="F32" t="s">
        <v>5</v>
      </c>
      <c r="G32" t="s">
        <v>6</v>
      </c>
      <c r="H32" t="s">
        <v>7</v>
      </c>
      <c r="I32" t="s">
        <v>8</v>
      </c>
      <c r="J32" t="s">
        <v>9</v>
      </c>
      <c r="K32" t="s">
        <v>10</v>
      </c>
      <c r="L32" t="s">
        <v>14</v>
      </c>
      <c r="M32" t="s">
        <v>15</v>
      </c>
      <c r="N32" t="s">
        <v>16</v>
      </c>
      <c r="O32" t="s">
        <v>17</v>
      </c>
      <c r="P32" t="s">
        <v>18</v>
      </c>
      <c r="Q32" t="s">
        <v>19</v>
      </c>
      <c r="R32" t="s">
        <v>20</v>
      </c>
      <c r="S32" t="s">
        <v>116</v>
      </c>
      <c r="T32" t="s">
        <v>117</v>
      </c>
      <c r="U32" t="s">
        <v>11</v>
      </c>
      <c r="V32" t="s">
        <v>118</v>
      </c>
      <c r="W32" t="s">
        <v>24</v>
      </c>
      <c r="X32" t="s">
        <v>25</v>
      </c>
    </row>
    <row r="33" spans="1:25" x14ac:dyDescent="0.25">
      <c r="A33">
        <v>53</v>
      </c>
      <c r="B33">
        <v>1042021</v>
      </c>
      <c r="C33">
        <v>1</v>
      </c>
      <c r="D33">
        <v>1</v>
      </c>
      <c r="E33" t="s">
        <v>31</v>
      </c>
      <c r="F33" t="s">
        <v>119</v>
      </c>
      <c r="G33">
        <v>3.5</v>
      </c>
      <c r="H33" t="s">
        <v>80</v>
      </c>
      <c r="I33">
        <v>3</v>
      </c>
      <c r="J33">
        <v>144</v>
      </c>
      <c r="K33" t="s">
        <v>120</v>
      </c>
      <c r="L33" t="s">
        <v>124</v>
      </c>
      <c r="M33" t="s">
        <v>94</v>
      </c>
      <c r="N33" t="s">
        <v>106</v>
      </c>
      <c r="O33" t="s">
        <v>30</v>
      </c>
      <c r="P33" t="s">
        <v>108</v>
      </c>
      <c r="Q33">
        <v>2.75</v>
      </c>
      <c r="R33" t="s">
        <v>109</v>
      </c>
      <c r="S33">
        <v>1234</v>
      </c>
      <c r="T33">
        <v>54201</v>
      </c>
      <c r="U33">
        <v>21110</v>
      </c>
      <c r="W33" s="1">
        <v>44487</v>
      </c>
      <c r="Y33" s="1"/>
    </row>
    <row r="34" spans="1:25" x14ac:dyDescent="0.25">
      <c r="Y34" s="1"/>
    </row>
    <row r="35" spans="1:25" x14ac:dyDescent="0.25">
      <c r="Y35" s="1"/>
    </row>
    <row r="36" spans="1:25" x14ac:dyDescent="0.25">
      <c r="Y36" s="1"/>
    </row>
    <row r="37" spans="1:25" x14ac:dyDescent="0.25">
      <c r="Y37" s="1"/>
    </row>
    <row r="38" spans="1:25" x14ac:dyDescent="0.25">
      <c r="Y38" s="1"/>
    </row>
    <row r="39" spans="1:25" x14ac:dyDescent="0.25">
      <c r="Y39" s="1"/>
    </row>
    <row r="40" spans="1:25" x14ac:dyDescent="0.25">
      <c r="Y40" s="1"/>
    </row>
    <row r="41" spans="1:25" x14ac:dyDescent="0.25">
      <c r="Y41" s="1"/>
    </row>
    <row r="42" spans="1:25" x14ac:dyDescent="0.25">
      <c r="Y42" s="1"/>
    </row>
    <row r="43" spans="1:25" x14ac:dyDescent="0.25">
      <c r="Y43" s="1"/>
    </row>
    <row r="44" spans="1:25" x14ac:dyDescent="0.25">
      <c r="Y44" s="1"/>
    </row>
    <row r="45" spans="1:25" x14ac:dyDescent="0.25">
      <c r="Y45" s="1"/>
    </row>
    <row r="46" spans="1:25" x14ac:dyDescent="0.25">
      <c r="Y46" s="1"/>
    </row>
    <row r="47" spans="1:25" x14ac:dyDescent="0.25">
      <c r="Y47" s="1"/>
    </row>
    <row r="48" spans="1:25" x14ac:dyDescent="0.25">
      <c r="Y48" s="1"/>
    </row>
    <row r="49" spans="25:25" x14ac:dyDescent="0.25">
      <c r="Y49" s="1"/>
    </row>
    <row r="50" spans="25:25" x14ac:dyDescent="0.25">
      <c r="Y50" s="1"/>
    </row>
    <row r="51" spans="25:25" x14ac:dyDescent="0.25">
      <c r="Y51" s="1"/>
    </row>
    <row r="52" spans="25:25" x14ac:dyDescent="0.25">
      <c r="Y52" s="1"/>
    </row>
    <row r="53" spans="25:25" x14ac:dyDescent="0.25">
      <c r="Y53" s="1"/>
    </row>
    <row r="54" spans="25:25" x14ac:dyDescent="0.25">
      <c r="Y54" s="1"/>
    </row>
    <row r="55" spans="25:25" x14ac:dyDescent="0.25">
      <c r="Y55" s="1"/>
    </row>
    <row r="56" spans="25:25" x14ac:dyDescent="0.25">
      <c r="Y56" s="1"/>
    </row>
    <row r="57" spans="25:25" x14ac:dyDescent="0.25">
      <c r="Y57" s="1"/>
    </row>
    <row r="58" spans="25:25" x14ac:dyDescent="0.25">
      <c r="Y58" s="1"/>
    </row>
    <row r="59" spans="25:25" x14ac:dyDescent="0.25">
      <c r="Y59" s="1"/>
    </row>
    <row r="60" spans="25:25" x14ac:dyDescent="0.25">
      <c r="Y60" s="1"/>
    </row>
    <row r="61" spans="25:25" x14ac:dyDescent="0.25">
      <c r="Y61" s="1"/>
    </row>
    <row r="62" spans="25:25" x14ac:dyDescent="0.25">
      <c r="Y62" s="1"/>
    </row>
  </sheetData>
  <mergeCells count="1">
    <mergeCell ref="E1:F1"/>
  </mergeCells>
  <dataValidations count="6">
    <dataValidation type="list" allowBlank="1" showInputMessage="1" showErrorMessage="1" sqref="E9" xr:uid="{00000000-0002-0000-0200-000000000000}">
      <formula1>$AG$2:$AG$14</formula1>
    </dataValidation>
    <dataValidation type="list" allowBlank="1" showInputMessage="1" showErrorMessage="1" sqref="E8" xr:uid="{00000000-0002-0000-0200-000001000000}">
      <formula1>$AL$2:$AL$10</formula1>
    </dataValidation>
    <dataValidation type="list" allowBlank="1" showInputMessage="1" showErrorMessage="1" sqref="E7" xr:uid="{00000000-0002-0000-0200-000002000000}">
      <formula1>$AP$2:$AP$3</formula1>
    </dataValidation>
    <dataValidation type="list" allowBlank="1" showInputMessage="1" showErrorMessage="1" sqref="E4" xr:uid="{00000000-0002-0000-0200-000003000000}">
      <formula1>$BG$2:$BG$6</formula1>
    </dataValidation>
    <dataValidation type="list" allowBlank="1" showInputMessage="1" showErrorMessage="1" sqref="G4:G5" xr:uid="{00000000-0002-0000-0200-000004000000}">
      <formula1>$BH$2:$BH$5</formula1>
    </dataValidation>
    <dataValidation type="list" allowBlank="1" showInputMessage="1" showErrorMessage="1" sqref="E23" xr:uid="{00000000-0002-0000-0200-000005000000}">
      <formula1>$AO$2:$AO$5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Jamb-BOM</vt:lpstr>
      <vt:lpstr>Sheet1</vt:lpstr>
      <vt:lpstr>Lineal-BOM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Chet Kiedrowski</dc:creator>
  <cp:lastModifiedBy>Ben Grambsch</cp:lastModifiedBy>
  <dcterms:created xsi:type="dcterms:W3CDTF">2021-10-04T17:52:10Z</dcterms:created>
  <dcterms:modified xsi:type="dcterms:W3CDTF">2026-05-04T12:29:08Z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96 96 1366 768</vt:lpwstr>
  </property>
</Properties>
</file>